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126331e79e5fd34/MNV/RID/iot มูลบน เฟส 2/"/>
    </mc:Choice>
  </mc:AlternateContent>
  <xr:revisionPtr revIDLastSave="31" documentId="8_{671C35D5-C852-054C-8930-3A8A80D9BE9C}" xr6:coauthVersionLast="47" xr6:coauthVersionMax="47" xr10:uidLastSave="{75C65F13-5B3E-8D44-9166-91ACF0C18898}"/>
  <bookViews>
    <workbookView xWindow="0" yWindow="760" windowWidth="30240" windowHeight="18880" tabRatio="763" firstSheet="1" activeTab="1" xr2:uid="{4A7A8CF7-3F3C-6F4D-83B7-660971F442A3}"/>
  </bookViews>
  <sheets>
    <sheet name="fill_data" sheetId="25" r:id="rId1"/>
    <sheet name="ROS" sheetId="21" r:id="rId2"/>
    <sheet name="การใช้ที่ดิน" sheetId="19" r:id="rId3"/>
    <sheet name="Conclusion" sheetId="31" r:id="rId4"/>
    <sheet name="Weekly" sheetId="33" r:id="rId5"/>
    <sheet name="Monthly" sheetId="34" r:id="rId6"/>
    <sheet name="Plan_Dry" sheetId="35" r:id="rId7"/>
    <sheet name="Plan_Wet" sheetId="36" r:id="rId8"/>
    <sheet name="Demand-W" sheetId="32" r:id="rId9"/>
    <sheet name="graph-dry_data" sheetId="37" r:id="rId10"/>
    <sheet name="graph-dry" sheetId="38" r:id="rId11"/>
    <sheet name="graph-wet_data" sheetId="39" r:id="rId12"/>
    <sheet name="graph-wet" sheetId="40" r:id="rId13"/>
    <sheet name="ความต้องการน้ำรายสัปดาห์" sheetId="22" r:id="rId14"/>
    <sheet name="paddy_Dry" sheetId="4" r:id="rId15"/>
    <sheet name="paddy_rain" sheetId="16" r:id="rId16"/>
    <sheet name="upland_dry" sheetId="12" r:id="rId17"/>
    <sheet name="upland_rain" sheetId="17" r:id="rId18"/>
    <sheet name="plant" sheetId="13" r:id="rId19"/>
    <sheet name="fishporn" sheetId="11" r:id="rId20"/>
    <sheet name=" prawnporn" sheetId="15" r:id="rId21"/>
    <sheet name="Prv" sheetId="6" r:id="rId22"/>
    <sheet name="Crop" sheetId="7" r:id="rId23"/>
    <sheet name="Kc" sheetId="3" r:id="rId24"/>
    <sheet name="ฝนใช้การรายสัปดาห์" sheetId="30" r:id="rId25"/>
    <sheet name="ฝนใช้การรายวัน" sheetId="23" r:id="rId26"/>
    <sheet name="ฝนใช้การข้าว" sheetId="26" r:id="rId27"/>
    <sheet name="โค้งความจุ" sheetId="18" r:id="rId28"/>
    <sheet name="ฝนใช้พืชไร่up" sheetId="29" r:id="rId29"/>
    <sheet name="evap" sheetId="28" r:id="rId30"/>
    <sheet name="ETo" sheetId="5" r:id="rId31"/>
    <sheet name="FAO" sheetId="8" r:id="rId32"/>
  </sheets>
  <externalReferences>
    <externalReference r:id="rId33"/>
    <externalReference r:id="rId34"/>
  </externalReferences>
  <definedNames>
    <definedName name="_xlnm._FilterDatabase" localSheetId="30" hidden="1">ETo!$A$3:$P$88</definedName>
    <definedName name="_xlnm._FilterDatabase" localSheetId="29" hidden="1">evap!$A$3:$P$88</definedName>
    <definedName name="_xlnm._FilterDatabase" localSheetId="0" hidden="1">fill_data!$C$8:$F$28</definedName>
    <definedName name="_xlnm._FilterDatabase" localSheetId="23" hidden="1">Crop!$B$3:$B$24</definedName>
    <definedName name="capacitycurveุ" localSheetId="9">fill_data!$H$59:$N$88</definedName>
    <definedName name="capacitycurveุ" localSheetId="11">fill_data!$H$59:$N$88</definedName>
    <definedName name="capacitycurveุ">fill_data!$H$59:$N$104</definedName>
    <definedName name="Cereals" localSheetId="31">FAO!$B$68</definedName>
    <definedName name="croptype" localSheetId="9">Crop!$B$3:$B$35</definedName>
    <definedName name="croptype" localSheetId="11">Crop!$B$3:$B$35</definedName>
    <definedName name="croptype" localSheetId="26">[1]Crop!$B$3:$B$24</definedName>
    <definedName name="croptype" localSheetId="28">[1]Crop!$B$3:$B$24</definedName>
    <definedName name="croptype">Crop!$B$3:$B$35</definedName>
    <definedName name="Cucumber" localSheetId="31">FAO!$B$23</definedName>
    <definedName name="Evap" localSheetId="9">โค้งความจุ!$G$5:$I$16</definedName>
    <definedName name="Evap" localSheetId="11">โค้งความจุ!$G$5:$I$16</definedName>
    <definedName name="Evap">โค้งความจุ!$G$5:$I$16</definedName>
    <definedName name="FiberCrops" localSheetId="31">FAO!$B$58</definedName>
    <definedName name="Forages" localSheetId="31">FAO!$B$79</definedName>
    <definedName name="FruitTrees" localSheetId="31">FAO!$B$113</definedName>
    <definedName name="Grapes" localSheetId="31">FAO!$B$108</definedName>
    <definedName name="Legumes" localSheetId="31">FAO!$B$40</definedName>
    <definedName name="OilCrops" localSheetId="31">FAO!$B$62</definedName>
    <definedName name="Perennial" localSheetId="31">FAO!$B$53</definedName>
    <definedName name="_xlnm.Print_Area" localSheetId="20">' prawnporn'!$A$1:$K$63</definedName>
    <definedName name="_xlnm.Print_Area" localSheetId="22">Crop!$A$1:$AD$70</definedName>
    <definedName name="_xlnm.Print_Area" localSheetId="30">ETo!$A$1:$P$88</definedName>
    <definedName name="_xlnm.Print_Area" localSheetId="29">evap!$A$1:$L$88</definedName>
    <definedName name="_xlnm.Print_Area" localSheetId="0">fill_data!$A$1:$V$82</definedName>
    <definedName name="_xlnm.Print_Area" localSheetId="19">fishporn!$A$1:$K$63</definedName>
    <definedName name="_xlnm.Print_Area" localSheetId="23">Kc!$A$1:$AI$57</definedName>
    <definedName name="_xlnm.Print_Area" localSheetId="14">paddy_Dry!$A$1:$AJ$79</definedName>
    <definedName name="_xlnm.Print_Area" localSheetId="15">paddy_rain!$A$1:$AJ$79</definedName>
    <definedName name="_xlnm.Print_Area" localSheetId="6">Plan_Dry!$A$1:$W$26</definedName>
    <definedName name="_xlnm.Print_Area" localSheetId="18">plant!$A$1:$Z$68</definedName>
    <definedName name="_xlnm.Print_Area" localSheetId="21">Prv!$B$1:$E$78</definedName>
    <definedName name="_xlnm.Print_Area" localSheetId="16">upland_dry!$A$1:$AJ$79</definedName>
    <definedName name="_xlnm.Print_Area" localSheetId="17">upland_rain!$A$1:$AJ$79</definedName>
    <definedName name="_xlnm.Print_Area" localSheetId="13">ความต้องการน้ำรายสัปดาห์!$A$1:$J$57</definedName>
    <definedName name="_xlnm.Print_Area" localSheetId="27">โค้งความจุ!$C$1:$J$62</definedName>
    <definedName name="_xlnm.Print_Area" localSheetId="25">ฝนใช้การรายวัน!$A$1:$I$14</definedName>
    <definedName name="_xlnm.Print_Area" localSheetId="24">ฝนใช้การรายสัปดาห์!$A$1:$J$57</definedName>
    <definedName name="_xlnm.Print_Area" localSheetId="28">ฝนใช้พืชไร่up!$A$1:$N$78</definedName>
    <definedName name="_xlnm.Print_Titles" localSheetId="20">' prawnporn'!$9:$10</definedName>
    <definedName name="_xlnm.Print_Titles" localSheetId="8">'Demand-W'!$1:$6</definedName>
    <definedName name="_xlnm.Print_Titles" localSheetId="29">evap!$1:$3</definedName>
    <definedName name="_xlnm.Print_Titles" localSheetId="31">FAO!$2:$4</definedName>
    <definedName name="_xlnm.Print_Titles" localSheetId="19">fishporn!$9:$10</definedName>
    <definedName name="_xlnm.Print_Titles" localSheetId="9">'graph-dry_data'!$A:$C,'graph-dry_data'!$5:$7</definedName>
    <definedName name="_xlnm.Print_Titles" localSheetId="5">Monthly!$5:$7</definedName>
    <definedName name="_xlnm.Print_Titles" localSheetId="14">paddy_Dry!$25:$26</definedName>
    <definedName name="_xlnm.Print_Titles" localSheetId="15">paddy_rain!$25:$26</definedName>
    <definedName name="_xlnm.Print_Titles" localSheetId="6">Plan_Dry!$A:$D,Plan_Dry!$5:$7</definedName>
    <definedName name="_xlnm.Print_Titles" localSheetId="7">Plan_Wet!$5:$7</definedName>
    <definedName name="_xlnm.Print_Titles" localSheetId="18">plant!$14:$15</definedName>
    <definedName name="_xlnm.Print_Titles" localSheetId="21">Prv!$1:$2</definedName>
    <definedName name="_xlnm.Print_Titles" localSheetId="1">ROS!$11:$14</definedName>
    <definedName name="_xlnm.Print_Titles" localSheetId="16">upland_dry!$25:$26</definedName>
    <definedName name="_xlnm.Print_Titles" localSheetId="17">upland_rain!$25:$26</definedName>
    <definedName name="_xlnm.Print_Titles" localSheetId="4">Weekly!$1:$7</definedName>
    <definedName name="_xlnm.Print_Titles" localSheetId="26">ฝนใช้การข้าว!$1:$2</definedName>
    <definedName name="_xlnm.Print_Titles" localSheetId="28">ฝนใช้พืชไร่up!$1:$2</definedName>
    <definedName name="province" localSheetId="20">[2]Prv!$D$3:$D$78</definedName>
    <definedName name="province" localSheetId="9">Prv!$D$3:$D$78</definedName>
    <definedName name="province" localSheetId="11">Prv!$D$3:$D$78</definedName>
    <definedName name="province" localSheetId="26">[1]Prv!$D$3:$D$78</definedName>
    <definedName name="province" localSheetId="28">[1]Prv!$D$3:$D$78</definedName>
    <definedName name="province">Prv!$D$3:$D$78</definedName>
    <definedName name="rainforpaddy" localSheetId="9">ฝนใช้การรายวัน!$A$2:$D$13</definedName>
    <definedName name="rainforpaddy" localSheetId="11">ฝนใช้การรายวัน!$A$2:$D$13</definedName>
    <definedName name="rainforpaddy">ฝนใช้การรายวัน!$A$2:$D$13</definedName>
    <definedName name="rainforuplandcrop" localSheetId="9">ฝนใช้การรายวัน!$F$2:$I$13</definedName>
    <definedName name="rainforuplandcrop" localSheetId="11">ฝนใช้การรายวัน!$F$2:$I$13</definedName>
    <definedName name="rainforuplandcrop">ฝนใช้การรายวัน!$F$2:$I$13</definedName>
    <definedName name="Roots" localSheetId="31">FAO!$B$31</definedName>
    <definedName name="Small" localSheetId="31">FAO!$B$5</definedName>
    <definedName name="Solanum" localSheetId="31">FAO!$B$19</definedName>
    <definedName name="Special" localSheetId="31">FAO!$B$145</definedName>
    <definedName name="SugarCane" localSheetId="31">FAO!$B$94</definedName>
    <definedName name="Tropical" localSheetId="31">FAO!$B$95</definedName>
    <definedName name="Week" localSheetId="20">[2]พืช!$E$16:$E$67</definedName>
    <definedName name="Week" localSheetId="9">paddy_Dry!$E$27:$E$78</definedName>
    <definedName name="Week" localSheetId="11">paddy_Dry!$E$27:$E$78</definedName>
    <definedName name="Week" localSheetId="15">paddy_rain!$E$27:$E$78</definedName>
    <definedName name="Week" localSheetId="16">upland_dry!$E$27:$E$78</definedName>
    <definedName name="Week" localSheetId="17">upland_rain!$E$27:$E$78</definedName>
    <definedName name="Week" localSheetId="26">[1]ตัวอย่างCwr!$E$14:$E$65</definedName>
    <definedName name="Week" localSheetId="28">[1]ตัวอย่างCwr!$E$14:$E$65</definedName>
    <definedName name="Week">paddy_Dry!$E$27:$E$78</definedName>
    <definedName name="Wetlands" localSheetId="31">FAO!$B$139</definedName>
    <definedName name="ความต้องการน้ำ" localSheetId="9">ความต้องการน้ำรายสัปดาห์!$A$5:$C$56</definedName>
    <definedName name="ความต้องการน้ำ" localSheetId="11">ความต้องการน้ำรายสัปดาห์!$A$5:$C$56</definedName>
    <definedName name="ความต้องการน้ำ">ความต้องการน้ำรายสัปดาห์!$A$5:$C$56</definedName>
    <definedName name="ใช้การพืชไร่">ฝนใช้พืชไร่up!$A$3:$N$78</definedName>
    <definedName name="ฝนใช้การ" localSheetId="9">ฝนใช้การรายสัปดาห์!$A$5:$C$56</definedName>
    <definedName name="ฝนใช้การ" localSheetId="11">ฝนใช้การรายสัปดาห์!$A$5:$C$56</definedName>
    <definedName name="ฝนใช้การ">ฝนใช้การรายสัปดาห์!$A$5:$C$56</definedName>
    <definedName name="ฝนใช้การข้าว" localSheetId="9">ฝนใช้การข้าว!$A$3:$M$78</definedName>
    <definedName name="ฝนใช้การข้าว" localSheetId="11">ฝนใช้การข้าว!$A$3:$M$78</definedName>
    <definedName name="ฝนใช้การข้าว">ฝนใช้การข้าว!$A$3:$M$78</definedName>
    <definedName name="ฝนใช้การพืชไร่" localSheetId="9">ฝนใช้พืชไร่up!$A$3:$M$78</definedName>
    <definedName name="ฝนใช้การพืชไร่" localSheetId="11">ฝนใช้พืชไร่up!$A$3:$M$78</definedName>
    <definedName name="ฝนใช้การพืชไร่">ฝนใช้พืชไร่up!$A$3:$M$78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" i="21" l="1"/>
  <c r="R16" i="21"/>
  <c r="R347" i="21"/>
  <c r="S39" i="21"/>
  <c r="H59" i="33"/>
  <c r="L60" i="33"/>
  <c r="N20" i="21"/>
  <c r="M20" i="21"/>
  <c r="L20" i="21"/>
  <c r="K20" i="21"/>
  <c r="P4" i="5" l="1"/>
  <c r="AP4" i="5"/>
  <c r="P5" i="5"/>
  <c r="AP5" i="5"/>
  <c r="P6" i="5"/>
  <c r="AP6" i="5"/>
  <c r="P7" i="5"/>
  <c r="AP7" i="5"/>
  <c r="P8" i="5"/>
  <c r="AP8" i="5"/>
  <c r="P9" i="5"/>
  <c r="AP9" i="5"/>
  <c r="P10" i="5"/>
  <c r="AP10" i="5"/>
  <c r="P11" i="5"/>
  <c r="AP11" i="5"/>
  <c r="P12" i="5"/>
  <c r="AP12" i="5"/>
  <c r="P13" i="5"/>
  <c r="AP13" i="5"/>
  <c r="P14" i="5"/>
  <c r="AP14" i="5"/>
  <c r="P15" i="5"/>
  <c r="AP15" i="5"/>
  <c r="P16" i="5"/>
  <c r="AP16" i="5"/>
  <c r="P17" i="5"/>
  <c r="AP17" i="5"/>
  <c r="P18" i="5"/>
  <c r="AP18" i="5"/>
  <c r="P19" i="5"/>
  <c r="AP19" i="5"/>
  <c r="P20" i="5"/>
  <c r="AP20" i="5"/>
  <c r="P21" i="5"/>
  <c r="AP21" i="5"/>
  <c r="P22" i="5"/>
  <c r="AP22" i="5"/>
  <c r="P23" i="5"/>
  <c r="AP23" i="5"/>
  <c r="P24" i="5"/>
  <c r="AP24" i="5"/>
  <c r="P25" i="5"/>
  <c r="AP25" i="5"/>
  <c r="P26" i="5"/>
  <c r="AP26" i="5"/>
  <c r="P27" i="5"/>
  <c r="AP27" i="5"/>
  <c r="P28" i="5"/>
  <c r="AP28" i="5"/>
  <c r="P29" i="5"/>
  <c r="AP29" i="5"/>
  <c r="P30" i="5"/>
  <c r="AP30" i="5"/>
  <c r="P31" i="5"/>
  <c r="AP31" i="5"/>
  <c r="P32" i="5"/>
  <c r="AP32" i="5"/>
  <c r="P33" i="5"/>
  <c r="AP33" i="5"/>
  <c r="P34" i="5"/>
  <c r="AP34" i="5"/>
  <c r="P35" i="5"/>
  <c r="AP35" i="5"/>
  <c r="P36" i="5"/>
  <c r="AP36" i="5"/>
  <c r="P37" i="5"/>
  <c r="AP37" i="5"/>
  <c r="P38" i="5"/>
  <c r="AP38" i="5"/>
  <c r="P39" i="5"/>
  <c r="AP39" i="5"/>
  <c r="P40" i="5"/>
  <c r="AP40" i="5"/>
  <c r="P41" i="5"/>
  <c r="AP41" i="5"/>
  <c r="P42" i="5"/>
  <c r="AP42" i="5"/>
  <c r="P43" i="5"/>
  <c r="AP43" i="5"/>
  <c r="P44" i="5"/>
  <c r="AP44" i="5"/>
  <c r="P45" i="5"/>
  <c r="AP45" i="5"/>
  <c r="P46" i="5"/>
  <c r="AP46" i="5"/>
  <c r="P47" i="5"/>
  <c r="AP47" i="5"/>
  <c r="P48" i="5"/>
  <c r="AP48" i="5"/>
  <c r="P49" i="5"/>
  <c r="AP49" i="5"/>
  <c r="P50" i="5"/>
  <c r="AP50" i="5"/>
  <c r="P51" i="5"/>
  <c r="AP51" i="5"/>
  <c r="P52" i="5"/>
  <c r="AP52" i="5"/>
  <c r="P53" i="5"/>
  <c r="AP53" i="5"/>
  <c r="P54" i="5"/>
  <c r="AP54" i="5"/>
  <c r="P55" i="5"/>
  <c r="AP55" i="5"/>
  <c r="P56" i="5"/>
  <c r="AP56" i="5"/>
  <c r="P57" i="5"/>
  <c r="AP57" i="5"/>
  <c r="P58" i="5"/>
  <c r="AP58" i="5"/>
  <c r="P59" i="5"/>
  <c r="AP59" i="5"/>
  <c r="P60" i="5"/>
  <c r="AP60" i="5"/>
  <c r="P61" i="5"/>
  <c r="AP61" i="5"/>
  <c r="P62" i="5"/>
  <c r="AP62" i="5"/>
  <c r="P63" i="5"/>
  <c r="AP63" i="5"/>
  <c r="P64" i="5"/>
  <c r="AP64" i="5"/>
  <c r="P65" i="5"/>
  <c r="AP65" i="5"/>
  <c r="P66" i="5"/>
  <c r="AP66" i="5"/>
  <c r="P67" i="5"/>
  <c r="AP67" i="5"/>
  <c r="P68" i="5"/>
  <c r="AP68" i="5"/>
  <c r="P69" i="5"/>
  <c r="AP69" i="5"/>
  <c r="P70" i="5"/>
  <c r="AP70" i="5"/>
  <c r="P71" i="5"/>
  <c r="AP71" i="5"/>
  <c r="P72" i="5"/>
  <c r="AP72" i="5"/>
  <c r="P73" i="5"/>
  <c r="AP73" i="5"/>
  <c r="P74" i="5"/>
  <c r="AP74" i="5"/>
  <c r="P75" i="5"/>
  <c r="AP75" i="5"/>
  <c r="P76" i="5"/>
  <c r="AP76" i="5"/>
  <c r="P77" i="5"/>
  <c r="AP77" i="5"/>
  <c r="P78" i="5"/>
  <c r="AP78" i="5"/>
  <c r="P79" i="5"/>
  <c r="AP79" i="5"/>
  <c r="P80" i="5"/>
  <c r="AP80" i="5"/>
  <c r="P81" i="5"/>
  <c r="AP81" i="5"/>
  <c r="P82" i="5"/>
  <c r="AP82" i="5"/>
  <c r="P83" i="5"/>
  <c r="AP83" i="5"/>
  <c r="P84" i="5"/>
  <c r="AP84" i="5"/>
  <c r="P85" i="5"/>
  <c r="AP85" i="5"/>
  <c r="P86" i="5"/>
  <c r="AP86" i="5"/>
  <c r="P87" i="5"/>
  <c r="AP87" i="5"/>
  <c r="P88" i="5"/>
  <c r="AP88" i="5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N3" i="29"/>
  <c r="N4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32" i="29"/>
  <c r="N33" i="29"/>
  <c r="N34" i="29"/>
  <c r="N35" i="29"/>
  <c r="N36" i="29"/>
  <c r="N37" i="29"/>
  <c r="N38" i="29"/>
  <c r="N39" i="29"/>
  <c r="N40" i="29"/>
  <c r="N41" i="29"/>
  <c r="N42" i="29"/>
  <c r="N43" i="29"/>
  <c r="N44" i="29"/>
  <c r="N45" i="29"/>
  <c r="N46" i="29"/>
  <c r="N47" i="29"/>
  <c r="N48" i="29"/>
  <c r="N49" i="29"/>
  <c r="N50" i="29"/>
  <c r="N51" i="29"/>
  <c r="N52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C42" i="26"/>
  <c r="AC43" i="26"/>
  <c r="AC44" i="26"/>
  <c r="AC45" i="26"/>
  <c r="AC46" i="26"/>
  <c r="AC47" i="26"/>
  <c r="AC48" i="26"/>
  <c r="AC49" i="26"/>
  <c r="AC50" i="26"/>
  <c r="AC51" i="26"/>
  <c r="AC52" i="26"/>
  <c r="AC53" i="26"/>
  <c r="AC54" i="26"/>
  <c r="AC55" i="26"/>
  <c r="AC56" i="26"/>
  <c r="AC57" i="26"/>
  <c r="AC58" i="26"/>
  <c r="AC59" i="26"/>
  <c r="AC60" i="26"/>
  <c r="AC61" i="26"/>
  <c r="AC62" i="26"/>
  <c r="AC63" i="26"/>
  <c r="AC64" i="26"/>
  <c r="AC65" i="26"/>
  <c r="AC66" i="26"/>
  <c r="AC67" i="26"/>
  <c r="AC68" i="26"/>
  <c r="AC69" i="26"/>
  <c r="AC70" i="26"/>
  <c r="AC71" i="26"/>
  <c r="AC72" i="26"/>
  <c r="AC73" i="26"/>
  <c r="AC74" i="26"/>
  <c r="AC75" i="26"/>
  <c r="AC76" i="26"/>
  <c r="AC77" i="26"/>
  <c r="AC78" i="26"/>
  <c r="A1" i="23"/>
  <c r="H2" i="23" s="1"/>
  <c r="A6" i="30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D3" i="15"/>
  <c r="D5" i="15" s="1"/>
  <c r="E6" i="15"/>
  <c r="C11" i="15"/>
  <c r="D3" i="11"/>
  <c r="D5" i="11" s="1"/>
  <c r="E6" i="11"/>
  <c r="C11" i="11"/>
  <c r="J11" i="11"/>
  <c r="K11" i="11"/>
  <c r="J12" i="11"/>
  <c r="K12" i="11"/>
  <c r="J13" i="11"/>
  <c r="K13" i="11"/>
  <c r="J14" i="11"/>
  <c r="K14" i="11"/>
  <c r="J15" i="11"/>
  <c r="K15" i="11"/>
  <c r="J16" i="11"/>
  <c r="K16" i="11"/>
  <c r="J17" i="11"/>
  <c r="K17" i="11"/>
  <c r="J18" i="11"/>
  <c r="K18" i="11"/>
  <c r="J19" i="11"/>
  <c r="K19" i="11"/>
  <c r="J20" i="11"/>
  <c r="K20" i="11"/>
  <c r="J21" i="11"/>
  <c r="K21" i="11"/>
  <c r="J22" i="11"/>
  <c r="K22" i="11"/>
  <c r="J23" i="11"/>
  <c r="K23" i="11"/>
  <c r="J24" i="11"/>
  <c r="K24" i="11"/>
  <c r="J25" i="11"/>
  <c r="K25" i="11"/>
  <c r="J26" i="11"/>
  <c r="K26" i="11"/>
  <c r="J27" i="11"/>
  <c r="K27" i="11"/>
  <c r="J28" i="11"/>
  <c r="K28" i="11"/>
  <c r="J29" i="11"/>
  <c r="K29" i="11"/>
  <c r="J30" i="11"/>
  <c r="K30" i="11"/>
  <c r="J31" i="11"/>
  <c r="K31" i="11"/>
  <c r="J32" i="11"/>
  <c r="K32" i="11"/>
  <c r="J33" i="11"/>
  <c r="K33" i="11"/>
  <c r="J34" i="11"/>
  <c r="K34" i="11"/>
  <c r="J35" i="11"/>
  <c r="K35" i="11"/>
  <c r="J36" i="11"/>
  <c r="K36" i="11"/>
  <c r="J37" i="11"/>
  <c r="K37" i="11"/>
  <c r="J38" i="11"/>
  <c r="K38" i="11"/>
  <c r="J39" i="11"/>
  <c r="K39" i="11"/>
  <c r="J40" i="11"/>
  <c r="K40" i="11"/>
  <c r="J41" i="11"/>
  <c r="K41" i="11"/>
  <c r="J42" i="11"/>
  <c r="K42" i="11"/>
  <c r="J43" i="11"/>
  <c r="K43" i="11"/>
  <c r="J44" i="11"/>
  <c r="K44" i="11"/>
  <c r="J45" i="11"/>
  <c r="K45" i="11"/>
  <c r="J46" i="11"/>
  <c r="K46" i="11"/>
  <c r="J47" i="11"/>
  <c r="K47" i="11"/>
  <c r="J48" i="11"/>
  <c r="K48" i="11"/>
  <c r="J49" i="11"/>
  <c r="K49" i="11"/>
  <c r="J50" i="11"/>
  <c r="K50" i="11"/>
  <c r="J51" i="11"/>
  <c r="K51" i="11"/>
  <c r="J52" i="11"/>
  <c r="K52" i="11"/>
  <c r="J53" i="11"/>
  <c r="K53" i="11"/>
  <c r="J54" i="11"/>
  <c r="K54" i="11"/>
  <c r="J55" i="11"/>
  <c r="K55" i="11"/>
  <c r="J56" i="11"/>
  <c r="K56" i="11"/>
  <c r="J57" i="11"/>
  <c r="K57" i="11"/>
  <c r="J58" i="11"/>
  <c r="K58" i="11"/>
  <c r="J59" i="11"/>
  <c r="K59" i="11"/>
  <c r="J60" i="11"/>
  <c r="K60" i="11"/>
  <c r="J61" i="11"/>
  <c r="K61" i="11"/>
  <c r="J62" i="11"/>
  <c r="K62" i="11"/>
  <c r="D4" i="13"/>
  <c r="D7" i="13" s="1"/>
  <c r="F4" i="13"/>
  <c r="F5" i="13" s="1"/>
  <c r="F6" i="13" s="1"/>
  <c r="F7" i="13" s="1"/>
  <c r="F8" i="13" s="1"/>
  <c r="F9" i="13" s="1"/>
  <c r="F10" i="13" s="1"/>
  <c r="F11" i="13" s="1"/>
  <c r="F12" i="13" s="1"/>
  <c r="D5" i="13"/>
  <c r="D6" i="13" s="1"/>
  <c r="Q3" i="7" s="1"/>
  <c r="E8" i="13"/>
  <c r="G3" i="13" s="1"/>
  <c r="E10" i="13"/>
  <c r="C16" i="13"/>
  <c r="G3" i="17"/>
  <c r="D4" i="17"/>
  <c r="G4" i="17"/>
  <c r="D5" i="17"/>
  <c r="D6" i="17" s="1"/>
  <c r="G5" i="17"/>
  <c r="E6" i="17"/>
  <c r="G6" i="17"/>
  <c r="G7" i="17"/>
  <c r="G8" i="17"/>
  <c r="E9" i="17"/>
  <c r="F4" i="17" s="1"/>
  <c r="F5" i="17" s="1"/>
  <c r="F6" i="17" s="1"/>
  <c r="F7" i="17" s="1"/>
  <c r="F8" i="17" s="1"/>
  <c r="F9" i="17" s="1"/>
  <c r="F10" i="17" s="1"/>
  <c r="F11" i="17" s="1"/>
  <c r="F12" i="17" s="1"/>
  <c r="F13" i="17" s="1"/>
  <c r="F14" i="17" s="1"/>
  <c r="F15" i="17" s="1"/>
  <c r="F16" i="17" s="1"/>
  <c r="F17" i="17" s="1"/>
  <c r="F18" i="17" s="1"/>
  <c r="F19" i="17" s="1"/>
  <c r="F20" i="17" s="1"/>
  <c r="F21" i="17" s="1"/>
  <c r="F22" i="17" s="1"/>
  <c r="G9" i="17"/>
  <c r="E10" i="17"/>
  <c r="G10" i="17"/>
  <c r="E11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C27" i="17"/>
  <c r="D27" i="17" s="1"/>
  <c r="G3" i="12"/>
  <c r="D4" i="12"/>
  <c r="G4" i="12"/>
  <c r="D5" i="12"/>
  <c r="D6" i="12" s="1"/>
  <c r="L3" i="7" s="1"/>
  <c r="L4" i="7" s="1"/>
  <c r="L5" i="7" s="1"/>
  <c r="L6" i="7" s="1"/>
  <c r="L7" i="7" s="1"/>
  <c r="L8" i="7" s="1"/>
  <c r="L9" i="7" s="1"/>
  <c r="L10" i="7" s="1"/>
  <c r="L11" i="7" s="1"/>
  <c r="L12" i="7" s="1"/>
  <c r="G5" i="12"/>
  <c r="E6" i="12"/>
  <c r="S3" i="12"/>
  <c r="S4" i="12" s="1"/>
  <c r="S5" i="12" s="1"/>
  <c r="S6" i="12" s="1"/>
  <c r="S7" i="12" s="1"/>
  <c r="S8" i="12" s="1"/>
  <c r="S9" i="12" s="1"/>
  <c r="S10" i="12" s="1"/>
  <c r="S11" i="12" s="1"/>
  <c r="S12" i="12" s="1"/>
  <c r="S13" i="12" s="1"/>
  <c r="S14" i="12" s="1"/>
  <c r="S15" i="12" s="1"/>
  <c r="S16" i="12" s="1"/>
  <c r="S17" i="12" s="1"/>
  <c r="S18" i="12" s="1"/>
  <c r="S19" i="12" s="1"/>
  <c r="S20" i="12" s="1"/>
  <c r="S21" i="12" s="1"/>
  <c r="S22" i="12" s="1"/>
  <c r="G6" i="12"/>
  <c r="G7" i="12"/>
  <c r="G8" i="12"/>
  <c r="E9" i="12"/>
  <c r="F4" i="12"/>
  <c r="F5" i="12" s="1"/>
  <c r="F6" i="12" s="1"/>
  <c r="F7" i="12" s="1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F19" i="12" s="1"/>
  <c r="F20" i="12" s="1"/>
  <c r="F21" i="12" s="1"/>
  <c r="F22" i="12" s="1"/>
  <c r="G9" i="12"/>
  <c r="E10" i="12"/>
  <c r="G10" i="12"/>
  <c r="E11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C27" i="12"/>
  <c r="G3" i="16"/>
  <c r="D4" i="16"/>
  <c r="G4" i="16"/>
  <c r="D5" i="16"/>
  <c r="G5" i="16"/>
  <c r="E6" i="16"/>
  <c r="S3" i="16" s="1"/>
  <c r="S4" i="16" s="1"/>
  <c r="S5" i="16" s="1"/>
  <c r="S6" i="16" s="1"/>
  <c r="S7" i="16" s="1"/>
  <c r="S8" i="16" s="1"/>
  <c r="S9" i="16" s="1"/>
  <c r="S10" i="16" s="1"/>
  <c r="S11" i="16" s="1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G6" i="16"/>
  <c r="G7" i="16"/>
  <c r="G8" i="16"/>
  <c r="E9" i="16"/>
  <c r="F4" i="16" s="1"/>
  <c r="F5" i="16" s="1"/>
  <c r="F6" i="16" s="1"/>
  <c r="F7" i="16" s="1"/>
  <c r="F8" i="16" s="1"/>
  <c r="F9" i="16" s="1"/>
  <c r="F10" i="16" s="1"/>
  <c r="F11" i="16" s="1"/>
  <c r="F12" i="16" s="1"/>
  <c r="F13" i="16" s="1"/>
  <c r="F14" i="16" s="1"/>
  <c r="F15" i="16" s="1"/>
  <c r="F16" i="16" s="1"/>
  <c r="F17" i="16" s="1"/>
  <c r="F18" i="16" s="1"/>
  <c r="F19" i="16" s="1"/>
  <c r="F20" i="16" s="1"/>
  <c r="F21" i="16" s="1"/>
  <c r="F22" i="16" s="1"/>
  <c r="G9" i="16"/>
  <c r="E10" i="16"/>
  <c r="G10" i="16"/>
  <c r="E11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D27" i="16"/>
  <c r="B28" i="16"/>
  <c r="C28" i="16" s="1"/>
  <c r="G3" i="4"/>
  <c r="D4" i="4"/>
  <c r="G4" i="4"/>
  <c r="D5" i="4"/>
  <c r="D6" i="4" s="1"/>
  <c r="G5" i="4"/>
  <c r="E6" i="4"/>
  <c r="AG33" i="4" s="1"/>
  <c r="AH33" i="4" s="1"/>
  <c r="G6" i="4"/>
  <c r="G7" i="4"/>
  <c r="G8" i="4"/>
  <c r="E9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G9" i="4"/>
  <c r="E10" i="4"/>
  <c r="G10" i="4"/>
  <c r="E11" i="4"/>
  <c r="G11" i="4"/>
  <c r="G12" i="4"/>
  <c r="G13" i="4"/>
  <c r="G14" i="4"/>
  <c r="G15" i="4"/>
  <c r="G16" i="4"/>
  <c r="G17" i="4"/>
  <c r="G18" i="4"/>
  <c r="G19" i="4"/>
  <c r="G20" i="4"/>
  <c r="G21" i="4"/>
  <c r="G22" i="4"/>
  <c r="D27" i="4"/>
  <c r="B28" i="4"/>
  <c r="C28" i="4" s="1"/>
  <c r="A6" i="22"/>
  <c r="A7" i="22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F2" i="39"/>
  <c r="H2" i="39"/>
  <c r="S1" i="39" s="1"/>
  <c r="J2" i="39"/>
  <c r="K2" i="39"/>
  <c r="G3" i="39"/>
  <c r="J3" i="39"/>
  <c r="M3" i="39"/>
  <c r="S8" i="39"/>
  <c r="T8" i="39"/>
  <c r="U8" i="39"/>
  <c r="T9" i="39" s="1"/>
  <c r="V8" i="39"/>
  <c r="V9" i="39" s="1"/>
  <c r="V10" i="39" s="1"/>
  <c r="W8" i="39"/>
  <c r="X8" i="39"/>
  <c r="X9" i="39" s="1"/>
  <c r="Y8" i="39"/>
  <c r="Z8" i="39"/>
  <c r="AA8" i="39"/>
  <c r="AA9" i="39" s="1"/>
  <c r="Z10" i="39" s="1"/>
  <c r="AB8" i="39"/>
  <c r="AC8" i="39"/>
  <c r="AD8" i="39"/>
  <c r="N43" i="39"/>
  <c r="N44" i="39"/>
  <c r="N45" i="39"/>
  <c r="N46" i="39"/>
  <c r="N47" i="39"/>
  <c r="N48" i="39"/>
  <c r="N49" i="39"/>
  <c r="N50" i="39"/>
  <c r="O61" i="39"/>
  <c r="O62" i="39"/>
  <c r="O63" i="39"/>
  <c r="O64" i="39"/>
  <c r="O65" i="39"/>
  <c r="O66" i="39"/>
  <c r="O67" i="39"/>
  <c r="D75" i="39"/>
  <c r="S9" i="39" s="1"/>
  <c r="E75" i="39"/>
  <c r="F75" i="39"/>
  <c r="G75" i="39"/>
  <c r="H75" i="39"/>
  <c r="H76" i="39" s="1"/>
  <c r="I75" i="39"/>
  <c r="J75" i="39"/>
  <c r="J76" i="39" s="1"/>
  <c r="K75" i="39"/>
  <c r="L75" i="39"/>
  <c r="L76" i="39" s="1"/>
  <c r="M75" i="39"/>
  <c r="P75" i="39"/>
  <c r="Q75" i="39"/>
  <c r="F2" i="37"/>
  <c r="S1" i="37" s="1"/>
  <c r="H2" i="37"/>
  <c r="J2" i="37"/>
  <c r="K2" i="37"/>
  <c r="G3" i="37"/>
  <c r="J3" i="37"/>
  <c r="M3" i="37"/>
  <c r="AC6" i="37"/>
  <c r="S8" i="37"/>
  <c r="T8" i="37"/>
  <c r="U8" i="37"/>
  <c r="V8" i="37"/>
  <c r="W8" i="37"/>
  <c r="X8" i="37"/>
  <c r="Y8" i="37"/>
  <c r="Z8" i="37"/>
  <c r="AA8" i="37"/>
  <c r="AB8" i="37"/>
  <c r="AC8" i="37"/>
  <c r="AD9" i="37" s="1"/>
  <c r="AD8" i="37"/>
  <c r="N20" i="37"/>
  <c r="N21" i="37"/>
  <c r="N22" i="37"/>
  <c r="N23" i="37"/>
  <c r="N24" i="37"/>
  <c r="N25" i="37"/>
  <c r="O36" i="37"/>
  <c r="O37" i="37"/>
  <c r="O38" i="37"/>
  <c r="O39" i="37"/>
  <c r="O40" i="37"/>
  <c r="O41" i="37"/>
  <c r="O42" i="37"/>
  <c r="D60" i="37"/>
  <c r="E60" i="37"/>
  <c r="D61" i="37" s="1"/>
  <c r="F60" i="37"/>
  <c r="F61" i="37" s="1"/>
  <c r="G60" i="37"/>
  <c r="H60" i="37"/>
  <c r="H61" i="37" s="1"/>
  <c r="I60" i="37"/>
  <c r="J60" i="37"/>
  <c r="K60" i="37"/>
  <c r="L60" i="37"/>
  <c r="M60" i="37"/>
  <c r="P60" i="37"/>
  <c r="P61" i="37" s="1"/>
  <c r="Q60" i="37"/>
  <c r="A2" i="32"/>
  <c r="A8" i="32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M1" i="36"/>
  <c r="N1" i="36"/>
  <c r="H2" i="36"/>
  <c r="B8" i="36" s="1"/>
  <c r="M2" i="36"/>
  <c r="C8" i="36"/>
  <c r="D8" i="36"/>
  <c r="O8" i="36"/>
  <c r="Q8" i="36"/>
  <c r="R8" i="36"/>
  <c r="U8" i="36"/>
  <c r="V8" i="36"/>
  <c r="M1" i="35"/>
  <c r="N1" i="35"/>
  <c r="H2" i="35"/>
  <c r="B8" i="35"/>
  <c r="L2" i="35"/>
  <c r="C8" i="35"/>
  <c r="D8" i="35"/>
  <c r="E8" i="35"/>
  <c r="P8" i="35"/>
  <c r="R8" i="35"/>
  <c r="S8" i="35"/>
  <c r="V8" i="35"/>
  <c r="W8" i="35"/>
  <c r="K1" i="34"/>
  <c r="L1" i="34"/>
  <c r="H2" i="34"/>
  <c r="L2" i="34"/>
  <c r="S8" i="34"/>
  <c r="S20" i="34" s="1"/>
  <c r="A9" i="34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S9" i="34"/>
  <c r="S10" i="34"/>
  <c r="S11" i="34"/>
  <c r="T11" i="34"/>
  <c r="S12" i="34"/>
  <c r="T12" i="34"/>
  <c r="S13" i="34"/>
  <c r="S14" i="34"/>
  <c r="S15" i="34"/>
  <c r="T15" i="34"/>
  <c r="S16" i="34"/>
  <c r="T16" i="34"/>
  <c r="S17" i="34"/>
  <c r="S18" i="34"/>
  <c r="S19" i="34"/>
  <c r="T19" i="34"/>
  <c r="K1" i="33"/>
  <c r="L1" i="33"/>
  <c r="H2" i="33"/>
  <c r="L2" i="33"/>
  <c r="S8" i="33"/>
  <c r="A9" i="33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A44" i="33" s="1"/>
  <c r="A45" i="33" s="1"/>
  <c r="A46" i="33" s="1"/>
  <c r="A47" i="33" s="1"/>
  <c r="A48" i="33" s="1"/>
  <c r="A49" i="33" s="1"/>
  <c r="A50" i="33" s="1"/>
  <c r="A51" i="33" s="1"/>
  <c r="A52" i="33" s="1"/>
  <c r="A53" i="33" s="1"/>
  <c r="A54" i="33" s="1"/>
  <c r="A55" i="33" s="1"/>
  <c r="A56" i="33" s="1"/>
  <c r="A57" i="33" s="1"/>
  <c r="A58" i="33" s="1"/>
  <c r="A59" i="33" s="1"/>
  <c r="S9" i="33"/>
  <c r="S10" i="33"/>
  <c r="S11" i="33"/>
  <c r="T11" i="33"/>
  <c r="S12" i="33"/>
  <c r="T12" i="33"/>
  <c r="S13" i="33"/>
  <c r="S14" i="33"/>
  <c r="S15" i="33"/>
  <c r="T15" i="33"/>
  <c r="S16" i="33"/>
  <c r="T16" i="33"/>
  <c r="S17" i="33"/>
  <c r="S18" i="33"/>
  <c r="S19" i="33"/>
  <c r="T19" i="33"/>
  <c r="S20" i="33"/>
  <c r="T20" i="33"/>
  <c r="S21" i="33"/>
  <c r="S22" i="33"/>
  <c r="S23" i="33"/>
  <c r="T23" i="33"/>
  <c r="S24" i="33"/>
  <c r="T24" i="33"/>
  <c r="S25" i="33"/>
  <c r="S26" i="33"/>
  <c r="S27" i="33"/>
  <c r="T27" i="33"/>
  <c r="S28" i="33"/>
  <c r="T28" i="33"/>
  <c r="S29" i="33"/>
  <c r="S30" i="33"/>
  <c r="S31" i="33"/>
  <c r="T31" i="33"/>
  <c r="S32" i="33"/>
  <c r="T32" i="33"/>
  <c r="S33" i="33"/>
  <c r="S34" i="33"/>
  <c r="S35" i="33"/>
  <c r="T35" i="33"/>
  <c r="S36" i="33"/>
  <c r="T36" i="33"/>
  <c r="S37" i="33"/>
  <c r="S38" i="33"/>
  <c r="S39" i="33"/>
  <c r="T39" i="33"/>
  <c r="S40" i="33"/>
  <c r="T40" i="33"/>
  <c r="S41" i="33"/>
  <c r="S42" i="33"/>
  <c r="S43" i="33"/>
  <c r="T43" i="33"/>
  <c r="S44" i="33"/>
  <c r="T44" i="33"/>
  <c r="S45" i="33"/>
  <c r="S46" i="33"/>
  <c r="S47" i="33"/>
  <c r="T47" i="33"/>
  <c r="S48" i="33"/>
  <c r="T48" i="33"/>
  <c r="S49" i="33"/>
  <c r="S50" i="33"/>
  <c r="S51" i="33"/>
  <c r="T51" i="33"/>
  <c r="S52" i="33"/>
  <c r="T52" i="33"/>
  <c r="S53" i="33"/>
  <c r="S54" i="33"/>
  <c r="S55" i="33"/>
  <c r="T55" i="33"/>
  <c r="S56" i="33"/>
  <c r="T56" i="33"/>
  <c r="S57" i="33"/>
  <c r="S58" i="33"/>
  <c r="S59" i="33"/>
  <c r="T59" i="33"/>
  <c r="K1" i="31"/>
  <c r="L5" i="19" s="1"/>
  <c r="L1" i="31"/>
  <c r="B7" i="31"/>
  <c r="D7" i="31"/>
  <c r="E7" i="31"/>
  <c r="F7" i="31"/>
  <c r="G7" i="31"/>
  <c r="H7" i="31"/>
  <c r="I7" i="31"/>
  <c r="J7" i="31"/>
  <c r="M7" i="31"/>
  <c r="L13" i="31"/>
  <c r="L22" i="31" s="1"/>
  <c r="N13" i="31"/>
  <c r="O13" i="31"/>
  <c r="O22" i="31" s="1"/>
  <c r="L19" i="31"/>
  <c r="N19" i="31"/>
  <c r="O19" i="31"/>
  <c r="J22" i="31"/>
  <c r="K22" i="31"/>
  <c r="M22" i="31"/>
  <c r="P22" i="31"/>
  <c r="A1" i="19"/>
  <c r="B9" i="19"/>
  <c r="C9" i="19"/>
  <c r="E9" i="19"/>
  <c r="A1" i="21"/>
  <c r="E4" i="21"/>
  <c r="J4" i="21"/>
  <c r="E5" i="21"/>
  <c r="J5" i="21"/>
  <c r="P5" i="21"/>
  <c r="E6" i="21"/>
  <c r="J6" i="21"/>
  <c r="P6" i="21"/>
  <c r="E7" i="21"/>
  <c r="J7" i="21"/>
  <c r="P7" i="21"/>
  <c r="J8" i="21"/>
  <c r="P8" i="21"/>
  <c r="D15" i="21"/>
  <c r="L9" i="21"/>
  <c r="L10" i="21" s="1"/>
  <c r="Q9" i="21"/>
  <c r="Q10" i="21" s="1"/>
  <c r="I15" i="21"/>
  <c r="K15" i="21"/>
  <c r="L15" i="21"/>
  <c r="M15" i="21"/>
  <c r="N15" i="21"/>
  <c r="Q15" i="21"/>
  <c r="Q16" i="21" s="1"/>
  <c r="Q17" i="21" s="1"/>
  <c r="U15" i="21"/>
  <c r="U16" i="21"/>
  <c r="U17" i="21" s="1"/>
  <c r="U18" i="21" s="1"/>
  <c r="U19" i="21" s="1"/>
  <c r="U20" i="21" s="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U32" i="21" s="1"/>
  <c r="U33" i="21" s="1"/>
  <c r="U34" i="21" s="1"/>
  <c r="U35" i="21" s="1"/>
  <c r="U36" i="21" s="1"/>
  <c r="U37" i="21" s="1"/>
  <c r="U38" i="21" s="1"/>
  <c r="U39" i="21" s="1"/>
  <c r="U40" i="21" s="1"/>
  <c r="U41" i="21" s="1"/>
  <c r="U42" i="21" s="1"/>
  <c r="U43" i="21" s="1"/>
  <c r="U44" i="21" s="1"/>
  <c r="U45" i="21" s="1"/>
  <c r="U46" i="21" s="1"/>
  <c r="U47" i="21" s="1"/>
  <c r="U48" i="21" s="1"/>
  <c r="U49" i="21" s="1"/>
  <c r="U50" i="21" s="1"/>
  <c r="U51" i="21" s="1"/>
  <c r="U52" i="21" s="1"/>
  <c r="U53" i="21" s="1"/>
  <c r="U54" i="21" s="1"/>
  <c r="U55" i="21" s="1"/>
  <c r="U56" i="21" s="1"/>
  <c r="U57" i="21" s="1"/>
  <c r="U58" i="21" s="1"/>
  <c r="U59" i="21" s="1"/>
  <c r="U60" i="21" s="1"/>
  <c r="U61" i="21" s="1"/>
  <c r="U62" i="21" s="1"/>
  <c r="U63" i="21" s="1"/>
  <c r="U64" i="21" s="1"/>
  <c r="U65" i="21" s="1"/>
  <c r="U66" i="21" s="1"/>
  <c r="U67" i="21" s="1"/>
  <c r="U68" i="21" s="1"/>
  <c r="U69" i="21" s="1"/>
  <c r="U70" i="21" s="1"/>
  <c r="U71" i="21" s="1"/>
  <c r="U72" i="21" s="1"/>
  <c r="U73" i="21" s="1"/>
  <c r="U74" i="21" s="1"/>
  <c r="U75" i="21" s="1"/>
  <c r="U76" i="21" s="1"/>
  <c r="U77" i="21" s="1"/>
  <c r="U78" i="21" s="1"/>
  <c r="U79" i="21" s="1"/>
  <c r="U80" i="21" s="1"/>
  <c r="U81" i="21" s="1"/>
  <c r="U82" i="21" s="1"/>
  <c r="U83" i="21" s="1"/>
  <c r="U84" i="21" s="1"/>
  <c r="U85" i="21" s="1"/>
  <c r="U86" i="21" s="1"/>
  <c r="U87" i="21" s="1"/>
  <c r="U88" i="21" s="1"/>
  <c r="U89" i="21" s="1"/>
  <c r="U90" i="21" s="1"/>
  <c r="U91" i="21" s="1"/>
  <c r="U92" i="21" s="1"/>
  <c r="U93" i="21" s="1"/>
  <c r="U94" i="21" s="1"/>
  <c r="U95" i="21" s="1"/>
  <c r="U96" i="21" s="1"/>
  <c r="U97" i="21" s="1"/>
  <c r="U98" i="21" s="1"/>
  <c r="U99" i="21" s="1"/>
  <c r="U100" i="21" s="1"/>
  <c r="U101" i="21" s="1"/>
  <c r="U102" i="21" s="1"/>
  <c r="U103" i="21" s="1"/>
  <c r="U104" i="21" s="1"/>
  <c r="U105" i="21" s="1"/>
  <c r="U106" i="21" s="1"/>
  <c r="U107" i="21" s="1"/>
  <c r="U108" i="21" s="1"/>
  <c r="U109" i="21" s="1"/>
  <c r="U110" i="21" s="1"/>
  <c r="U111" i="21" s="1"/>
  <c r="U112" i="21" s="1"/>
  <c r="U113" i="21" s="1"/>
  <c r="U114" i="21" s="1"/>
  <c r="U115" i="21" s="1"/>
  <c r="U116" i="21" s="1"/>
  <c r="U117" i="21" s="1"/>
  <c r="U118" i="21" s="1"/>
  <c r="U119" i="21" s="1"/>
  <c r="U120" i="21" s="1"/>
  <c r="U121" i="21" s="1"/>
  <c r="U122" i="21" s="1"/>
  <c r="U123" i="21" s="1"/>
  <c r="U124" i="21" s="1"/>
  <c r="U125" i="21" s="1"/>
  <c r="U126" i="21" s="1"/>
  <c r="U127" i="21" s="1"/>
  <c r="U128" i="21" s="1"/>
  <c r="U129" i="21" s="1"/>
  <c r="U130" i="21" s="1"/>
  <c r="U131" i="21" s="1"/>
  <c r="U132" i="21" s="1"/>
  <c r="U133" i="21" s="1"/>
  <c r="U134" i="21" s="1"/>
  <c r="U135" i="21" s="1"/>
  <c r="U136" i="21" s="1"/>
  <c r="U137" i="21" s="1"/>
  <c r="U138" i="21" s="1"/>
  <c r="U139" i="21" s="1"/>
  <c r="U140" i="21" s="1"/>
  <c r="U141" i="21" s="1"/>
  <c r="U142" i="21" s="1"/>
  <c r="U143" i="21" s="1"/>
  <c r="U144" i="21" s="1"/>
  <c r="U145" i="21" s="1"/>
  <c r="U146" i="21" s="1"/>
  <c r="U147" i="21" s="1"/>
  <c r="U148" i="21" s="1"/>
  <c r="U149" i="21" s="1"/>
  <c r="U150" i="21" s="1"/>
  <c r="U151" i="21" s="1"/>
  <c r="U152" i="21" s="1"/>
  <c r="U153" i="21" s="1"/>
  <c r="U154" i="21" s="1"/>
  <c r="U155" i="21" s="1"/>
  <c r="U156" i="21" s="1"/>
  <c r="U157" i="21" s="1"/>
  <c r="U158" i="21" s="1"/>
  <c r="U159" i="21" s="1"/>
  <c r="U160" i="21" s="1"/>
  <c r="U161" i="21" s="1"/>
  <c r="U162" i="21" s="1"/>
  <c r="U163" i="21" s="1"/>
  <c r="U164" i="21" s="1"/>
  <c r="U165" i="21" s="1"/>
  <c r="U166" i="21" s="1"/>
  <c r="U167" i="21" s="1"/>
  <c r="U168" i="21" s="1"/>
  <c r="U169" i="21" s="1"/>
  <c r="U170" i="21" s="1"/>
  <c r="U171" i="21" s="1"/>
  <c r="U172" i="21" s="1"/>
  <c r="U173" i="21" s="1"/>
  <c r="U174" i="21" s="1"/>
  <c r="U175" i="21" s="1"/>
  <c r="U176" i="21" s="1"/>
  <c r="U177" i="21" s="1"/>
  <c r="U178" i="21" s="1"/>
  <c r="U179" i="21" s="1"/>
  <c r="U180" i="21" s="1"/>
  <c r="U181" i="21" s="1"/>
  <c r="U182" i="21" s="1"/>
  <c r="U183" i="21" s="1"/>
  <c r="U184" i="21" s="1"/>
  <c r="U185" i="21" s="1"/>
  <c r="U186" i="21" s="1"/>
  <c r="U187" i="21" s="1"/>
  <c r="U188" i="21" s="1"/>
  <c r="U189" i="21" s="1"/>
  <c r="U190" i="21" s="1"/>
  <c r="U191" i="21" s="1"/>
  <c r="U192" i="21" s="1"/>
  <c r="U193" i="21" s="1"/>
  <c r="U194" i="21" s="1"/>
  <c r="U195" i="21" s="1"/>
  <c r="U196" i="21" s="1"/>
  <c r="U197" i="21" s="1"/>
  <c r="U198" i="21" s="1"/>
  <c r="U199" i="21" s="1"/>
  <c r="U200" i="21" s="1"/>
  <c r="U201" i="21" s="1"/>
  <c r="U202" i="21" s="1"/>
  <c r="U203" i="21" s="1"/>
  <c r="U204" i="21" s="1"/>
  <c r="U205" i="21" s="1"/>
  <c r="U206" i="21" s="1"/>
  <c r="U207" i="21" s="1"/>
  <c r="U208" i="21" s="1"/>
  <c r="U209" i="21" s="1"/>
  <c r="U210" i="21" s="1"/>
  <c r="U211" i="21" s="1"/>
  <c r="U212" i="21" s="1"/>
  <c r="U213" i="21" s="1"/>
  <c r="U214" i="21" s="1"/>
  <c r="U215" i="21" s="1"/>
  <c r="U216" i="21" s="1"/>
  <c r="U217" i="21" s="1"/>
  <c r="U218" i="21" s="1"/>
  <c r="U219" i="21" s="1"/>
  <c r="U220" i="21" s="1"/>
  <c r="U221" i="21" s="1"/>
  <c r="U222" i="21" s="1"/>
  <c r="U223" i="21" s="1"/>
  <c r="U224" i="21" s="1"/>
  <c r="U225" i="21" s="1"/>
  <c r="U226" i="21" s="1"/>
  <c r="U227" i="21" s="1"/>
  <c r="U228" i="21" s="1"/>
  <c r="U229" i="21" s="1"/>
  <c r="U230" i="21" s="1"/>
  <c r="U231" i="21" s="1"/>
  <c r="U232" i="21" s="1"/>
  <c r="U233" i="21" s="1"/>
  <c r="U234" i="21" s="1"/>
  <c r="U235" i="21" s="1"/>
  <c r="U236" i="21" s="1"/>
  <c r="U237" i="21" s="1"/>
  <c r="U238" i="21" s="1"/>
  <c r="U239" i="21" s="1"/>
  <c r="U240" i="21" s="1"/>
  <c r="U241" i="21" s="1"/>
  <c r="U242" i="21" s="1"/>
  <c r="U243" i="21" s="1"/>
  <c r="U244" i="21" s="1"/>
  <c r="U245" i="21" s="1"/>
  <c r="U246" i="21" s="1"/>
  <c r="U247" i="21" s="1"/>
  <c r="U248" i="21" s="1"/>
  <c r="U249" i="21" s="1"/>
  <c r="U250" i="21" s="1"/>
  <c r="U251" i="21" s="1"/>
  <c r="U252" i="21" s="1"/>
  <c r="U253" i="21" s="1"/>
  <c r="U254" i="21" s="1"/>
  <c r="U255" i="21" s="1"/>
  <c r="U256" i="21" s="1"/>
  <c r="U257" i="21" s="1"/>
  <c r="U258" i="21" s="1"/>
  <c r="U259" i="21" s="1"/>
  <c r="U260" i="21" s="1"/>
  <c r="U261" i="21" s="1"/>
  <c r="U262" i="21" s="1"/>
  <c r="U263" i="21" s="1"/>
  <c r="U264" i="21" s="1"/>
  <c r="U265" i="21" s="1"/>
  <c r="U266" i="21" s="1"/>
  <c r="U267" i="21" s="1"/>
  <c r="U268" i="21" s="1"/>
  <c r="U269" i="21" s="1"/>
  <c r="U270" i="21" s="1"/>
  <c r="U271" i="21" s="1"/>
  <c r="U272" i="21" s="1"/>
  <c r="U273" i="21" s="1"/>
  <c r="U274" i="21" s="1"/>
  <c r="U275" i="21" s="1"/>
  <c r="U276" i="21" s="1"/>
  <c r="U277" i="21" s="1"/>
  <c r="U278" i="21" s="1"/>
  <c r="U279" i="21" s="1"/>
  <c r="U280" i="21" s="1"/>
  <c r="U281" i="21" s="1"/>
  <c r="U282" i="21" s="1"/>
  <c r="U283" i="21" s="1"/>
  <c r="U284" i="21" s="1"/>
  <c r="U285" i="21" s="1"/>
  <c r="U286" i="21" s="1"/>
  <c r="U287" i="21" s="1"/>
  <c r="U288" i="21" s="1"/>
  <c r="U289" i="21" s="1"/>
  <c r="U290" i="21" s="1"/>
  <c r="U291" i="21" s="1"/>
  <c r="U292" i="21" s="1"/>
  <c r="U293" i="21" s="1"/>
  <c r="U294" i="21" s="1"/>
  <c r="U295" i="21" s="1"/>
  <c r="U296" i="21" s="1"/>
  <c r="U297" i="21" s="1"/>
  <c r="U298" i="21" s="1"/>
  <c r="U299" i="21" s="1"/>
  <c r="U300" i="21" s="1"/>
  <c r="U301" i="21" s="1"/>
  <c r="U302" i="21" s="1"/>
  <c r="U303" i="21" s="1"/>
  <c r="U304" i="21" s="1"/>
  <c r="U305" i="21" s="1"/>
  <c r="U306" i="21" s="1"/>
  <c r="U307" i="21" s="1"/>
  <c r="U308" i="21" s="1"/>
  <c r="U309" i="21" s="1"/>
  <c r="U310" i="21" s="1"/>
  <c r="U311" i="21" s="1"/>
  <c r="U312" i="21" s="1"/>
  <c r="U313" i="21" s="1"/>
  <c r="U314" i="21" s="1"/>
  <c r="U315" i="21" s="1"/>
  <c r="U316" i="21" s="1"/>
  <c r="U317" i="21" s="1"/>
  <c r="U318" i="21" s="1"/>
  <c r="U319" i="21" s="1"/>
  <c r="U320" i="21" s="1"/>
  <c r="U321" i="21" s="1"/>
  <c r="U322" i="21" s="1"/>
  <c r="U323" i="21" s="1"/>
  <c r="U324" i="21" s="1"/>
  <c r="U325" i="21" s="1"/>
  <c r="U326" i="21" s="1"/>
  <c r="U327" i="21" s="1"/>
  <c r="U328" i="21" s="1"/>
  <c r="U329" i="21" s="1"/>
  <c r="U330" i="21" s="1"/>
  <c r="U331" i="21" s="1"/>
  <c r="U332" i="21" s="1"/>
  <c r="U333" i="21" s="1"/>
  <c r="U334" i="21" s="1"/>
  <c r="U335" i="21" s="1"/>
  <c r="U336" i="21" s="1"/>
  <c r="U337" i="21" s="1"/>
  <c r="U338" i="21" s="1"/>
  <c r="U339" i="21" s="1"/>
  <c r="U340" i="21" s="1"/>
  <c r="U341" i="21" s="1"/>
  <c r="U342" i="21" s="1"/>
  <c r="U343" i="21" s="1"/>
  <c r="U344" i="21" s="1"/>
  <c r="U345" i="21" s="1"/>
  <c r="U346" i="21" s="1"/>
  <c r="U347" i="21" s="1"/>
  <c r="U348" i="21" s="1"/>
  <c r="U349" i="21" s="1"/>
  <c r="U350" i="21" s="1"/>
  <c r="U351" i="21" s="1"/>
  <c r="U352" i="21" s="1"/>
  <c r="U353" i="21" s="1"/>
  <c r="U354" i="21" s="1"/>
  <c r="U355" i="21" s="1"/>
  <c r="U356" i="21" s="1"/>
  <c r="U357" i="21" s="1"/>
  <c r="U358" i="21" s="1"/>
  <c r="U359" i="21" s="1"/>
  <c r="U360" i="21" s="1"/>
  <c r="U361" i="21" s="1"/>
  <c r="U362" i="21" s="1"/>
  <c r="U363" i="21" s="1"/>
  <c r="U364" i="21" s="1"/>
  <c r="U365" i="21" s="1"/>
  <c r="U366" i="21" s="1"/>
  <c r="U367" i="21" s="1"/>
  <c r="U368" i="21" s="1"/>
  <c r="U369" i="21" s="1"/>
  <c r="U370" i="21" s="1"/>
  <c r="U371" i="21" s="1"/>
  <c r="U372" i="21" s="1"/>
  <c r="U373" i="21" s="1"/>
  <c r="U374" i="21" s="1"/>
  <c r="U375" i="21" s="1"/>
  <c r="U376" i="21" s="1"/>
  <c r="U377" i="21" s="1"/>
  <c r="U378" i="21" s="1"/>
  <c r="U379" i="21" s="1"/>
  <c r="V15" i="21"/>
  <c r="V16" i="21" s="1"/>
  <c r="V17" i="21" s="1"/>
  <c r="V18" i="21" s="1"/>
  <c r="V19" i="21" s="1"/>
  <c r="A16" i="21"/>
  <c r="B16" i="21"/>
  <c r="B17" i="21" s="1"/>
  <c r="I16" i="21"/>
  <c r="K8" i="33" s="1"/>
  <c r="K16" i="21"/>
  <c r="L16" i="21"/>
  <c r="M16" i="21"/>
  <c r="N16" i="21"/>
  <c r="A17" i="21"/>
  <c r="A18" i="21" s="1"/>
  <c r="A19" i="21" s="1"/>
  <c r="I17" i="21"/>
  <c r="K17" i="21"/>
  <c r="L17" i="21"/>
  <c r="G8" i="33" s="1"/>
  <c r="M17" i="21"/>
  <c r="E8" i="34" s="1"/>
  <c r="N17" i="21"/>
  <c r="V20" i="21"/>
  <c r="V21" i="21" s="1"/>
  <c r="V22" i="21" s="1"/>
  <c r="V23" i="21" s="1"/>
  <c r="V24" i="21" s="1"/>
  <c r="V25" i="21" s="1"/>
  <c r="V26" i="21" s="1"/>
  <c r="V27" i="21" s="1"/>
  <c r="V28" i="21" s="1"/>
  <c r="V29" i="21" s="1"/>
  <c r="V30" i="21" s="1"/>
  <c r="V31" i="21" s="1"/>
  <c r="V32" i="21" s="1"/>
  <c r="V33" i="21" s="1"/>
  <c r="V34" i="21" s="1"/>
  <c r="V35" i="21" s="1"/>
  <c r="V36" i="21" s="1"/>
  <c r="V37" i="21" s="1"/>
  <c r="V38" i="21" s="1"/>
  <c r="V39" i="21" s="1"/>
  <c r="V40" i="21" s="1"/>
  <c r="V41" i="21" s="1"/>
  <c r="V42" i="21" s="1"/>
  <c r="V43" i="21" s="1"/>
  <c r="V44" i="21" s="1"/>
  <c r="V45" i="21" s="1"/>
  <c r="V46" i="21" s="1"/>
  <c r="V47" i="21" s="1"/>
  <c r="V48" i="21" s="1"/>
  <c r="V49" i="21" s="1"/>
  <c r="V50" i="21" s="1"/>
  <c r="V51" i="21" s="1"/>
  <c r="V52" i="21" s="1"/>
  <c r="V53" i="21" s="1"/>
  <c r="V54" i="21" s="1"/>
  <c r="V55" i="21" s="1"/>
  <c r="V56" i="21" s="1"/>
  <c r="V57" i="21" s="1"/>
  <c r="V58" i="21" s="1"/>
  <c r="V59" i="21" s="1"/>
  <c r="V60" i="21" s="1"/>
  <c r="V61" i="21" s="1"/>
  <c r="V62" i="21" s="1"/>
  <c r="V63" i="21" s="1"/>
  <c r="V64" i="21" s="1"/>
  <c r="V65" i="21" s="1"/>
  <c r="V66" i="21" s="1"/>
  <c r="V67" i="21" s="1"/>
  <c r="V68" i="21" s="1"/>
  <c r="V69" i="21" s="1"/>
  <c r="V70" i="21" s="1"/>
  <c r="V71" i="21" s="1"/>
  <c r="V72" i="21" s="1"/>
  <c r="V73" i="21" s="1"/>
  <c r="V74" i="21" s="1"/>
  <c r="V75" i="21" s="1"/>
  <c r="V76" i="21" s="1"/>
  <c r="V77" i="21" s="1"/>
  <c r="V78" i="21" s="1"/>
  <c r="V79" i="21" s="1"/>
  <c r="V80" i="21" s="1"/>
  <c r="V81" i="21" s="1"/>
  <c r="V82" i="21" s="1"/>
  <c r="V83" i="21" s="1"/>
  <c r="V84" i="21" s="1"/>
  <c r="V85" i="21" s="1"/>
  <c r="V86" i="21" s="1"/>
  <c r="V87" i="21" s="1"/>
  <c r="V88" i="21" s="1"/>
  <c r="V89" i="21" s="1"/>
  <c r="V90" i="21" s="1"/>
  <c r="V91" i="21" s="1"/>
  <c r="V92" i="21" s="1"/>
  <c r="V93" i="21" s="1"/>
  <c r="V94" i="21" s="1"/>
  <c r="V95" i="21" s="1"/>
  <c r="V96" i="21" s="1"/>
  <c r="V97" i="21" s="1"/>
  <c r="V98" i="21" s="1"/>
  <c r="V99" i="21" s="1"/>
  <c r="V100" i="21" s="1"/>
  <c r="V101" i="21" s="1"/>
  <c r="V102" i="21" s="1"/>
  <c r="V103" i="21" s="1"/>
  <c r="V104" i="21" s="1"/>
  <c r="V105" i="21" s="1"/>
  <c r="V106" i="21" s="1"/>
  <c r="V107" i="21" s="1"/>
  <c r="V108" i="21" s="1"/>
  <c r="V109" i="21" s="1"/>
  <c r="V110" i="21" s="1"/>
  <c r="V111" i="21" s="1"/>
  <c r="V112" i="21" s="1"/>
  <c r="V113" i="21" s="1"/>
  <c r="V114" i="21" s="1"/>
  <c r="V115" i="21" s="1"/>
  <c r="V116" i="21" s="1"/>
  <c r="V117" i="21" s="1"/>
  <c r="V118" i="21" s="1"/>
  <c r="V119" i="21" s="1"/>
  <c r="V120" i="21" s="1"/>
  <c r="V121" i="21" s="1"/>
  <c r="V122" i="21" s="1"/>
  <c r="V123" i="21" s="1"/>
  <c r="V124" i="21" s="1"/>
  <c r="V125" i="21" s="1"/>
  <c r="V126" i="21" s="1"/>
  <c r="V127" i="21" s="1"/>
  <c r="V128" i="21" s="1"/>
  <c r="V129" i="21" s="1"/>
  <c r="V130" i="21" s="1"/>
  <c r="V131" i="21" s="1"/>
  <c r="V132" i="21" s="1"/>
  <c r="V133" i="21" s="1"/>
  <c r="V134" i="21" s="1"/>
  <c r="V135" i="21" s="1"/>
  <c r="V136" i="21" s="1"/>
  <c r="V137" i="21" s="1"/>
  <c r="V138" i="21" s="1"/>
  <c r="V139" i="21" s="1"/>
  <c r="V140" i="21" s="1"/>
  <c r="V141" i="21" s="1"/>
  <c r="V142" i="21" s="1"/>
  <c r="V143" i="21" s="1"/>
  <c r="V144" i="21" s="1"/>
  <c r="V145" i="21" s="1"/>
  <c r="V146" i="21" s="1"/>
  <c r="V147" i="21" s="1"/>
  <c r="V148" i="21" s="1"/>
  <c r="V149" i="21" s="1"/>
  <c r="V150" i="21" s="1"/>
  <c r="V151" i="21" s="1"/>
  <c r="V152" i="21" s="1"/>
  <c r="V153" i="21" s="1"/>
  <c r="V154" i="21" s="1"/>
  <c r="V155" i="21" s="1"/>
  <c r="V156" i="21" s="1"/>
  <c r="V157" i="21" s="1"/>
  <c r="V158" i="21" s="1"/>
  <c r="V159" i="21" s="1"/>
  <c r="V160" i="21" s="1"/>
  <c r="V161" i="21" s="1"/>
  <c r="V162" i="21" s="1"/>
  <c r="V163" i="21" s="1"/>
  <c r="V164" i="21" s="1"/>
  <c r="V165" i="21" s="1"/>
  <c r="V166" i="21" s="1"/>
  <c r="V167" i="21" s="1"/>
  <c r="V168" i="21" s="1"/>
  <c r="V169" i="21" s="1"/>
  <c r="V170" i="21" s="1"/>
  <c r="V171" i="21" s="1"/>
  <c r="V172" i="21" s="1"/>
  <c r="V173" i="21" s="1"/>
  <c r="V174" i="21" s="1"/>
  <c r="V175" i="21" s="1"/>
  <c r="V176" i="21" s="1"/>
  <c r="V177" i="21" s="1"/>
  <c r="V178" i="21" s="1"/>
  <c r="V179" i="21" s="1"/>
  <c r="V180" i="21" s="1"/>
  <c r="V181" i="21" s="1"/>
  <c r="V182" i="21" s="1"/>
  <c r="V183" i="21" s="1"/>
  <c r="V184" i="21" s="1"/>
  <c r="V185" i="21" s="1"/>
  <c r="V186" i="21" s="1"/>
  <c r="V187" i="21" s="1"/>
  <c r="V188" i="21" s="1"/>
  <c r="V189" i="21" s="1"/>
  <c r="V190" i="21" s="1"/>
  <c r="V191" i="21" s="1"/>
  <c r="V192" i="21" s="1"/>
  <c r="V193" i="21" s="1"/>
  <c r="V194" i="21" s="1"/>
  <c r="V195" i="21" s="1"/>
  <c r="V196" i="21" s="1"/>
  <c r="V197" i="21" s="1"/>
  <c r="V198" i="21" s="1"/>
  <c r="V199" i="21" s="1"/>
  <c r="V200" i="21" s="1"/>
  <c r="V201" i="21" s="1"/>
  <c r="V202" i="21" s="1"/>
  <c r="V203" i="21" s="1"/>
  <c r="V204" i="21" s="1"/>
  <c r="V205" i="21" s="1"/>
  <c r="V206" i="21" s="1"/>
  <c r="V207" i="21" s="1"/>
  <c r="V208" i="21" s="1"/>
  <c r="V209" i="21" s="1"/>
  <c r="V210" i="21" s="1"/>
  <c r="V211" i="21" s="1"/>
  <c r="V212" i="21" s="1"/>
  <c r="V213" i="21" s="1"/>
  <c r="V214" i="21" s="1"/>
  <c r="V215" i="21" s="1"/>
  <c r="V216" i="21" s="1"/>
  <c r="V217" i="21" s="1"/>
  <c r="V218" i="21" s="1"/>
  <c r="V219" i="21" s="1"/>
  <c r="V220" i="21" s="1"/>
  <c r="V221" i="21" s="1"/>
  <c r="V222" i="21" s="1"/>
  <c r="V223" i="21" s="1"/>
  <c r="V224" i="21" s="1"/>
  <c r="V225" i="21" s="1"/>
  <c r="V226" i="21" s="1"/>
  <c r="V227" i="21" s="1"/>
  <c r="V228" i="21" s="1"/>
  <c r="V229" i="21" s="1"/>
  <c r="V230" i="21" s="1"/>
  <c r="V231" i="21" s="1"/>
  <c r="V232" i="21" s="1"/>
  <c r="V233" i="21" s="1"/>
  <c r="V234" i="21" s="1"/>
  <c r="V235" i="21" s="1"/>
  <c r="V236" i="21" s="1"/>
  <c r="V237" i="21" s="1"/>
  <c r="V238" i="21" s="1"/>
  <c r="V239" i="21" s="1"/>
  <c r="V240" i="21" s="1"/>
  <c r="V241" i="21" s="1"/>
  <c r="V242" i="21" s="1"/>
  <c r="V243" i="21" s="1"/>
  <c r="V244" i="21" s="1"/>
  <c r="V245" i="21" s="1"/>
  <c r="V246" i="21" s="1"/>
  <c r="V247" i="21" s="1"/>
  <c r="V248" i="21" s="1"/>
  <c r="V249" i="21" s="1"/>
  <c r="V250" i="21" s="1"/>
  <c r="V251" i="21" s="1"/>
  <c r="V252" i="21" s="1"/>
  <c r="V253" i="21" s="1"/>
  <c r="V254" i="21" s="1"/>
  <c r="V255" i="21" s="1"/>
  <c r="V256" i="21" s="1"/>
  <c r="V257" i="21" s="1"/>
  <c r="V258" i="21" s="1"/>
  <c r="V259" i="21" s="1"/>
  <c r="V260" i="21" s="1"/>
  <c r="V261" i="21" s="1"/>
  <c r="V262" i="21" s="1"/>
  <c r="V263" i="21" s="1"/>
  <c r="V264" i="21" s="1"/>
  <c r="V265" i="21" s="1"/>
  <c r="V266" i="21" s="1"/>
  <c r="V267" i="21" s="1"/>
  <c r="V268" i="21" s="1"/>
  <c r="V269" i="21" s="1"/>
  <c r="V270" i="21" s="1"/>
  <c r="V271" i="21" s="1"/>
  <c r="V272" i="21" s="1"/>
  <c r="V273" i="21" s="1"/>
  <c r="V274" i="21" s="1"/>
  <c r="V275" i="21" s="1"/>
  <c r="V276" i="21" s="1"/>
  <c r="V277" i="21" s="1"/>
  <c r="V278" i="21" s="1"/>
  <c r="V279" i="21" s="1"/>
  <c r="V280" i="21" s="1"/>
  <c r="V281" i="21" s="1"/>
  <c r="V282" i="21" s="1"/>
  <c r="V283" i="21" s="1"/>
  <c r="V284" i="21" s="1"/>
  <c r="V285" i="21" s="1"/>
  <c r="V286" i="21" s="1"/>
  <c r="V287" i="21" s="1"/>
  <c r="V288" i="21" s="1"/>
  <c r="V289" i="21" s="1"/>
  <c r="V290" i="21" s="1"/>
  <c r="V291" i="21" s="1"/>
  <c r="V292" i="21" s="1"/>
  <c r="V293" i="21" s="1"/>
  <c r="V294" i="21" s="1"/>
  <c r="V295" i="21" s="1"/>
  <c r="V296" i="21" s="1"/>
  <c r="V297" i="21" s="1"/>
  <c r="V298" i="21" s="1"/>
  <c r="V299" i="21" s="1"/>
  <c r="V300" i="21" s="1"/>
  <c r="V301" i="21" s="1"/>
  <c r="V302" i="21" s="1"/>
  <c r="V303" i="21" s="1"/>
  <c r="V304" i="21" s="1"/>
  <c r="V305" i="21" s="1"/>
  <c r="V306" i="21" s="1"/>
  <c r="V307" i="21" s="1"/>
  <c r="V308" i="21" s="1"/>
  <c r="V309" i="21" s="1"/>
  <c r="V310" i="21" s="1"/>
  <c r="V311" i="21" s="1"/>
  <c r="V312" i="21" s="1"/>
  <c r="V313" i="21" s="1"/>
  <c r="V314" i="21" s="1"/>
  <c r="V315" i="21" s="1"/>
  <c r="V316" i="21" s="1"/>
  <c r="V317" i="21" s="1"/>
  <c r="V318" i="21" s="1"/>
  <c r="V319" i="21" s="1"/>
  <c r="V320" i="21" s="1"/>
  <c r="V321" i="21" s="1"/>
  <c r="V322" i="21" s="1"/>
  <c r="V323" i="21" s="1"/>
  <c r="V324" i="21" s="1"/>
  <c r="V325" i="21" s="1"/>
  <c r="V326" i="21" s="1"/>
  <c r="V327" i="21" s="1"/>
  <c r="V328" i="21" s="1"/>
  <c r="V329" i="21" s="1"/>
  <c r="V330" i="21" s="1"/>
  <c r="V331" i="21" s="1"/>
  <c r="V332" i="21" s="1"/>
  <c r="V333" i="21" s="1"/>
  <c r="V334" i="21" s="1"/>
  <c r="V335" i="21" s="1"/>
  <c r="V336" i="21" s="1"/>
  <c r="V337" i="21" s="1"/>
  <c r="V338" i="21" s="1"/>
  <c r="V339" i="21" s="1"/>
  <c r="V340" i="21" s="1"/>
  <c r="V341" i="21" s="1"/>
  <c r="V342" i="21" s="1"/>
  <c r="V343" i="21" s="1"/>
  <c r="V344" i="21" s="1"/>
  <c r="V345" i="21" s="1"/>
  <c r="V346" i="21" s="1"/>
  <c r="V347" i="21" s="1"/>
  <c r="V348" i="21" s="1"/>
  <c r="V349" i="21" s="1"/>
  <c r="V350" i="21" s="1"/>
  <c r="V351" i="21" s="1"/>
  <c r="V352" i="21" s="1"/>
  <c r="V353" i="21" s="1"/>
  <c r="V354" i="21" s="1"/>
  <c r="V355" i="21" s="1"/>
  <c r="V356" i="21" s="1"/>
  <c r="V357" i="21" s="1"/>
  <c r="V358" i="21" s="1"/>
  <c r="V359" i="21" s="1"/>
  <c r="V360" i="21" s="1"/>
  <c r="V361" i="21" s="1"/>
  <c r="V362" i="21" s="1"/>
  <c r="V363" i="21" s="1"/>
  <c r="V364" i="21" s="1"/>
  <c r="V365" i="21" s="1"/>
  <c r="V366" i="21" s="1"/>
  <c r="V367" i="21" s="1"/>
  <c r="V368" i="21" s="1"/>
  <c r="V369" i="21" s="1"/>
  <c r="V370" i="21" s="1"/>
  <c r="V371" i="21" s="1"/>
  <c r="V372" i="21" s="1"/>
  <c r="V373" i="21" s="1"/>
  <c r="V374" i="21" s="1"/>
  <c r="V375" i="21" s="1"/>
  <c r="V376" i="21" s="1"/>
  <c r="V377" i="21" s="1"/>
  <c r="V378" i="21" s="1"/>
  <c r="V379" i="21" s="1"/>
  <c r="I18" i="21"/>
  <c r="K18" i="21"/>
  <c r="D8" i="34" s="1"/>
  <c r="L18" i="21"/>
  <c r="M18" i="21"/>
  <c r="N18" i="21"/>
  <c r="I19" i="21"/>
  <c r="K19" i="21"/>
  <c r="L19" i="21"/>
  <c r="M19" i="21"/>
  <c r="N19" i="21"/>
  <c r="F7" i="32" s="1"/>
  <c r="I20" i="21"/>
  <c r="A21" i="21"/>
  <c r="I21" i="21"/>
  <c r="K21" i="21"/>
  <c r="L21" i="21"/>
  <c r="M21" i="21"/>
  <c r="N21" i="21"/>
  <c r="I22" i="21"/>
  <c r="K22" i="21"/>
  <c r="L22" i="21"/>
  <c r="M22" i="21"/>
  <c r="N22" i="21"/>
  <c r="A23" i="21"/>
  <c r="A24" i="21" s="1"/>
  <c r="I23" i="21"/>
  <c r="K23" i="21"/>
  <c r="D9" i="33" s="1"/>
  <c r="L23" i="21"/>
  <c r="M23" i="21"/>
  <c r="N23" i="21"/>
  <c r="I24" i="21"/>
  <c r="K24" i="21"/>
  <c r="L24" i="21"/>
  <c r="M24" i="21"/>
  <c r="N24" i="21"/>
  <c r="I25" i="21"/>
  <c r="K25" i="21"/>
  <c r="L25" i="21"/>
  <c r="M25" i="21"/>
  <c r="N25" i="21"/>
  <c r="F8" i="32" s="1"/>
  <c r="I26" i="21"/>
  <c r="K26" i="21"/>
  <c r="L26" i="21"/>
  <c r="M26" i="21"/>
  <c r="N26" i="21"/>
  <c r="I27" i="21"/>
  <c r="K27" i="21"/>
  <c r="L27" i="21"/>
  <c r="M27" i="21"/>
  <c r="N27" i="21"/>
  <c r="I28" i="21"/>
  <c r="K28" i="21"/>
  <c r="L28" i="21"/>
  <c r="M28" i="21"/>
  <c r="N28" i="21"/>
  <c r="I29" i="21"/>
  <c r="K29" i="21"/>
  <c r="L29" i="21"/>
  <c r="M29" i="21"/>
  <c r="N29" i="21"/>
  <c r="A30" i="21"/>
  <c r="I30" i="21"/>
  <c r="K30" i="21"/>
  <c r="L30" i="21"/>
  <c r="M30" i="21"/>
  <c r="N30" i="21"/>
  <c r="I31" i="21"/>
  <c r="K31" i="21"/>
  <c r="L31" i="21"/>
  <c r="G10" i="33" s="1"/>
  <c r="M31" i="21"/>
  <c r="N31" i="21"/>
  <c r="I32" i="21"/>
  <c r="K32" i="21"/>
  <c r="L32" i="21"/>
  <c r="M32" i="21"/>
  <c r="N32" i="21"/>
  <c r="I33" i="21"/>
  <c r="K33" i="21"/>
  <c r="L33" i="21"/>
  <c r="M33" i="21"/>
  <c r="N33" i="21"/>
  <c r="I34" i="21"/>
  <c r="K34" i="21"/>
  <c r="L34" i="21"/>
  <c r="M34" i="21"/>
  <c r="E9" i="32" s="1"/>
  <c r="N34" i="21"/>
  <c r="I35" i="21"/>
  <c r="K35" i="21"/>
  <c r="L35" i="21"/>
  <c r="M35" i="21"/>
  <c r="N35" i="21"/>
  <c r="I36" i="21"/>
  <c r="K36" i="21"/>
  <c r="L36" i="21"/>
  <c r="M36" i="21"/>
  <c r="N36" i="21"/>
  <c r="F10" i="32" s="1"/>
  <c r="A37" i="21"/>
  <c r="A38" i="21" s="1"/>
  <c r="A39" i="21" s="1"/>
  <c r="A40" i="21" s="1"/>
  <c r="A41" i="21" s="1"/>
  <c r="A42" i="21" s="1"/>
  <c r="I37" i="21"/>
  <c r="K37" i="21"/>
  <c r="L37" i="21"/>
  <c r="M37" i="21"/>
  <c r="N37" i="21"/>
  <c r="I38" i="21"/>
  <c r="K38" i="21"/>
  <c r="L38" i="21"/>
  <c r="M38" i="21"/>
  <c r="N38" i="21"/>
  <c r="I39" i="21"/>
  <c r="K39" i="21"/>
  <c r="L39" i="21"/>
  <c r="M39" i="21"/>
  <c r="N39" i="21"/>
  <c r="I40" i="21"/>
  <c r="K40" i="21"/>
  <c r="L40" i="21"/>
  <c r="M40" i="21"/>
  <c r="N40" i="21"/>
  <c r="I41" i="21"/>
  <c r="K41" i="21"/>
  <c r="L41" i="21"/>
  <c r="M41" i="21"/>
  <c r="N41" i="21"/>
  <c r="I42" i="21"/>
  <c r="K42" i="21"/>
  <c r="L42" i="21"/>
  <c r="M42" i="21"/>
  <c r="N42" i="21"/>
  <c r="I43" i="21"/>
  <c r="K43" i="21"/>
  <c r="L43" i="21"/>
  <c r="G12" i="33" s="1"/>
  <c r="M43" i="21"/>
  <c r="N43" i="21"/>
  <c r="A44" i="21"/>
  <c r="A45" i="21" s="1"/>
  <c r="A46" i="21"/>
  <c r="A47" i="21" s="1"/>
  <c r="I44" i="21"/>
  <c r="K44" i="21"/>
  <c r="L44" i="21"/>
  <c r="M44" i="21"/>
  <c r="E11" i="32" s="1"/>
  <c r="N44" i="21"/>
  <c r="F11" i="32" s="1"/>
  <c r="I45" i="21"/>
  <c r="K45" i="21"/>
  <c r="L45" i="21"/>
  <c r="M45" i="21"/>
  <c r="N45" i="21"/>
  <c r="I8" i="35" s="1"/>
  <c r="I46" i="21"/>
  <c r="K46" i="21"/>
  <c r="L46" i="21"/>
  <c r="M46" i="21"/>
  <c r="N46" i="21"/>
  <c r="I47" i="21"/>
  <c r="K47" i="21"/>
  <c r="L47" i="21"/>
  <c r="F13" i="31" s="1"/>
  <c r="M47" i="21"/>
  <c r="H8" i="35" s="1"/>
  <c r="N47" i="21"/>
  <c r="I48" i="21"/>
  <c r="C27" i="31" s="1"/>
  <c r="K48" i="21"/>
  <c r="L48" i="21"/>
  <c r="M48" i="21"/>
  <c r="N48" i="21"/>
  <c r="I49" i="21"/>
  <c r="K49" i="21"/>
  <c r="L49" i="21"/>
  <c r="M49" i="21"/>
  <c r="N49" i="21"/>
  <c r="I50" i="21"/>
  <c r="K50" i="21"/>
  <c r="L50" i="21"/>
  <c r="G12" i="32" s="1"/>
  <c r="M50" i="21"/>
  <c r="N50" i="21"/>
  <c r="A51" i="21"/>
  <c r="A52" i="21" s="1"/>
  <c r="A53" i="21" s="1"/>
  <c r="I51" i="21"/>
  <c r="K51" i="21"/>
  <c r="L51" i="21"/>
  <c r="M51" i="21"/>
  <c r="N51" i="21"/>
  <c r="I52" i="21"/>
  <c r="K52" i="21"/>
  <c r="L52" i="21"/>
  <c r="M52" i="21"/>
  <c r="N52" i="21"/>
  <c r="I53" i="21"/>
  <c r="K53" i="21"/>
  <c r="L53" i="21"/>
  <c r="M53" i="21"/>
  <c r="E13" i="33" s="1"/>
  <c r="N53" i="21"/>
  <c r="I54" i="21"/>
  <c r="K54" i="21"/>
  <c r="L54" i="21"/>
  <c r="M54" i="21"/>
  <c r="N54" i="21"/>
  <c r="I55" i="21"/>
  <c r="K55" i="21"/>
  <c r="L55" i="21"/>
  <c r="M55" i="21"/>
  <c r="N55" i="21"/>
  <c r="F13" i="33" s="1"/>
  <c r="I56" i="21"/>
  <c r="K56" i="21"/>
  <c r="L56" i="21"/>
  <c r="M56" i="21"/>
  <c r="N56" i="21"/>
  <c r="I57" i="21"/>
  <c r="K57" i="21"/>
  <c r="L57" i="21"/>
  <c r="M57" i="21"/>
  <c r="N57" i="21"/>
  <c r="A58" i="21"/>
  <c r="I58" i="21"/>
  <c r="K58" i="21"/>
  <c r="D13" i="32"/>
  <c r="L58" i="21"/>
  <c r="M58" i="21"/>
  <c r="E14" i="33" s="1"/>
  <c r="N58" i="21"/>
  <c r="I59" i="21"/>
  <c r="K59" i="21"/>
  <c r="L59" i="21"/>
  <c r="M59" i="21"/>
  <c r="N59" i="21"/>
  <c r="I60" i="21"/>
  <c r="K60" i="21"/>
  <c r="L60" i="21"/>
  <c r="M60" i="21"/>
  <c r="N60" i="21"/>
  <c r="I61" i="21"/>
  <c r="K14" i="33" s="1"/>
  <c r="K61" i="21"/>
  <c r="L61" i="21"/>
  <c r="G13" i="32" s="1"/>
  <c r="M61" i="21"/>
  <c r="N61" i="21"/>
  <c r="I62" i="21"/>
  <c r="K62" i="21"/>
  <c r="L62" i="21"/>
  <c r="M62" i="21"/>
  <c r="N62" i="21"/>
  <c r="I63" i="21"/>
  <c r="K63" i="21"/>
  <c r="L63" i="21"/>
  <c r="M63" i="21"/>
  <c r="N63" i="21"/>
  <c r="I64" i="21"/>
  <c r="K64" i="21"/>
  <c r="L64" i="21"/>
  <c r="G14" i="32" s="1"/>
  <c r="M64" i="21"/>
  <c r="N64" i="21"/>
  <c r="F14" i="32" s="1"/>
  <c r="A65" i="21"/>
  <c r="A66" i="21" s="1"/>
  <c r="A67" i="21" s="1"/>
  <c r="A68" i="21" s="1"/>
  <c r="A69" i="21" s="1"/>
  <c r="I65" i="21"/>
  <c r="K65" i="21"/>
  <c r="L65" i="21"/>
  <c r="M65" i="21"/>
  <c r="N65" i="21"/>
  <c r="I66" i="21"/>
  <c r="K66" i="21"/>
  <c r="L66" i="21"/>
  <c r="G15" i="33" s="1"/>
  <c r="M66" i="21"/>
  <c r="N66" i="21"/>
  <c r="I67" i="21"/>
  <c r="K67" i="21"/>
  <c r="L67" i="21"/>
  <c r="M67" i="21"/>
  <c r="N67" i="21"/>
  <c r="I68" i="21"/>
  <c r="K68" i="21"/>
  <c r="L68" i="21"/>
  <c r="M68" i="21"/>
  <c r="N68" i="21"/>
  <c r="I69" i="21"/>
  <c r="K15" i="33" s="1"/>
  <c r="K69" i="21"/>
  <c r="K380" i="21" s="1"/>
  <c r="L69" i="21"/>
  <c r="M69" i="21"/>
  <c r="N69" i="21"/>
  <c r="I70" i="21"/>
  <c r="K70" i="21"/>
  <c r="L70" i="21"/>
  <c r="M70" i="21"/>
  <c r="N70" i="21"/>
  <c r="I71" i="21"/>
  <c r="K71" i="21"/>
  <c r="L71" i="21"/>
  <c r="M71" i="21"/>
  <c r="N71" i="21"/>
  <c r="F16" i="33" s="1"/>
  <c r="A72" i="21"/>
  <c r="A73" i="21" s="1"/>
  <c r="A74" i="21" s="1"/>
  <c r="I72" i="21"/>
  <c r="K72" i="21"/>
  <c r="L72" i="21"/>
  <c r="G16" i="33" s="1"/>
  <c r="M72" i="21"/>
  <c r="N72" i="21"/>
  <c r="I73" i="21"/>
  <c r="K73" i="21"/>
  <c r="L73" i="21"/>
  <c r="M73" i="21"/>
  <c r="N73" i="21"/>
  <c r="I74" i="21"/>
  <c r="K74" i="21"/>
  <c r="L74" i="21"/>
  <c r="M74" i="21"/>
  <c r="E15" i="32" s="1"/>
  <c r="N74" i="21"/>
  <c r="I75" i="21"/>
  <c r="K75" i="21"/>
  <c r="L75" i="21"/>
  <c r="M75" i="21"/>
  <c r="N75" i="21"/>
  <c r="I76" i="21"/>
  <c r="K76" i="21"/>
  <c r="L76" i="21"/>
  <c r="M76" i="21"/>
  <c r="N76" i="21"/>
  <c r="I77" i="21"/>
  <c r="K77" i="21"/>
  <c r="L77" i="21"/>
  <c r="M77" i="21"/>
  <c r="N77" i="21"/>
  <c r="I78" i="21"/>
  <c r="K78" i="21"/>
  <c r="L78" i="21"/>
  <c r="G17" i="33" s="1"/>
  <c r="M78" i="21"/>
  <c r="N78" i="21"/>
  <c r="A79" i="21"/>
  <c r="A80" i="21" s="1"/>
  <c r="I79" i="21"/>
  <c r="K79" i="21"/>
  <c r="L79" i="21"/>
  <c r="M79" i="21"/>
  <c r="N79" i="21"/>
  <c r="I80" i="21"/>
  <c r="K10" i="34" s="1"/>
  <c r="K80" i="21"/>
  <c r="L80" i="21"/>
  <c r="M80" i="21"/>
  <c r="N80" i="21"/>
  <c r="I81" i="21"/>
  <c r="K81" i="21"/>
  <c r="L81" i="21"/>
  <c r="M81" i="21"/>
  <c r="N81" i="21"/>
  <c r="I82" i="21"/>
  <c r="K82" i="21"/>
  <c r="L82" i="21"/>
  <c r="M82" i="21"/>
  <c r="E17" i="33" s="1"/>
  <c r="N82" i="21"/>
  <c r="F17" i="33" s="1"/>
  <c r="I83" i="21"/>
  <c r="K83" i="21"/>
  <c r="L83" i="21"/>
  <c r="M83" i="21"/>
  <c r="N83" i="21"/>
  <c r="I84" i="21"/>
  <c r="K84" i="21"/>
  <c r="L84" i="21"/>
  <c r="M84" i="21"/>
  <c r="N84" i="21"/>
  <c r="I85" i="21"/>
  <c r="K85" i="21"/>
  <c r="L85" i="21"/>
  <c r="M85" i="21"/>
  <c r="N85" i="21"/>
  <c r="A86" i="21"/>
  <c r="A87" i="21" s="1"/>
  <c r="A88" i="21" s="1"/>
  <c r="A89" i="21" s="1"/>
  <c r="A90" i="21" s="1"/>
  <c r="A91" i="21" s="1"/>
  <c r="I86" i="21"/>
  <c r="K86" i="21"/>
  <c r="L86" i="21"/>
  <c r="M86" i="21"/>
  <c r="N86" i="21"/>
  <c r="I87" i="21"/>
  <c r="K87" i="21"/>
  <c r="L87" i="21"/>
  <c r="M87" i="21"/>
  <c r="N87" i="21"/>
  <c r="I88" i="21"/>
  <c r="K18" i="33" s="1"/>
  <c r="K88" i="21"/>
  <c r="L88" i="21"/>
  <c r="M88" i="21"/>
  <c r="N88" i="21"/>
  <c r="I89" i="21"/>
  <c r="K89" i="21"/>
  <c r="L89" i="21"/>
  <c r="M89" i="21"/>
  <c r="N89" i="21"/>
  <c r="I90" i="21"/>
  <c r="K90" i="21"/>
  <c r="L90" i="21"/>
  <c r="G17" i="32"/>
  <c r="M90" i="21"/>
  <c r="N90" i="21"/>
  <c r="I91" i="21"/>
  <c r="K91" i="21"/>
  <c r="L91" i="21"/>
  <c r="M91" i="21"/>
  <c r="N91" i="21"/>
  <c r="I92" i="21"/>
  <c r="K92" i="21"/>
  <c r="L92" i="21"/>
  <c r="M92" i="21"/>
  <c r="N92" i="21"/>
  <c r="A93" i="21"/>
  <c r="I93" i="21"/>
  <c r="K93" i="21"/>
  <c r="D18" i="32" s="1"/>
  <c r="L93" i="21"/>
  <c r="M93" i="21"/>
  <c r="E18" i="32" s="1"/>
  <c r="N93" i="21"/>
  <c r="I94" i="21"/>
  <c r="K94" i="21"/>
  <c r="L94" i="21"/>
  <c r="M94" i="21"/>
  <c r="N94" i="21"/>
  <c r="I95" i="21"/>
  <c r="K95" i="21"/>
  <c r="L95" i="21"/>
  <c r="M95" i="21"/>
  <c r="N95" i="21"/>
  <c r="F19" i="33" s="1"/>
  <c r="I96" i="21"/>
  <c r="K96" i="21"/>
  <c r="L96" i="21"/>
  <c r="G19" i="33" s="1"/>
  <c r="M96" i="21"/>
  <c r="N96" i="21"/>
  <c r="I97" i="21"/>
  <c r="K97" i="21"/>
  <c r="L97" i="21"/>
  <c r="M97" i="21"/>
  <c r="N97" i="21"/>
  <c r="I98" i="21"/>
  <c r="K98" i="21"/>
  <c r="L98" i="21"/>
  <c r="M98" i="21"/>
  <c r="N98" i="21"/>
  <c r="I99" i="21"/>
  <c r="K99" i="21"/>
  <c r="D19" i="32" s="1"/>
  <c r="L99" i="21"/>
  <c r="M99" i="21"/>
  <c r="N99" i="21"/>
  <c r="A100" i="21"/>
  <c r="A101" i="21" s="1"/>
  <c r="A102" i="21" s="1"/>
  <c r="I100" i="21"/>
  <c r="K100" i="21"/>
  <c r="L100" i="21"/>
  <c r="M100" i="21"/>
  <c r="E20" i="33" s="1"/>
  <c r="N100" i="21"/>
  <c r="I101" i="21"/>
  <c r="K101" i="21"/>
  <c r="L101" i="21"/>
  <c r="G20" i="33" s="1"/>
  <c r="M101" i="21"/>
  <c r="N101" i="21"/>
  <c r="I102" i="21"/>
  <c r="K102" i="21"/>
  <c r="L102" i="21"/>
  <c r="M102" i="21"/>
  <c r="N102" i="21"/>
  <c r="I103" i="21"/>
  <c r="K103" i="21"/>
  <c r="L103" i="21"/>
  <c r="M103" i="21"/>
  <c r="N103" i="21"/>
  <c r="I104" i="21"/>
  <c r="K104" i="21"/>
  <c r="L104" i="21"/>
  <c r="M104" i="21"/>
  <c r="N104" i="21"/>
  <c r="I105" i="21"/>
  <c r="K105" i="21"/>
  <c r="L105" i="21"/>
  <c r="M105" i="21"/>
  <c r="N105" i="21"/>
  <c r="I106" i="21"/>
  <c r="K106" i="21"/>
  <c r="L106" i="21"/>
  <c r="M106" i="21"/>
  <c r="N106" i="21"/>
  <c r="F20" i="32" s="1"/>
  <c r="A107" i="21"/>
  <c r="A108" i="21" s="1"/>
  <c r="A109" i="21" s="1"/>
  <c r="A110" i="21" s="1"/>
  <c r="A111" i="21" s="1"/>
  <c r="A112" i="21" s="1"/>
  <c r="I107" i="21"/>
  <c r="K107" i="21"/>
  <c r="D21" i="33" s="1"/>
  <c r="L107" i="21"/>
  <c r="G21" i="33" s="1"/>
  <c r="M107" i="21"/>
  <c r="N107" i="21"/>
  <c r="I108" i="21"/>
  <c r="K108" i="21"/>
  <c r="L108" i="21"/>
  <c r="M108" i="21"/>
  <c r="N108" i="21"/>
  <c r="I109" i="21"/>
  <c r="K109" i="21"/>
  <c r="L109" i="21"/>
  <c r="G20" i="32" s="1"/>
  <c r="M109" i="21"/>
  <c r="E11" i="34" s="1"/>
  <c r="N109" i="21"/>
  <c r="I110" i="21"/>
  <c r="K110" i="21"/>
  <c r="L110" i="21"/>
  <c r="M110" i="21"/>
  <c r="N110" i="21"/>
  <c r="I111" i="21"/>
  <c r="K111" i="21"/>
  <c r="L111" i="21"/>
  <c r="M111" i="21"/>
  <c r="N111" i="21"/>
  <c r="I112" i="21"/>
  <c r="K112" i="21"/>
  <c r="L112" i="21"/>
  <c r="M112" i="21"/>
  <c r="N112" i="21"/>
  <c r="I113" i="21"/>
  <c r="K113" i="21"/>
  <c r="L113" i="21"/>
  <c r="G21" i="32" s="1"/>
  <c r="M113" i="21"/>
  <c r="N113" i="21"/>
  <c r="A114" i="21"/>
  <c r="I114" i="21"/>
  <c r="K114" i="21"/>
  <c r="L114" i="21"/>
  <c r="M114" i="21"/>
  <c r="N114" i="21"/>
  <c r="I115" i="21"/>
  <c r="K11" i="34" s="1"/>
  <c r="K115" i="21"/>
  <c r="L115" i="21"/>
  <c r="M115" i="21"/>
  <c r="N115" i="21"/>
  <c r="I116" i="21"/>
  <c r="K116" i="21"/>
  <c r="L116" i="21"/>
  <c r="M116" i="21"/>
  <c r="N116" i="21"/>
  <c r="I117" i="21"/>
  <c r="K117" i="21"/>
  <c r="L117" i="21"/>
  <c r="M117" i="21"/>
  <c r="E22" i="33" s="1"/>
  <c r="N117" i="21"/>
  <c r="F11" i="34" s="1"/>
  <c r="I118" i="21"/>
  <c r="K118" i="21"/>
  <c r="L118" i="21"/>
  <c r="M118" i="21"/>
  <c r="N118" i="21"/>
  <c r="I119" i="21"/>
  <c r="K119" i="21"/>
  <c r="L119" i="21"/>
  <c r="M119" i="21"/>
  <c r="N119" i="21"/>
  <c r="I120" i="21"/>
  <c r="K120" i="21"/>
  <c r="L120" i="21"/>
  <c r="G22" i="32" s="1"/>
  <c r="M120" i="21"/>
  <c r="E23" i="33" s="1"/>
  <c r="N120" i="21"/>
  <c r="A121" i="21"/>
  <c r="I121" i="21"/>
  <c r="K121" i="21"/>
  <c r="L121" i="21"/>
  <c r="M121" i="21"/>
  <c r="N121" i="21"/>
  <c r="I122" i="21"/>
  <c r="K122" i="21"/>
  <c r="L122" i="21"/>
  <c r="M122" i="21"/>
  <c r="N122" i="21"/>
  <c r="I123" i="21"/>
  <c r="K123" i="21"/>
  <c r="D23" i="33" s="1"/>
  <c r="L123" i="21"/>
  <c r="M123" i="21"/>
  <c r="N123" i="21"/>
  <c r="I124" i="21"/>
  <c r="K124" i="21"/>
  <c r="L124" i="21"/>
  <c r="M124" i="21"/>
  <c r="N124" i="21"/>
  <c r="I125" i="21"/>
  <c r="K125" i="21"/>
  <c r="L125" i="21"/>
  <c r="M125" i="21"/>
  <c r="N125" i="21"/>
  <c r="F23" i="33" s="1"/>
  <c r="I126" i="21"/>
  <c r="K126" i="21"/>
  <c r="L126" i="21"/>
  <c r="M126" i="21"/>
  <c r="N126" i="21"/>
  <c r="I127" i="21"/>
  <c r="K127" i="21"/>
  <c r="L127" i="21"/>
  <c r="M127" i="21"/>
  <c r="N127" i="21"/>
  <c r="A128" i="21"/>
  <c r="A129" i="21"/>
  <c r="A130" i="21"/>
  <c r="A131" i="21" s="1"/>
  <c r="A132" i="21" s="1"/>
  <c r="A133" i="21" s="1"/>
  <c r="I128" i="21"/>
  <c r="K24" i="33" s="1"/>
  <c r="K128" i="21"/>
  <c r="L128" i="21"/>
  <c r="M128" i="21"/>
  <c r="N128" i="21"/>
  <c r="I129" i="21"/>
  <c r="K129" i="21"/>
  <c r="L129" i="21"/>
  <c r="M129" i="21"/>
  <c r="N129" i="21"/>
  <c r="I130" i="21"/>
  <c r="K130" i="21"/>
  <c r="L130" i="21"/>
  <c r="M130" i="21"/>
  <c r="E23" i="32" s="1"/>
  <c r="N130" i="21"/>
  <c r="F23" i="32" s="1"/>
  <c r="I131" i="21"/>
  <c r="K131" i="21"/>
  <c r="D24" i="33" s="1"/>
  <c r="L131" i="21"/>
  <c r="M131" i="21"/>
  <c r="N131" i="21"/>
  <c r="I132" i="21"/>
  <c r="K132" i="21"/>
  <c r="L132" i="21"/>
  <c r="M132" i="21"/>
  <c r="N132" i="21"/>
  <c r="I133" i="21"/>
  <c r="K133" i="21"/>
  <c r="L133" i="21"/>
  <c r="M133" i="21"/>
  <c r="N133" i="21"/>
  <c r="I134" i="21"/>
  <c r="K134" i="21"/>
  <c r="D25" i="33" s="1"/>
  <c r="L134" i="21"/>
  <c r="M134" i="21"/>
  <c r="N134" i="21"/>
  <c r="A135" i="21"/>
  <c r="A136" i="21"/>
  <c r="A137" i="21"/>
  <c r="A138" i="21" s="1"/>
  <c r="A139" i="21" s="1"/>
  <c r="I135" i="21"/>
  <c r="K135" i="21"/>
  <c r="L135" i="21"/>
  <c r="M135" i="21"/>
  <c r="E12" i="34" s="1"/>
  <c r="N135" i="21"/>
  <c r="F12" i="34" s="1"/>
  <c r="I136" i="21"/>
  <c r="K136" i="21"/>
  <c r="L136" i="21"/>
  <c r="M136" i="21"/>
  <c r="N136" i="21"/>
  <c r="I137" i="21"/>
  <c r="K137" i="21"/>
  <c r="L137" i="21"/>
  <c r="M137" i="21"/>
  <c r="N137" i="21"/>
  <c r="I138" i="21"/>
  <c r="K138" i="21"/>
  <c r="L138" i="21"/>
  <c r="G25" i="33" s="1"/>
  <c r="M138" i="21"/>
  <c r="E24" i="32" s="1"/>
  <c r="N138" i="21"/>
  <c r="I139" i="21"/>
  <c r="K139" i="21"/>
  <c r="L139" i="21"/>
  <c r="M139" i="21"/>
  <c r="N139" i="21"/>
  <c r="I140" i="21"/>
  <c r="K140" i="21"/>
  <c r="L140" i="21"/>
  <c r="M140" i="21"/>
  <c r="N140" i="21"/>
  <c r="I141" i="21"/>
  <c r="K141" i="21"/>
  <c r="L141" i="21"/>
  <c r="G25" i="32" s="1"/>
  <c r="M141" i="21"/>
  <c r="N141" i="21"/>
  <c r="F25" i="32" s="1"/>
  <c r="A142" i="21"/>
  <c r="A143" i="21" s="1"/>
  <c r="A144" i="21" s="1"/>
  <c r="A145" i="21" s="1"/>
  <c r="A146" i="21" s="1"/>
  <c r="A147" i="21" s="1"/>
  <c r="I142" i="21"/>
  <c r="K142" i="21"/>
  <c r="L142" i="21"/>
  <c r="M142" i="21"/>
  <c r="N142" i="21"/>
  <c r="I143" i="21"/>
  <c r="K143" i="21"/>
  <c r="L143" i="21"/>
  <c r="M143" i="21"/>
  <c r="N143" i="21"/>
  <c r="I144" i="21"/>
  <c r="K26" i="33" s="1"/>
  <c r="K144" i="21"/>
  <c r="L144" i="21"/>
  <c r="M144" i="21"/>
  <c r="E26" i="33" s="1"/>
  <c r="N144" i="21"/>
  <c r="I145" i="21"/>
  <c r="K145" i="21"/>
  <c r="L145" i="21"/>
  <c r="M145" i="21"/>
  <c r="N145" i="21"/>
  <c r="I146" i="21"/>
  <c r="K146" i="21"/>
  <c r="L146" i="21"/>
  <c r="M146" i="21"/>
  <c r="E25" i="32" s="1"/>
  <c r="N146" i="21"/>
  <c r="I147" i="21"/>
  <c r="K147" i="21"/>
  <c r="L147" i="21"/>
  <c r="M147" i="21"/>
  <c r="N147" i="21"/>
  <c r="I148" i="21"/>
  <c r="K148" i="21"/>
  <c r="L148" i="21"/>
  <c r="M148" i="21"/>
  <c r="N148" i="21"/>
  <c r="A149" i="21"/>
  <c r="I149" i="21"/>
  <c r="K27" i="33" s="1"/>
  <c r="K149" i="21"/>
  <c r="D26" i="32" s="1"/>
  <c r="L149" i="21"/>
  <c r="M149" i="21"/>
  <c r="E26" i="32" s="1"/>
  <c r="N149" i="21"/>
  <c r="I150" i="21"/>
  <c r="K150" i="21"/>
  <c r="L150" i="21"/>
  <c r="M150" i="21"/>
  <c r="N150" i="21"/>
  <c r="I151" i="21"/>
  <c r="K151" i="21"/>
  <c r="L151" i="21"/>
  <c r="M151" i="21"/>
  <c r="N151" i="21"/>
  <c r="I152" i="21"/>
  <c r="K152" i="21"/>
  <c r="L152" i="21"/>
  <c r="G27" i="33" s="1"/>
  <c r="M152" i="21"/>
  <c r="N152" i="21"/>
  <c r="I153" i="21"/>
  <c r="K153" i="21"/>
  <c r="L153" i="21"/>
  <c r="M153" i="21"/>
  <c r="N153" i="21"/>
  <c r="I154" i="21"/>
  <c r="K154" i="21"/>
  <c r="L154" i="21"/>
  <c r="M154" i="21"/>
  <c r="N154" i="21"/>
  <c r="I155" i="21"/>
  <c r="K155" i="21"/>
  <c r="L155" i="21"/>
  <c r="M155" i="21"/>
  <c r="N155" i="21"/>
  <c r="A156" i="21"/>
  <c r="A157" i="21"/>
  <c r="A158" i="21"/>
  <c r="I156" i="21"/>
  <c r="K156" i="21"/>
  <c r="L156" i="21"/>
  <c r="M156" i="21"/>
  <c r="N156" i="21"/>
  <c r="I157" i="21"/>
  <c r="K157" i="21"/>
  <c r="L157" i="21"/>
  <c r="M157" i="21"/>
  <c r="N157" i="21"/>
  <c r="I158" i="21"/>
  <c r="K158" i="21"/>
  <c r="L158" i="21"/>
  <c r="M158" i="21"/>
  <c r="N158" i="21"/>
  <c r="I159" i="21"/>
  <c r="K159" i="21"/>
  <c r="L159" i="21"/>
  <c r="M159" i="21"/>
  <c r="E28" i="33" s="1"/>
  <c r="N159" i="21"/>
  <c r="I160" i="21"/>
  <c r="K160" i="21"/>
  <c r="L160" i="21"/>
  <c r="M160" i="21"/>
  <c r="N160" i="21"/>
  <c r="I161" i="21"/>
  <c r="K161" i="21"/>
  <c r="L161" i="21"/>
  <c r="M161" i="21"/>
  <c r="N161" i="21"/>
  <c r="I162" i="21"/>
  <c r="K162" i="21"/>
  <c r="L162" i="21"/>
  <c r="G28" i="32" s="1"/>
  <c r="M162" i="21"/>
  <c r="E28" i="32" s="1"/>
  <c r="N162" i="21"/>
  <c r="A163" i="21"/>
  <c r="A164" i="21" s="1"/>
  <c r="A165" i="21" s="1"/>
  <c r="A166" i="21" s="1"/>
  <c r="A167" i="21" s="1"/>
  <c r="A168" i="21" s="1"/>
  <c r="I163" i="21"/>
  <c r="K163" i="21"/>
  <c r="L163" i="21"/>
  <c r="M163" i="21"/>
  <c r="N163" i="21"/>
  <c r="I164" i="21"/>
  <c r="K164" i="21"/>
  <c r="L164" i="21"/>
  <c r="M164" i="21"/>
  <c r="N164" i="21"/>
  <c r="I165" i="21"/>
  <c r="K165" i="21"/>
  <c r="D28" i="32" s="1"/>
  <c r="L165" i="21"/>
  <c r="M165" i="21"/>
  <c r="N165" i="21"/>
  <c r="I166" i="21"/>
  <c r="K166" i="21"/>
  <c r="L166" i="21"/>
  <c r="M166" i="21"/>
  <c r="N166" i="21"/>
  <c r="I167" i="21"/>
  <c r="K167" i="21"/>
  <c r="L167" i="21"/>
  <c r="M167" i="21"/>
  <c r="N167" i="21"/>
  <c r="F29" i="33" s="1"/>
  <c r="I168" i="21"/>
  <c r="K29" i="33" s="1"/>
  <c r="K168" i="21"/>
  <c r="L168" i="21"/>
  <c r="M168" i="21"/>
  <c r="N168" i="21"/>
  <c r="I169" i="21"/>
  <c r="K169" i="21"/>
  <c r="L169" i="21"/>
  <c r="M169" i="21"/>
  <c r="N169" i="21"/>
  <c r="A170" i="21"/>
  <c r="A171" i="21" s="1"/>
  <c r="A172" i="21" s="1"/>
  <c r="A173" i="21" s="1"/>
  <c r="A174" i="21" s="1"/>
  <c r="A175" i="21" s="1"/>
  <c r="I170" i="21"/>
  <c r="K170" i="21"/>
  <c r="L170" i="21"/>
  <c r="G29" i="32" s="1"/>
  <c r="M170" i="21"/>
  <c r="E30" i="33" s="1"/>
  <c r="N170" i="21"/>
  <c r="I171" i="21"/>
  <c r="K171" i="21"/>
  <c r="L171" i="21"/>
  <c r="M171" i="21"/>
  <c r="N171" i="21"/>
  <c r="I172" i="21"/>
  <c r="K172" i="21"/>
  <c r="L172" i="21"/>
  <c r="M172" i="21"/>
  <c r="N172" i="21"/>
  <c r="I173" i="21"/>
  <c r="K173" i="21"/>
  <c r="D29" i="32" s="1"/>
  <c r="L173" i="21"/>
  <c r="M173" i="21"/>
  <c r="N173" i="21"/>
  <c r="I174" i="21"/>
  <c r="K174" i="21"/>
  <c r="L174" i="21"/>
  <c r="M174" i="21"/>
  <c r="N174" i="21"/>
  <c r="I175" i="21"/>
  <c r="K175" i="21"/>
  <c r="L175" i="21"/>
  <c r="M175" i="21"/>
  <c r="N175" i="21"/>
  <c r="I176" i="21"/>
  <c r="K176" i="21"/>
  <c r="D30" i="32" s="1"/>
  <c r="L176" i="21"/>
  <c r="M176" i="21"/>
  <c r="E30" i="32" s="1"/>
  <c r="N176" i="21"/>
  <c r="F31" i="33" s="1"/>
  <c r="A177" i="21"/>
  <c r="I177" i="21"/>
  <c r="K177" i="21"/>
  <c r="L177" i="21"/>
  <c r="M177" i="21"/>
  <c r="N177" i="21"/>
  <c r="I178" i="21"/>
  <c r="K178" i="21"/>
  <c r="L178" i="21"/>
  <c r="M178" i="21"/>
  <c r="N178" i="21"/>
  <c r="F30" i="32" s="1"/>
  <c r="I179" i="21"/>
  <c r="K179" i="21"/>
  <c r="L179" i="21"/>
  <c r="M179" i="21"/>
  <c r="N179" i="21"/>
  <c r="I180" i="21"/>
  <c r="K180" i="21"/>
  <c r="L180" i="21"/>
  <c r="M180" i="21"/>
  <c r="N180" i="21"/>
  <c r="I181" i="21"/>
  <c r="K181" i="21"/>
  <c r="L181" i="21"/>
  <c r="G31" i="33" s="1"/>
  <c r="M181" i="21"/>
  <c r="E31" i="33" s="1"/>
  <c r="N181" i="21"/>
  <c r="I182" i="21"/>
  <c r="K182" i="21"/>
  <c r="L182" i="21"/>
  <c r="M182" i="21"/>
  <c r="N182" i="21"/>
  <c r="I183" i="21"/>
  <c r="K183" i="21"/>
  <c r="L183" i="21"/>
  <c r="M183" i="21"/>
  <c r="N183" i="21"/>
  <c r="A184" i="21"/>
  <c r="A185" i="21" s="1"/>
  <c r="I184" i="21"/>
  <c r="K184" i="21"/>
  <c r="D32" i="33" s="1"/>
  <c r="L184" i="21"/>
  <c r="M184" i="21"/>
  <c r="N184" i="21"/>
  <c r="I185" i="21"/>
  <c r="K185" i="21"/>
  <c r="L185" i="21"/>
  <c r="M185" i="21"/>
  <c r="N185" i="21"/>
  <c r="I186" i="21"/>
  <c r="K186" i="21"/>
  <c r="L186" i="21"/>
  <c r="M186" i="21"/>
  <c r="N186" i="21"/>
  <c r="F32" i="33" s="1"/>
  <c r="I187" i="21"/>
  <c r="K32" i="33" s="1"/>
  <c r="K187" i="21"/>
  <c r="L187" i="21"/>
  <c r="G31" i="32" s="1"/>
  <c r="M187" i="21"/>
  <c r="N187" i="21"/>
  <c r="I188" i="21"/>
  <c r="K188" i="21"/>
  <c r="L188" i="21"/>
  <c r="M188" i="21"/>
  <c r="N188" i="21"/>
  <c r="I189" i="21"/>
  <c r="K189" i="21"/>
  <c r="L189" i="21"/>
  <c r="M189" i="21"/>
  <c r="N189" i="21"/>
  <c r="I190" i="21"/>
  <c r="K190" i="21"/>
  <c r="D33" i="33" s="1"/>
  <c r="L190" i="21"/>
  <c r="G32" i="32" s="1"/>
  <c r="M190" i="21"/>
  <c r="N190" i="21"/>
  <c r="A191" i="21"/>
  <c r="A192" i="21" s="1"/>
  <c r="A193" i="21" s="1"/>
  <c r="I191" i="21"/>
  <c r="K191" i="21"/>
  <c r="L191" i="21"/>
  <c r="M191" i="21"/>
  <c r="E32" i="32" s="1"/>
  <c r="N191" i="21"/>
  <c r="I192" i="21"/>
  <c r="K192" i="21"/>
  <c r="L192" i="21"/>
  <c r="G33" i="33" s="1"/>
  <c r="M192" i="21"/>
  <c r="N192" i="21"/>
  <c r="I193" i="21"/>
  <c r="K193" i="21"/>
  <c r="L193" i="21"/>
  <c r="M193" i="21"/>
  <c r="N193" i="21"/>
  <c r="I194" i="21"/>
  <c r="K194" i="21"/>
  <c r="L194" i="21"/>
  <c r="M194" i="21"/>
  <c r="N194" i="21"/>
  <c r="I195" i="21"/>
  <c r="K195" i="21"/>
  <c r="L195" i="21"/>
  <c r="M195" i="21"/>
  <c r="N195" i="21"/>
  <c r="I196" i="21"/>
  <c r="K196" i="21"/>
  <c r="D14" i="34" s="1"/>
  <c r="L196" i="21"/>
  <c r="M196" i="21"/>
  <c r="N196" i="21"/>
  <c r="I197" i="21"/>
  <c r="K197" i="21"/>
  <c r="L197" i="21"/>
  <c r="M197" i="21"/>
  <c r="N197" i="21"/>
  <c r="F33" i="32" s="1"/>
  <c r="A198" i="21"/>
  <c r="A199" i="21" s="1"/>
  <c r="A200" i="21" s="1"/>
  <c r="A201" i="21" s="1"/>
  <c r="A202" i="21" s="1"/>
  <c r="A203" i="21" s="1"/>
  <c r="I198" i="21"/>
  <c r="K198" i="21"/>
  <c r="L198" i="21"/>
  <c r="M198" i="21"/>
  <c r="N198" i="21"/>
  <c r="I199" i="21"/>
  <c r="K199" i="21"/>
  <c r="L199" i="21"/>
  <c r="M199" i="21"/>
  <c r="N199" i="21"/>
  <c r="I200" i="21"/>
  <c r="K200" i="21"/>
  <c r="L200" i="21"/>
  <c r="G33" i="32" s="1"/>
  <c r="M200" i="21"/>
  <c r="E34" i="33" s="1"/>
  <c r="N200" i="21"/>
  <c r="I201" i="21"/>
  <c r="K34" i="33" s="1"/>
  <c r="K201" i="21"/>
  <c r="L201" i="21"/>
  <c r="M201" i="21"/>
  <c r="N201" i="21"/>
  <c r="I202" i="21"/>
  <c r="K202" i="21"/>
  <c r="L202" i="21"/>
  <c r="M202" i="21"/>
  <c r="N202" i="21"/>
  <c r="I203" i="21"/>
  <c r="K203" i="21"/>
  <c r="L203" i="21"/>
  <c r="G14" i="34" s="1"/>
  <c r="M203" i="21"/>
  <c r="N203" i="21"/>
  <c r="I204" i="21"/>
  <c r="K204" i="21"/>
  <c r="L204" i="21"/>
  <c r="M204" i="21"/>
  <c r="N204" i="21"/>
  <c r="A205" i="21"/>
  <c r="I205" i="21"/>
  <c r="K205" i="21"/>
  <c r="L205" i="21"/>
  <c r="M205" i="21"/>
  <c r="N205" i="21"/>
  <c r="F35" i="33" s="1"/>
  <c r="I206" i="21"/>
  <c r="K206" i="21"/>
  <c r="L206" i="21"/>
  <c r="G35" i="33" s="1"/>
  <c r="M206" i="21"/>
  <c r="E34" i="32" s="1"/>
  <c r="N206" i="21"/>
  <c r="I207" i="21"/>
  <c r="K207" i="21"/>
  <c r="L207" i="21"/>
  <c r="M207" i="21"/>
  <c r="N207" i="21"/>
  <c r="I208" i="21"/>
  <c r="K208" i="21"/>
  <c r="L208" i="21"/>
  <c r="M208" i="21"/>
  <c r="N208" i="21"/>
  <c r="I209" i="21"/>
  <c r="K209" i="21"/>
  <c r="D34" i="32" s="1"/>
  <c r="L209" i="21"/>
  <c r="M209" i="21"/>
  <c r="N209" i="21"/>
  <c r="I210" i="21"/>
  <c r="K210" i="21"/>
  <c r="L210" i="21"/>
  <c r="M210" i="21"/>
  <c r="N210" i="21"/>
  <c r="I211" i="21"/>
  <c r="K211" i="21"/>
  <c r="L211" i="21"/>
  <c r="G36" i="33" s="1"/>
  <c r="M211" i="21"/>
  <c r="E36" i="33" s="1"/>
  <c r="N211" i="21"/>
  <c r="A212" i="21"/>
  <c r="A213" i="21" s="1"/>
  <c r="A214" i="21" s="1"/>
  <c r="A215" i="21" s="1"/>
  <c r="A216" i="21" s="1"/>
  <c r="A217" i="21" s="1"/>
  <c r="I212" i="21"/>
  <c r="K212" i="21"/>
  <c r="L212" i="21"/>
  <c r="M212" i="21"/>
  <c r="N212" i="21"/>
  <c r="I213" i="21"/>
  <c r="K213" i="21"/>
  <c r="L213" i="21"/>
  <c r="M213" i="21"/>
  <c r="N213" i="21"/>
  <c r="I214" i="21"/>
  <c r="K214" i="21"/>
  <c r="D35" i="32" s="1"/>
  <c r="L214" i="21"/>
  <c r="M214" i="21"/>
  <c r="N214" i="21"/>
  <c r="F36" i="33" s="1"/>
  <c r="I215" i="21"/>
  <c r="K215" i="21"/>
  <c r="L215" i="21"/>
  <c r="M215" i="21"/>
  <c r="N215" i="21"/>
  <c r="I216" i="21"/>
  <c r="K216" i="21"/>
  <c r="L216" i="21"/>
  <c r="M216" i="21"/>
  <c r="N216" i="21"/>
  <c r="I217" i="21"/>
  <c r="K217" i="21"/>
  <c r="L217" i="21"/>
  <c r="M217" i="21"/>
  <c r="N217" i="21"/>
  <c r="I218" i="21"/>
  <c r="K37" i="33" s="1"/>
  <c r="K218" i="21"/>
  <c r="L218" i="21"/>
  <c r="M218" i="21"/>
  <c r="N218" i="21"/>
  <c r="A219" i="21"/>
  <c r="I219" i="21"/>
  <c r="K219" i="21"/>
  <c r="L219" i="21"/>
  <c r="G36" i="32" s="1"/>
  <c r="M219" i="21"/>
  <c r="E36" i="32" s="1"/>
  <c r="N219" i="21"/>
  <c r="I220" i="21"/>
  <c r="K220" i="21"/>
  <c r="L220" i="21"/>
  <c r="M220" i="21"/>
  <c r="N220" i="21"/>
  <c r="I221" i="21"/>
  <c r="K221" i="21"/>
  <c r="L221" i="21"/>
  <c r="M221" i="21"/>
  <c r="N221" i="21"/>
  <c r="I222" i="21"/>
  <c r="K222" i="21"/>
  <c r="L222" i="21"/>
  <c r="G37" i="33" s="1"/>
  <c r="M222" i="21"/>
  <c r="N222" i="21"/>
  <c r="F37" i="33" s="1"/>
  <c r="I223" i="21"/>
  <c r="K223" i="21"/>
  <c r="L223" i="21"/>
  <c r="M223" i="21"/>
  <c r="N223" i="21"/>
  <c r="I224" i="21"/>
  <c r="K224" i="21"/>
  <c r="L224" i="21"/>
  <c r="M224" i="21"/>
  <c r="N224" i="21"/>
  <c r="I225" i="21"/>
  <c r="K225" i="21"/>
  <c r="D37" i="32" s="1"/>
  <c r="L225" i="21"/>
  <c r="M225" i="21"/>
  <c r="N225" i="21"/>
  <c r="A226" i="21"/>
  <c r="A227" i="21" s="1"/>
  <c r="I226" i="21"/>
  <c r="K226" i="21"/>
  <c r="L226" i="21"/>
  <c r="M226" i="21"/>
  <c r="N226" i="21"/>
  <c r="I227" i="21"/>
  <c r="K227" i="21"/>
  <c r="L227" i="21"/>
  <c r="M227" i="21"/>
  <c r="G8" i="36" s="1"/>
  <c r="N227" i="21"/>
  <c r="E19" i="31" s="1"/>
  <c r="I228" i="21"/>
  <c r="K228" i="21"/>
  <c r="L228" i="21"/>
  <c r="G15" i="34" s="1"/>
  <c r="M228" i="21"/>
  <c r="N228" i="21"/>
  <c r="I229" i="21"/>
  <c r="K229" i="21"/>
  <c r="L229" i="21"/>
  <c r="M229" i="21"/>
  <c r="N229" i="21"/>
  <c r="I230" i="21"/>
  <c r="K230" i="21"/>
  <c r="L230" i="21"/>
  <c r="G37" i="32" s="1"/>
  <c r="M230" i="21"/>
  <c r="E38" i="33" s="1"/>
  <c r="N230" i="21"/>
  <c r="I231" i="21"/>
  <c r="K15" i="34" s="1"/>
  <c r="K231" i="21"/>
  <c r="L231" i="21"/>
  <c r="M231" i="21"/>
  <c r="N231" i="21"/>
  <c r="I232" i="21"/>
  <c r="K232" i="21"/>
  <c r="L232" i="21"/>
  <c r="M232" i="21"/>
  <c r="E39" i="33" s="1"/>
  <c r="N232" i="21"/>
  <c r="A233" i="21"/>
  <c r="A234" i="21" s="1"/>
  <c r="A235" i="21" s="1"/>
  <c r="I233" i="21"/>
  <c r="K233" i="21"/>
  <c r="D38" i="32" s="1"/>
  <c r="L233" i="21"/>
  <c r="M233" i="21"/>
  <c r="E38" i="32" s="1"/>
  <c r="N233" i="21"/>
  <c r="I234" i="21"/>
  <c r="K234" i="21"/>
  <c r="L234" i="21"/>
  <c r="M234" i="21"/>
  <c r="N234" i="21"/>
  <c r="I235" i="21"/>
  <c r="K235" i="21"/>
  <c r="L235" i="21"/>
  <c r="M235" i="21"/>
  <c r="N235" i="21"/>
  <c r="I236" i="21"/>
  <c r="K39" i="33" s="1"/>
  <c r="K236" i="21"/>
  <c r="L236" i="21"/>
  <c r="G39" i="33" s="1"/>
  <c r="M236" i="21"/>
  <c r="N236" i="21"/>
  <c r="I237" i="21"/>
  <c r="K237" i="21"/>
  <c r="L237" i="21"/>
  <c r="M237" i="21"/>
  <c r="N237" i="21"/>
  <c r="I238" i="21"/>
  <c r="K238" i="21"/>
  <c r="L238" i="21"/>
  <c r="M238" i="21"/>
  <c r="N238" i="21"/>
  <c r="F39" i="33" s="1"/>
  <c r="I239" i="21"/>
  <c r="K239" i="21"/>
  <c r="D39" i="32" s="1"/>
  <c r="L239" i="21"/>
  <c r="M239" i="21"/>
  <c r="N239" i="21"/>
  <c r="F39" i="32" s="1"/>
  <c r="A240" i="21"/>
  <c r="A241" i="21" s="1"/>
  <c r="A242" i="21" s="1"/>
  <c r="A243" i="21" s="1"/>
  <c r="I240" i="21"/>
  <c r="K240" i="21"/>
  <c r="L240" i="21"/>
  <c r="M240" i="21"/>
  <c r="N240" i="21"/>
  <c r="I241" i="21"/>
  <c r="K241" i="21"/>
  <c r="L241" i="21"/>
  <c r="G39" i="32" s="1"/>
  <c r="M241" i="21"/>
  <c r="N241" i="21"/>
  <c r="I242" i="21"/>
  <c r="K242" i="21"/>
  <c r="L242" i="21"/>
  <c r="M242" i="21"/>
  <c r="N242" i="21"/>
  <c r="I243" i="21"/>
  <c r="K243" i="21"/>
  <c r="L243" i="21"/>
  <c r="M243" i="21"/>
  <c r="N243" i="21"/>
  <c r="I244" i="21"/>
  <c r="K40" i="33" s="1"/>
  <c r="K244" i="21"/>
  <c r="L244" i="21"/>
  <c r="M244" i="21"/>
  <c r="E39" i="32" s="1"/>
  <c r="N244" i="21"/>
  <c r="I245" i="21"/>
  <c r="K245" i="21"/>
  <c r="L245" i="21"/>
  <c r="M245" i="21"/>
  <c r="N245" i="21"/>
  <c r="I246" i="21"/>
  <c r="K246" i="21"/>
  <c r="D41" i="33" s="1"/>
  <c r="L246" i="21"/>
  <c r="M246" i="21"/>
  <c r="N246" i="21"/>
  <c r="F41" i="33" s="1"/>
  <c r="A247" i="21"/>
  <c r="A248" i="21" s="1"/>
  <c r="A249" i="21" s="1"/>
  <c r="A250" i="21" s="1"/>
  <c r="A251" i="21" s="1"/>
  <c r="A252" i="21" s="1"/>
  <c r="I247" i="21"/>
  <c r="K247" i="21"/>
  <c r="D40" i="32" s="1"/>
  <c r="L247" i="21"/>
  <c r="M247" i="21"/>
  <c r="N247" i="21"/>
  <c r="I248" i="21"/>
  <c r="K248" i="21"/>
  <c r="L248" i="21"/>
  <c r="M248" i="21"/>
  <c r="N248" i="21"/>
  <c r="I249" i="21"/>
  <c r="K249" i="21"/>
  <c r="L249" i="21"/>
  <c r="G40" i="32" s="1"/>
  <c r="M249" i="21"/>
  <c r="N249" i="21"/>
  <c r="I250" i="21"/>
  <c r="K250" i="21"/>
  <c r="L250" i="21"/>
  <c r="M250" i="21"/>
  <c r="N250" i="21"/>
  <c r="I251" i="21"/>
  <c r="K251" i="21"/>
  <c r="L251" i="21"/>
  <c r="M251" i="21"/>
  <c r="N251" i="21"/>
  <c r="I252" i="21"/>
  <c r="K252" i="21"/>
  <c r="L252" i="21"/>
  <c r="M252" i="21"/>
  <c r="N252" i="21"/>
  <c r="I253" i="21"/>
  <c r="K253" i="21"/>
  <c r="D41" i="32" s="1"/>
  <c r="L253" i="21"/>
  <c r="M253" i="21"/>
  <c r="N253" i="21"/>
  <c r="A254" i="21"/>
  <c r="I254" i="21"/>
  <c r="K42" i="33" s="1"/>
  <c r="K254" i="21"/>
  <c r="L254" i="21"/>
  <c r="M254" i="21"/>
  <c r="N254" i="21"/>
  <c r="F41" i="32" s="1"/>
  <c r="I255" i="21"/>
  <c r="K255" i="21"/>
  <c r="L255" i="21"/>
  <c r="M255" i="21"/>
  <c r="N255" i="21"/>
  <c r="I256" i="21"/>
  <c r="K256" i="21"/>
  <c r="L256" i="21"/>
  <c r="M256" i="21"/>
  <c r="N256" i="21"/>
  <c r="I257" i="21"/>
  <c r="K257" i="21"/>
  <c r="L257" i="21"/>
  <c r="G16" i="34" s="1"/>
  <c r="M257" i="21"/>
  <c r="E16" i="34" s="1"/>
  <c r="N257" i="21"/>
  <c r="I258" i="21"/>
  <c r="K16" i="34" s="1"/>
  <c r="K258" i="21"/>
  <c r="L258" i="21"/>
  <c r="M258" i="21"/>
  <c r="N258" i="21"/>
  <c r="I259" i="21"/>
  <c r="K259" i="21"/>
  <c r="L259" i="21"/>
  <c r="M259" i="21"/>
  <c r="N259" i="21"/>
  <c r="I260" i="21"/>
  <c r="K260" i="21"/>
  <c r="D43" i="33" s="1"/>
  <c r="L260" i="21"/>
  <c r="G43" i="33" s="1"/>
  <c r="M260" i="21"/>
  <c r="N260" i="21"/>
  <c r="F42" i="32" s="1"/>
  <c r="A261" i="21"/>
  <c r="A262" i="21" s="1"/>
  <c r="A263" i="21" s="1"/>
  <c r="A264" i="21" s="1"/>
  <c r="A265" i="21" s="1"/>
  <c r="A266" i="21" s="1"/>
  <c r="I261" i="21"/>
  <c r="K261" i="21"/>
  <c r="L261" i="21"/>
  <c r="M261" i="21"/>
  <c r="N261" i="21"/>
  <c r="I262" i="21"/>
  <c r="K262" i="21"/>
  <c r="L262" i="21"/>
  <c r="M262" i="21"/>
  <c r="N262" i="21"/>
  <c r="I263" i="21"/>
  <c r="K263" i="21"/>
  <c r="L263" i="21"/>
  <c r="M263" i="21"/>
  <c r="N263" i="21"/>
  <c r="I264" i="21"/>
  <c r="K264" i="21"/>
  <c r="L264" i="21"/>
  <c r="M264" i="21"/>
  <c r="N264" i="21"/>
  <c r="I265" i="21"/>
  <c r="K43" i="33" s="1"/>
  <c r="K265" i="21"/>
  <c r="D16" i="34" s="1"/>
  <c r="L265" i="21"/>
  <c r="M265" i="21"/>
  <c r="E43" i="33" s="1"/>
  <c r="N265" i="21"/>
  <c r="I266" i="21"/>
  <c r="K266" i="21"/>
  <c r="L266" i="21"/>
  <c r="M266" i="21"/>
  <c r="N266" i="21"/>
  <c r="I267" i="21"/>
  <c r="K267" i="21"/>
  <c r="L267" i="21"/>
  <c r="M267" i="21"/>
  <c r="N267" i="21"/>
  <c r="F44" i="33" s="1"/>
  <c r="A268" i="21"/>
  <c r="A269" i="21" s="1"/>
  <c r="A270" i="21" s="1"/>
  <c r="A271" i="21" s="1"/>
  <c r="A272" i="21" s="1"/>
  <c r="A273" i="21" s="1"/>
  <c r="I268" i="21"/>
  <c r="K268" i="21"/>
  <c r="L268" i="21"/>
  <c r="M268" i="21"/>
  <c r="N268" i="21"/>
  <c r="I269" i="21"/>
  <c r="K269" i="21"/>
  <c r="L269" i="21"/>
  <c r="M269" i="21"/>
  <c r="N269" i="21"/>
  <c r="I270" i="21"/>
  <c r="K270" i="21"/>
  <c r="L270" i="21"/>
  <c r="G44" i="33" s="1"/>
  <c r="M270" i="21"/>
  <c r="N270" i="21"/>
  <c r="I271" i="21"/>
  <c r="K271" i="21"/>
  <c r="L271" i="21"/>
  <c r="M271" i="21"/>
  <c r="N271" i="21"/>
  <c r="I272" i="21"/>
  <c r="K272" i="21"/>
  <c r="L272" i="21"/>
  <c r="M272" i="21"/>
  <c r="N272" i="21"/>
  <c r="I273" i="21"/>
  <c r="K273" i="21"/>
  <c r="D43" i="32" s="1"/>
  <c r="L273" i="21"/>
  <c r="M273" i="21"/>
  <c r="N273" i="21"/>
  <c r="I274" i="21"/>
  <c r="K274" i="21"/>
  <c r="L274" i="21"/>
  <c r="M274" i="21"/>
  <c r="N274" i="21"/>
  <c r="A275" i="21"/>
  <c r="A276" i="21"/>
  <c r="A277" i="21" s="1"/>
  <c r="A278" i="21" s="1"/>
  <c r="A279" i="21" s="1"/>
  <c r="A280" i="21" s="1"/>
  <c r="I275" i="21"/>
  <c r="K275" i="21"/>
  <c r="L275" i="21"/>
  <c r="M275" i="21"/>
  <c r="E44" i="32" s="1"/>
  <c r="N275" i="21"/>
  <c r="I276" i="21"/>
  <c r="K45" i="33" s="1"/>
  <c r="K276" i="21"/>
  <c r="L276" i="21"/>
  <c r="M276" i="21"/>
  <c r="N276" i="21"/>
  <c r="I277" i="21"/>
  <c r="K277" i="21"/>
  <c r="L277" i="21"/>
  <c r="M277" i="21"/>
  <c r="N277" i="21"/>
  <c r="I278" i="21"/>
  <c r="K278" i="21"/>
  <c r="L278" i="21"/>
  <c r="M278" i="21"/>
  <c r="N278" i="21"/>
  <c r="F45" i="33" s="1"/>
  <c r="I279" i="21"/>
  <c r="K279" i="21"/>
  <c r="L279" i="21"/>
  <c r="M279" i="21"/>
  <c r="N279" i="21"/>
  <c r="I280" i="21"/>
  <c r="K280" i="21"/>
  <c r="L280" i="21"/>
  <c r="M280" i="21"/>
  <c r="N280" i="21"/>
  <c r="I281" i="21"/>
  <c r="K46" i="33" s="1"/>
  <c r="K281" i="21"/>
  <c r="D46" i="33" s="1"/>
  <c r="L281" i="21"/>
  <c r="M281" i="21"/>
  <c r="E46" i="33" s="1"/>
  <c r="N281" i="21"/>
  <c r="A282" i="21"/>
  <c r="A283" i="21" s="1"/>
  <c r="A284" i="21" s="1"/>
  <c r="I282" i="21"/>
  <c r="K282" i="21"/>
  <c r="L282" i="21"/>
  <c r="M282" i="21"/>
  <c r="N282" i="21"/>
  <c r="I283" i="21"/>
  <c r="K283" i="21"/>
  <c r="L283" i="21"/>
  <c r="M283" i="21"/>
  <c r="N283" i="21"/>
  <c r="F45" i="32" s="1"/>
  <c r="I284" i="21"/>
  <c r="K284" i="21"/>
  <c r="L284" i="21"/>
  <c r="M284" i="21"/>
  <c r="N284" i="21"/>
  <c r="I285" i="21"/>
  <c r="K285" i="21"/>
  <c r="L285" i="21"/>
  <c r="M285" i="21"/>
  <c r="N285" i="21"/>
  <c r="I286" i="21"/>
  <c r="K286" i="21"/>
  <c r="L286" i="21"/>
  <c r="M286" i="21"/>
  <c r="E45" i="32" s="1"/>
  <c r="N286" i="21"/>
  <c r="I287" i="21"/>
  <c r="K287" i="21"/>
  <c r="L287" i="21"/>
  <c r="M287" i="21"/>
  <c r="N287" i="21"/>
  <c r="I288" i="21"/>
  <c r="K288" i="21"/>
  <c r="L288" i="21"/>
  <c r="M288" i="21"/>
  <c r="E46" i="32" s="1"/>
  <c r="N288" i="21"/>
  <c r="A289" i="21"/>
  <c r="A290" i="21"/>
  <c r="A291" i="21" s="1"/>
  <c r="A292" i="21" s="1"/>
  <c r="A293" i="21" s="1"/>
  <c r="A294" i="21" s="1"/>
  <c r="I289" i="21"/>
  <c r="B27" i="31" s="1"/>
  <c r="K289" i="21"/>
  <c r="L289" i="21"/>
  <c r="M289" i="21"/>
  <c r="N289" i="21"/>
  <c r="I290" i="21"/>
  <c r="K290" i="21"/>
  <c r="L290" i="21"/>
  <c r="M290" i="21"/>
  <c r="N290" i="21"/>
  <c r="I291" i="21"/>
  <c r="K291" i="21"/>
  <c r="L291" i="21"/>
  <c r="M291" i="21"/>
  <c r="N291" i="21"/>
  <c r="F46" i="32" s="1"/>
  <c r="I292" i="21"/>
  <c r="K292" i="21"/>
  <c r="D17" i="34" s="1"/>
  <c r="L292" i="21"/>
  <c r="M292" i="21"/>
  <c r="N292" i="21"/>
  <c r="I293" i="21"/>
  <c r="K293" i="21"/>
  <c r="L293" i="21"/>
  <c r="M293" i="21"/>
  <c r="N293" i="21"/>
  <c r="I294" i="21"/>
  <c r="K294" i="21"/>
  <c r="L294" i="21"/>
  <c r="M294" i="21"/>
  <c r="E17" i="34" s="1"/>
  <c r="N294" i="21"/>
  <c r="I295" i="21"/>
  <c r="K48" i="33" s="1"/>
  <c r="K295" i="21"/>
  <c r="L295" i="21"/>
  <c r="M295" i="21"/>
  <c r="N295" i="21"/>
  <c r="A296" i="21"/>
  <c r="A297" i="21"/>
  <c r="A298" i="21" s="1"/>
  <c r="A299" i="21" s="1"/>
  <c r="A300" i="21" s="1"/>
  <c r="A301" i="21" s="1"/>
  <c r="I296" i="21"/>
  <c r="K296" i="21"/>
  <c r="L296" i="21"/>
  <c r="M296" i="21"/>
  <c r="N296" i="21"/>
  <c r="I297" i="21"/>
  <c r="K297" i="21"/>
  <c r="L297" i="21"/>
  <c r="G47" i="32" s="1"/>
  <c r="M297" i="21"/>
  <c r="N297" i="21"/>
  <c r="I298" i="21"/>
  <c r="K298" i="21"/>
  <c r="L298" i="21"/>
  <c r="M298" i="21"/>
  <c r="N298" i="21"/>
  <c r="I299" i="21"/>
  <c r="K299" i="21"/>
  <c r="L299" i="21"/>
  <c r="M299" i="21"/>
  <c r="N299" i="21"/>
  <c r="F48" i="33" s="1"/>
  <c r="I300" i="21"/>
  <c r="K300" i="21"/>
  <c r="L300" i="21"/>
  <c r="M300" i="21"/>
  <c r="N300" i="21"/>
  <c r="I301" i="21"/>
  <c r="K301" i="21"/>
  <c r="L301" i="21"/>
  <c r="M301" i="21"/>
  <c r="N301" i="21"/>
  <c r="I302" i="21"/>
  <c r="K302" i="21"/>
  <c r="L302" i="21"/>
  <c r="G48" i="32" s="1"/>
  <c r="M302" i="21"/>
  <c r="E48" i="32" s="1"/>
  <c r="N302" i="21"/>
  <c r="A303" i="21"/>
  <c r="A304" i="21" s="1"/>
  <c r="A305" i="21" s="1"/>
  <c r="A306" i="21" s="1"/>
  <c r="A307" i="21" s="1"/>
  <c r="A308" i="21" s="1"/>
  <c r="I303" i="21"/>
  <c r="K303" i="21"/>
  <c r="L303" i="21"/>
  <c r="M303" i="21"/>
  <c r="N303" i="21"/>
  <c r="I304" i="21"/>
  <c r="K304" i="21"/>
  <c r="L304" i="21"/>
  <c r="M304" i="21"/>
  <c r="N304" i="21"/>
  <c r="I305" i="21"/>
  <c r="K49" i="33" s="1"/>
  <c r="K305" i="21"/>
  <c r="D49" i="33" s="1"/>
  <c r="L305" i="21"/>
  <c r="M305" i="21"/>
  <c r="N305" i="21"/>
  <c r="I306" i="21"/>
  <c r="K306" i="21"/>
  <c r="L306" i="21"/>
  <c r="M306" i="21"/>
  <c r="N306" i="21"/>
  <c r="I307" i="21"/>
  <c r="K307" i="21"/>
  <c r="L307" i="21"/>
  <c r="M307" i="21"/>
  <c r="N307" i="21"/>
  <c r="F48" i="32" s="1"/>
  <c r="I308" i="21"/>
  <c r="K308" i="21"/>
  <c r="L308" i="21"/>
  <c r="M308" i="21"/>
  <c r="N308" i="21"/>
  <c r="I309" i="21"/>
  <c r="K309" i="21"/>
  <c r="L309" i="21"/>
  <c r="M309" i="21"/>
  <c r="N309" i="21"/>
  <c r="F49" i="32" s="1"/>
  <c r="A310" i="21"/>
  <c r="I310" i="21"/>
  <c r="K310" i="21"/>
  <c r="D50" i="33" s="1"/>
  <c r="L310" i="21"/>
  <c r="G17" i="34" s="1"/>
  <c r="M310" i="21"/>
  <c r="N310" i="21"/>
  <c r="I311" i="21"/>
  <c r="K311" i="21"/>
  <c r="L311" i="21"/>
  <c r="M311" i="21"/>
  <c r="N311" i="21"/>
  <c r="I312" i="21"/>
  <c r="K312" i="21"/>
  <c r="L312" i="21"/>
  <c r="M312" i="21"/>
  <c r="N312" i="21"/>
  <c r="I313" i="21"/>
  <c r="K313" i="21"/>
  <c r="L313" i="21"/>
  <c r="M313" i="21"/>
  <c r="E49" i="32" s="1"/>
  <c r="N313" i="21"/>
  <c r="I314" i="21"/>
  <c r="K314" i="21"/>
  <c r="L314" i="21"/>
  <c r="M314" i="21"/>
  <c r="N314" i="21"/>
  <c r="I315" i="21"/>
  <c r="K315" i="21"/>
  <c r="L315" i="21"/>
  <c r="M315" i="21"/>
  <c r="N315" i="21"/>
  <c r="I316" i="21"/>
  <c r="K316" i="21"/>
  <c r="L316" i="21"/>
  <c r="M316" i="21"/>
  <c r="N316" i="21"/>
  <c r="A317" i="21"/>
  <c r="A318" i="21" s="1"/>
  <c r="I317" i="21"/>
  <c r="K317" i="21"/>
  <c r="L317" i="21"/>
  <c r="M317" i="21"/>
  <c r="N317" i="21"/>
  <c r="I318" i="21"/>
  <c r="K318" i="21"/>
  <c r="L318" i="21"/>
  <c r="G50" i="32" s="1"/>
  <c r="M318" i="21"/>
  <c r="N318" i="21"/>
  <c r="I319" i="21"/>
  <c r="K319" i="21"/>
  <c r="L319" i="21"/>
  <c r="M319" i="21"/>
  <c r="N319" i="21"/>
  <c r="I320" i="21"/>
  <c r="K320" i="21"/>
  <c r="L320" i="21"/>
  <c r="M320" i="21"/>
  <c r="N320" i="21"/>
  <c r="I321" i="21"/>
  <c r="K51" i="33" s="1"/>
  <c r="K321" i="21"/>
  <c r="D51" i="33" s="1"/>
  <c r="L321" i="21"/>
  <c r="M321" i="21"/>
  <c r="E18" i="34" s="1"/>
  <c r="N321" i="21"/>
  <c r="I322" i="21"/>
  <c r="K322" i="21"/>
  <c r="L322" i="21"/>
  <c r="M322" i="21"/>
  <c r="N322" i="21"/>
  <c r="I323" i="21"/>
  <c r="K323" i="21"/>
  <c r="L323" i="21"/>
  <c r="M323" i="21"/>
  <c r="N323" i="21"/>
  <c r="F51" i="32" s="1"/>
  <c r="A324" i="21"/>
  <c r="A325" i="21" s="1"/>
  <c r="A326" i="21" s="1"/>
  <c r="A327" i="21" s="1"/>
  <c r="A328" i="21" s="1"/>
  <c r="A329" i="21" s="1"/>
  <c r="I324" i="21"/>
  <c r="K324" i="21"/>
  <c r="L324" i="21"/>
  <c r="G52" i="33" s="1"/>
  <c r="M324" i="21"/>
  <c r="N324" i="21"/>
  <c r="I325" i="21"/>
  <c r="K325" i="21"/>
  <c r="L325" i="21"/>
  <c r="M325" i="21"/>
  <c r="N325" i="21"/>
  <c r="I326" i="21"/>
  <c r="K326" i="21"/>
  <c r="L326" i="21"/>
  <c r="G18" i="34" s="1"/>
  <c r="M326" i="21"/>
  <c r="E51" i="32" s="1"/>
  <c r="N326" i="21"/>
  <c r="I327" i="21"/>
  <c r="K52" i="33" s="1"/>
  <c r="K327" i="21"/>
  <c r="L327" i="21"/>
  <c r="M327" i="21"/>
  <c r="N327" i="21"/>
  <c r="I328" i="21"/>
  <c r="K328" i="21"/>
  <c r="L328" i="21"/>
  <c r="M328" i="21"/>
  <c r="N328" i="21"/>
  <c r="I329" i="21"/>
  <c r="K329" i="21"/>
  <c r="L329" i="21"/>
  <c r="M329" i="21"/>
  <c r="N329" i="21"/>
  <c r="I330" i="21"/>
  <c r="K330" i="21"/>
  <c r="L330" i="21"/>
  <c r="G52" i="32" s="1"/>
  <c r="M330" i="21"/>
  <c r="N330" i="21"/>
  <c r="A331" i="21"/>
  <c r="I331" i="21"/>
  <c r="K331" i="21"/>
  <c r="L331" i="21"/>
  <c r="M331" i="21"/>
  <c r="N331" i="21"/>
  <c r="F53" i="33" s="1"/>
  <c r="I332" i="21"/>
  <c r="K53" i="33" s="1"/>
  <c r="K332" i="21"/>
  <c r="L332" i="21"/>
  <c r="M332" i="21"/>
  <c r="N332" i="21"/>
  <c r="I333" i="21"/>
  <c r="K333" i="21"/>
  <c r="L333" i="21"/>
  <c r="M333" i="21"/>
  <c r="N333" i="21"/>
  <c r="I334" i="21"/>
  <c r="K334" i="21"/>
  <c r="L334" i="21"/>
  <c r="M334" i="21"/>
  <c r="N334" i="21"/>
  <c r="I335" i="21"/>
  <c r="K335" i="21"/>
  <c r="L335" i="21"/>
  <c r="M335" i="21"/>
  <c r="N335" i="21"/>
  <c r="I336" i="21"/>
  <c r="K336" i="21"/>
  <c r="L336" i="21"/>
  <c r="M336" i="21"/>
  <c r="N336" i="21"/>
  <c r="I337" i="21"/>
  <c r="K337" i="21"/>
  <c r="L337" i="21"/>
  <c r="G53" i="32" s="1"/>
  <c r="M337" i="21"/>
  <c r="E53" i="32" s="1"/>
  <c r="N337" i="21"/>
  <c r="A338" i="21"/>
  <c r="A339" i="21" s="1"/>
  <c r="A340" i="21" s="1"/>
  <c r="A341" i="21" s="1"/>
  <c r="A342" i="21" s="1"/>
  <c r="A343" i="21" s="1"/>
  <c r="I338" i="21"/>
  <c r="K338" i="21"/>
  <c r="L338" i="21"/>
  <c r="M338" i="21"/>
  <c r="N338" i="21"/>
  <c r="I339" i="21"/>
  <c r="K339" i="21"/>
  <c r="L339" i="21"/>
  <c r="M339" i="21"/>
  <c r="N339" i="21"/>
  <c r="I340" i="21"/>
  <c r="K340" i="21"/>
  <c r="D53" i="32" s="1"/>
  <c r="L340" i="21"/>
  <c r="M340" i="21"/>
  <c r="N340" i="21"/>
  <c r="I341" i="21"/>
  <c r="K341" i="21"/>
  <c r="L341" i="21"/>
  <c r="M341" i="21"/>
  <c r="N341" i="21"/>
  <c r="I342" i="21"/>
  <c r="K342" i="21"/>
  <c r="L342" i="21"/>
  <c r="M342" i="21"/>
  <c r="N342" i="21"/>
  <c r="I343" i="21"/>
  <c r="K343" i="21"/>
  <c r="L343" i="21"/>
  <c r="M343" i="21"/>
  <c r="N343" i="21"/>
  <c r="I344" i="21"/>
  <c r="K55" i="33" s="1"/>
  <c r="K344" i="21"/>
  <c r="L344" i="21"/>
  <c r="M344" i="21"/>
  <c r="N344" i="21"/>
  <c r="A345" i="21"/>
  <c r="I345" i="21"/>
  <c r="K345" i="21"/>
  <c r="L345" i="21"/>
  <c r="M345" i="21"/>
  <c r="E54" i="32" s="1"/>
  <c r="N345" i="21"/>
  <c r="A346" i="21"/>
  <c r="A347" i="21" s="1"/>
  <c r="A348" i="21" s="1"/>
  <c r="A349" i="21" s="1"/>
  <c r="A350" i="21" s="1"/>
  <c r="I346" i="21"/>
  <c r="K346" i="21"/>
  <c r="L346" i="21"/>
  <c r="M346" i="21"/>
  <c r="N346" i="21"/>
  <c r="I347" i="21"/>
  <c r="K347" i="21"/>
  <c r="L347" i="21"/>
  <c r="M347" i="21"/>
  <c r="N347" i="21"/>
  <c r="I348" i="21"/>
  <c r="K348" i="21"/>
  <c r="D55" i="33" s="1"/>
  <c r="L348" i="21"/>
  <c r="M348" i="21"/>
  <c r="N348" i="21"/>
  <c r="F55" i="33" s="1"/>
  <c r="I349" i="21"/>
  <c r="K349" i="21"/>
  <c r="D19" i="34" s="1"/>
  <c r="L349" i="21"/>
  <c r="M349" i="21"/>
  <c r="N349" i="21"/>
  <c r="I350" i="21"/>
  <c r="K350" i="21"/>
  <c r="L350" i="21"/>
  <c r="M350" i="21"/>
  <c r="N350" i="21"/>
  <c r="I351" i="21"/>
  <c r="K56" i="33" s="1"/>
  <c r="K351" i="21"/>
  <c r="L351" i="21"/>
  <c r="G19" i="34" s="1"/>
  <c r="M351" i="21"/>
  <c r="N351" i="21"/>
  <c r="A352" i="21"/>
  <c r="A353" i="21" s="1"/>
  <c r="A354" i="21" s="1"/>
  <c r="A355" i="21" s="1"/>
  <c r="A356" i="21" s="1"/>
  <c r="A357" i="21" s="1"/>
  <c r="I352" i="21"/>
  <c r="K352" i="21"/>
  <c r="L352" i="21"/>
  <c r="M352" i="21"/>
  <c r="N352" i="21"/>
  <c r="I353" i="21"/>
  <c r="K353" i="21"/>
  <c r="L353" i="21"/>
  <c r="G55" i="32" s="1"/>
  <c r="M353" i="21"/>
  <c r="N353" i="21"/>
  <c r="F55" i="32" s="1"/>
  <c r="I354" i="21"/>
  <c r="K354" i="21"/>
  <c r="L354" i="21"/>
  <c r="M354" i="21"/>
  <c r="N354" i="21"/>
  <c r="I355" i="21"/>
  <c r="K355" i="21"/>
  <c r="L355" i="21"/>
  <c r="M355" i="21"/>
  <c r="N355" i="21"/>
  <c r="I356" i="21"/>
  <c r="K356" i="21"/>
  <c r="L356" i="21"/>
  <c r="M356" i="21"/>
  <c r="E19" i="34" s="1"/>
  <c r="N356" i="21"/>
  <c r="I357" i="21"/>
  <c r="K357" i="21"/>
  <c r="L357" i="21"/>
  <c r="M357" i="21"/>
  <c r="N357" i="21"/>
  <c r="I358" i="21"/>
  <c r="K358" i="21"/>
  <c r="L358" i="21"/>
  <c r="M358" i="21"/>
  <c r="N358" i="21"/>
  <c r="A359" i="21"/>
  <c r="A360" i="21" s="1"/>
  <c r="A361" i="21" s="1"/>
  <c r="A362" i="21" s="1"/>
  <c r="A363" i="21" s="1"/>
  <c r="A364" i="21" s="1"/>
  <c r="I359" i="21"/>
  <c r="K359" i="21"/>
  <c r="D56" i="32" s="1"/>
  <c r="L359" i="21"/>
  <c r="M359" i="21"/>
  <c r="E56" i="32" s="1"/>
  <c r="N359" i="21"/>
  <c r="I360" i="21"/>
  <c r="K360" i="21"/>
  <c r="L360" i="21"/>
  <c r="M360" i="21"/>
  <c r="N360" i="21"/>
  <c r="I361" i="21"/>
  <c r="K361" i="21"/>
  <c r="L361" i="21"/>
  <c r="G56" i="32" s="1"/>
  <c r="M361" i="21"/>
  <c r="N361" i="21"/>
  <c r="I362" i="21"/>
  <c r="K362" i="21"/>
  <c r="L362" i="21"/>
  <c r="M362" i="21"/>
  <c r="N362" i="21"/>
  <c r="I363" i="21"/>
  <c r="K363" i="21"/>
  <c r="L363" i="21"/>
  <c r="M363" i="21"/>
  <c r="N363" i="21"/>
  <c r="I364" i="21"/>
  <c r="K364" i="21"/>
  <c r="L364" i="21"/>
  <c r="M364" i="21"/>
  <c r="N364" i="21"/>
  <c r="I365" i="21"/>
  <c r="K365" i="21"/>
  <c r="L365" i="21"/>
  <c r="M365" i="21"/>
  <c r="N365" i="21"/>
  <c r="A366" i="21"/>
  <c r="A367" i="21" s="1"/>
  <c r="A368" i="21" s="1"/>
  <c r="A369" i="21" s="1"/>
  <c r="A370" i="21" s="1"/>
  <c r="A371" i="21" s="1"/>
  <c r="I366" i="21"/>
  <c r="K366" i="21"/>
  <c r="L366" i="21"/>
  <c r="M366" i="21"/>
  <c r="E57" i="32" s="1"/>
  <c r="N366" i="21"/>
  <c r="F57" i="32" s="1"/>
  <c r="I367" i="21"/>
  <c r="K367" i="21"/>
  <c r="L367" i="21"/>
  <c r="G57" i="32" s="1"/>
  <c r="M367" i="21"/>
  <c r="N367" i="21"/>
  <c r="I368" i="21"/>
  <c r="K368" i="21"/>
  <c r="L368" i="21"/>
  <c r="M368" i="21"/>
  <c r="N368" i="21"/>
  <c r="I369" i="21"/>
  <c r="K369" i="21"/>
  <c r="L369" i="21"/>
  <c r="G58" i="33" s="1"/>
  <c r="M369" i="21"/>
  <c r="E58" i="33" s="1"/>
  <c r="N369" i="21"/>
  <c r="I370" i="21"/>
  <c r="K370" i="21"/>
  <c r="L370" i="21"/>
  <c r="M370" i="21"/>
  <c r="N370" i="21"/>
  <c r="I371" i="21"/>
  <c r="K371" i="21"/>
  <c r="L371" i="21"/>
  <c r="M371" i="21"/>
  <c r="N371" i="21"/>
  <c r="I372" i="21"/>
  <c r="K372" i="21"/>
  <c r="D58" i="32" s="1"/>
  <c r="L372" i="21"/>
  <c r="M372" i="21"/>
  <c r="N372" i="21"/>
  <c r="A373" i="21"/>
  <c r="A374" i="21" s="1"/>
  <c r="A375" i="21" s="1"/>
  <c r="A376" i="21" s="1"/>
  <c r="A377" i="21" s="1"/>
  <c r="A378" i="21" s="1"/>
  <c r="A379" i="21" s="1"/>
  <c r="I373" i="21"/>
  <c r="K373" i="21"/>
  <c r="L373" i="21"/>
  <c r="M373" i="21"/>
  <c r="N373" i="21"/>
  <c r="I374" i="21"/>
  <c r="K374" i="21"/>
  <c r="L374" i="21"/>
  <c r="M374" i="21"/>
  <c r="E59" i="33" s="1"/>
  <c r="N374" i="21"/>
  <c r="I375" i="21"/>
  <c r="K375" i="21"/>
  <c r="L375" i="21"/>
  <c r="M375" i="21"/>
  <c r="N375" i="21"/>
  <c r="I376" i="21"/>
  <c r="K376" i="21"/>
  <c r="L376" i="21"/>
  <c r="M376" i="21"/>
  <c r="N376" i="21"/>
  <c r="I377" i="21"/>
  <c r="K377" i="21"/>
  <c r="L377" i="21"/>
  <c r="M377" i="21"/>
  <c r="N377" i="21"/>
  <c r="I378" i="21"/>
  <c r="K378" i="21"/>
  <c r="L378" i="21"/>
  <c r="M378" i="21"/>
  <c r="N378" i="21"/>
  <c r="I379" i="21"/>
  <c r="K379" i="21"/>
  <c r="L379" i="21"/>
  <c r="M379" i="21"/>
  <c r="N379" i="21"/>
  <c r="E3" i="25"/>
  <c r="C5" i="25"/>
  <c r="D7" i="16" s="1"/>
  <c r="G3" i="18"/>
  <c r="H12" i="18" s="1"/>
  <c r="I12" i="18" s="1"/>
  <c r="E10" i="25"/>
  <c r="E11" i="25"/>
  <c r="E12" i="25" s="1"/>
  <c r="E13" i="25" s="1"/>
  <c r="E14" i="25" s="1"/>
  <c r="E15" i="25" s="1"/>
  <c r="E16" i="25" s="1"/>
  <c r="E17" i="25" s="1"/>
  <c r="E18" i="25" s="1"/>
  <c r="E19" i="25" s="1"/>
  <c r="E20" i="25" s="1"/>
  <c r="E21" i="25" s="1"/>
  <c r="E22" i="25" s="1"/>
  <c r="E23" i="25" s="1"/>
  <c r="E24" i="25" s="1"/>
  <c r="E25" i="25" s="1"/>
  <c r="E26" i="25" s="1"/>
  <c r="E27" i="25" s="1"/>
  <c r="E28" i="25" s="1"/>
  <c r="L10" i="25"/>
  <c r="L11" i="25" s="1"/>
  <c r="L12" i="25" s="1"/>
  <c r="L13" i="25" s="1"/>
  <c r="L14" i="25" s="1"/>
  <c r="L15" i="25" s="1"/>
  <c r="L16" i="25" s="1"/>
  <c r="L17" i="25" s="1"/>
  <c r="L18" i="25" s="1"/>
  <c r="L19" i="25" s="1"/>
  <c r="L20" i="25" s="1"/>
  <c r="L21" i="25" s="1"/>
  <c r="L22" i="25" s="1"/>
  <c r="L23" i="25" s="1"/>
  <c r="L24" i="25" s="1"/>
  <c r="L25" i="25" s="1"/>
  <c r="L26" i="25" s="1"/>
  <c r="L27" i="25" s="1"/>
  <c r="L28" i="25" s="1"/>
  <c r="C11" i="25"/>
  <c r="J11" i="25"/>
  <c r="D12" i="25"/>
  <c r="K12" i="25"/>
  <c r="E32" i="25"/>
  <c r="E33" i="25" s="1"/>
  <c r="E34" i="25" s="1"/>
  <c r="E35" i="25" s="1"/>
  <c r="E36" i="25" s="1"/>
  <c r="E37" i="25" s="1"/>
  <c r="E38" i="25" s="1"/>
  <c r="E39" i="25" s="1"/>
  <c r="E40" i="25" s="1"/>
  <c r="E41" i="25" s="1"/>
  <c r="E42" i="25"/>
  <c r="E43" i="25" s="1"/>
  <c r="E44" i="25" s="1"/>
  <c r="E45" i="25" s="1"/>
  <c r="E46" i="25" s="1"/>
  <c r="E47" i="25" s="1"/>
  <c r="E48" i="25" s="1"/>
  <c r="E49" i="25" s="1"/>
  <c r="E50" i="25" s="1"/>
  <c r="L32" i="25"/>
  <c r="L33" i="25" s="1"/>
  <c r="L34" i="25" s="1"/>
  <c r="L35" i="25" s="1"/>
  <c r="L36" i="25" s="1"/>
  <c r="L37" i="25" s="1"/>
  <c r="L38" i="25" s="1"/>
  <c r="L39" i="25" s="1"/>
  <c r="L40" i="25" s="1"/>
  <c r="L41" i="25" s="1"/>
  <c r="L42" i="25" s="1"/>
  <c r="L43" i="25" s="1"/>
  <c r="L44" i="25" s="1"/>
  <c r="L45" i="25" s="1"/>
  <c r="L46" i="25" s="1"/>
  <c r="L47" i="25" s="1"/>
  <c r="L48" i="25" s="1"/>
  <c r="L49" i="25" s="1"/>
  <c r="L50" i="25" s="1"/>
  <c r="C33" i="25"/>
  <c r="J33" i="25"/>
  <c r="D34" i="25"/>
  <c r="K34" i="25"/>
  <c r="I13" i="31" s="1"/>
  <c r="L59" i="25"/>
  <c r="M59" i="25"/>
  <c r="N59" i="25"/>
  <c r="A60" i="25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s="1"/>
  <c r="A229" i="25" s="1"/>
  <c r="A230" i="25" s="1"/>
  <c r="A231" i="25" s="1"/>
  <c r="A232" i="25" s="1"/>
  <c r="A233" i="25" s="1"/>
  <c r="A234" i="25" s="1"/>
  <c r="A235" i="25" s="1"/>
  <c r="A236" i="25" s="1"/>
  <c r="A237" i="25" s="1"/>
  <c r="A238" i="25" s="1"/>
  <c r="A239" i="25" s="1"/>
  <c r="A240" i="25" s="1"/>
  <c r="A241" i="25" s="1"/>
  <c r="A242" i="25" s="1"/>
  <c r="A243" i="25" s="1"/>
  <c r="A244" i="25" s="1"/>
  <c r="A245" i="25" s="1"/>
  <c r="A246" i="25" s="1"/>
  <c r="A247" i="25" s="1"/>
  <c r="A248" i="25" s="1"/>
  <c r="A249" i="25" s="1"/>
  <c r="A250" i="25" s="1"/>
  <c r="A251" i="25" s="1"/>
  <c r="A252" i="25" s="1"/>
  <c r="A253" i="25" s="1"/>
  <c r="A254" i="25" s="1"/>
  <c r="A255" i="25" s="1"/>
  <c r="A256" i="25" s="1"/>
  <c r="A257" i="25" s="1"/>
  <c r="A258" i="25" s="1"/>
  <c r="A259" i="25" s="1"/>
  <c r="A260" i="25" s="1"/>
  <c r="A261" i="25" s="1"/>
  <c r="A262" i="25" s="1"/>
  <c r="A263" i="25" s="1"/>
  <c r="A264" i="25" s="1"/>
  <c r="A265" i="25" s="1"/>
  <c r="A266" i="25" s="1"/>
  <c r="A267" i="25" s="1"/>
  <c r="A268" i="25" s="1"/>
  <c r="A269" i="25" s="1"/>
  <c r="A270" i="25" s="1"/>
  <c r="A271" i="25" s="1"/>
  <c r="A272" i="25" s="1"/>
  <c r="A273" i="25" s="1"/>
  <c r="A274" i="25" s="1"/>
  <c r="A275" i="25" s="1"/>
  <c r="A276" i="25" s="1"/>
  <c r="A277" i="25" s="1"/>
  <c r="A278" i="25" s="1"/>
  <c r="A279" i="25" s="1"/>
  <c r="A280" i="25" s="1"/>
  <c r="A281" i="25" s="1"/>
  <c r="A282" i="25" s="1"/>
  <c r="A283" i="25" s="1"/>
  <c r="A284" i="25" s="1"/>
  <c r="A285" i="25" s="1"/>
  <c r="A286" i="25" s="1"/>
  <c r="A287" i="25" s="1"/>
  <c r="A288" i="25" s="1"/>
  <c r="A289" i="25" s="1"/>
  <c r="A290" i="25" s="1"/>
  <c r="A291" i="25" s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s="1"/>
  <c r="A310" i="25" s="1"/>
  <c r="A311" i="25" s="1"/>
  <c r="A312" i="25" s="1"/>
  <c r="A313" i="25" s="1"/>
  <c r="A314" i="25" s="1"/>
  <c r="A315" i="25" s="1"/>
  <c r="A316" i="25" s="1"/>
  <c r="A317" i="25" s="1"/>
  <c r="A318" i="25" s="1"/>
  <c r="A319" i="25" s="1"/>
  <c r="A320" i="25" s="1"/>
  <c r="A321" i="25" s="1"/>
  <c r="A322" i="25" s="1"/>
  <c r="A323" i="25" s="1"/>
  <c r="A324" i="25" s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s="1"/>
  <c r="A342" i="25" s="1"/>
  <c r="A343" i="25" s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L67" i="25"/>
  <c r="M67" i="25"/>
  <c r="N67" i="25"/>
  <c r="L68" i="25"/>
  <c r="M68" i="25"/>
  <c r="N68" i="25"/>
  <c r="L69" i="25"/>
  <c r="M69" i="25"/>
  <c r="N69" i="25"/>
  <c r="L70" i="25"/>
  <c r="M70" i="25"/>
  <c r="N70" i="25"/>
  <c r="L71" i="25"/>
  <c r="M71" i="25"/>
  <c r="N71" i="25"/>
  <c r="L72" i="25"/>
  <c r="M72" i="25"/>
  <c r="N72" i="25"/>
  <c r="L73" i="25"/>
  <c r="M73" i="25"/>
  <c r="N73" i="25"/>
  <c r="L74" i="25"/>
  <c r="M74" i="25"/>
  <c r="N74" i="25"/>
  <c r="L75" i="25"/>
  <c r="M75" i="25"/>
  <c r="N75" i="25"/>
  <c r="L76" i="25"/>
  <c r="M76" i="25"/>
  <c r="N76" i="25"/>
  <c r="L77" i="25"/>
  <c r="M77" i="25"/>
  <c r="N77" i="25"/>
  <c r="L78" i="25"/>
  <c r="M78" i="25"/>
  <c r="N78" i="25"/>
  <c r="L79" i="25"/>
  <c r="M79" i="25"/>
  <c r="N79" i="25"/>
  <c r="L80" i="25"/>
  <c r="M80" i="25"/>
  <c r="N80" i="25"/>
  <c r="L81" i="25"/>
  <c r="M81" i="25"/>
  <c r="N81" i="25"/>
  <c r="L82" i="25"/>
  <c r="M82" i="25"/>
  <c r="N82" i="25"/>
  <c r="L83" i="25"/>
  <c r="M83" i="25"/>
  <c r="N83" i="25"/>
  <c r="L84" i="25"/>
  <c r="M84" i="25"/>
  <c r="N84" i="25"/>
  <c r="L85" i="25"/>
  <c r="M85" i="25"/>
  <c r="N85" i="25"/>
  <c r="L86" i="25"/>
  <c r="M86" i="25"/>
  <c r="N86" i="25"/>
  <c r="L87" i="25"/>
  <c r="M87" i="25"/>
  <c r="N87" i="25"/>
  <c r="L88" i="25"/>
  <c r="M88" i="25"/>
  <c r="N88" i="25"/>
  <c r="L89" i="25"/>
  <c r="M89" i="25"/>
  <c r="N89" i="25"/>
  <c r="L90" i="25"/>
  <c r="M90" i="25"/>
  <c r="N90" i="25"/>
  <c r="L91" i="25"/>
  <c r="M91" i="25"/>
  <c r="N91" i="25"/>
  <c r="L92" i="25"/>
  <c r="M92" i="25"/>
  <c r="N92" i="25"/>
  <c r="L93" i="25"/>
  <c r="M93" i="25"/>
  <c r="N93" i="25"/>
  <c r="L94" i="25"/>
  <c r="M94" i="25"/>
  <c r="N94" i="25"/>
  <c r="L95" i="25"/>
  <c r="M95" i="25"/>
  <c r="N95" i="25"/>
  <c r="L96" i="25"/>
  <c r="M96" i="25"/>
  <c r="N96" i="25"/>
  <c r="L97" i="25"/>
  <c r="M97" i="25"/>
  <c r="N97" i="25"/>
  <c r="L98" i="25"/>
  <c r="M98" i="25"/>
  <c r="N98" i="25"/>
  <c r="L99" i="25"/>
  <c r="M99" i="25"/>
  <c r="N99" i="25"/>
  <c r="L100" i="25"/>
  <c r="M100" i="25"/>
  <c r="N100" i="25"/>
  <c r="L101" i="25"/>
  <c r="M101" i="25"/>
  <c r="N101" i="25"/>
  <c r="L102" i="25"/>
  <c r="M102" i="25"/>
  <c r="N102" i="25"/>
  <c r="L103" i="25"/>
  <c r="M103" i="25"/>
  <c r="N103" i="25"/>
  <c r="L104" i="25"/>
  <c r="M104" i="25"/>
  <c r="N104" i="25"/>
  <c r="L105" i="25"/>
  <c r="M105" i="25"/>
  <c r="N105" i="25"/>
  <c r="L106" i="25"/>
  <c r="M106" i="25"/>
  <c r="N106" i="25"/>
  <c r="L107" i="25"/>
  <c r="M107" i="25"/>
  <c r="N107" i="25"/>
  <c r="L108" i="25"/>
  <c r="M108" i="25"/>
  <c r="N108" i="25"/>
  <c r="L109" i="25"/>
  <c r="M109" i="25"/>
  <c r="N109" i="25"/>
  <c r="L110" i="25"/>
  <c r="M110" i="25"/>
  <c r="N110" i="25"/>
  <c r="L111" i="25"/>
  <c r="M111" i="25"/>
  <c r="N111" i="25"/>
  <c r="L112" i="25"/>
  <c r="M112" i="25"/>
  <c r="N112" i="25"/>
  <c r="L113" i="25"/>
  <c r="M113" i="25"/>
  <c r="N113" i="25"/>
  <c r="L114" i="25"/>
  <c r="M114" i="25"/>
  <c r="N114" i="25"/>
  <c r="L115" i="25"/>
  <c r="M115" i="25"/>
  <c r="N115" i="25"/>
  <c r="L116" i="25"/>
  <c r="M116" i="25"/>
  <c r="N116" i="25"/>
  <c r="L117" i="25"/>
  <c r="M117" i="25"/>
  <c r="N117" i="25"/>
  <c r="L118" i="25"/>
  <c r="M118" i="25"/>
  <c r="N118" i="25"/>
  <c r="L119" i="25"/>
  <c r="M119" i="25"/>
  <c r="N119" i="25"/>
  <c r="L120" i="25"/>
  <c r="M120" i="25"/>
  <c r="N120" i="25"/>
  <c r="L121" i="25"/>
  <c r="M121" i="25"/>
  <c r="N121" i="25"/>
  <c r="L122" i="25"/>
  <c r="M122" i="25"/>
  <c r="N122" i="25"/>
  <c r="L123" i="25"/>
  <c r="M123" i="25"/>
  <c r="N123" i="25"/>
  <c r="L124" i="25"/>
  <c r="M124" i="25"/>
  <c r="N124" i="25"/>
  <c r="L125" i="25"/>
  <c r="M125" i="25"/>
  <c r="N125" i="25"/>
  <c r="L126" i="25"/>
  <c r="M126" i="25"/>
  <c r="N126" i="25"/>
  <c r="L127" i="25"/>
  <c r="M127" i="25"/>
  <c r="N127" i="25"/>
  <c r="L128" i="25"/>
  <c r="M128" i="25"/>
  <c r="N128" i="25"/>
  <c r="L129" i="25"/>
  <c r="M129" i="25"/>
  <c r="N129" i="25"/>
  <c r="L130" i="25"/>
  <c r="M130" i="25"/>
  <c r="N130" i="25"/>
  <c r="L131" i="25"/>
  <c r="M131" i="25"/>
  <c r="N131" i="25"/>
  <c r="L132" i="25"/>
  <c r="M132" i="25"/>
  <c r="N132" i="25"/>
  <c r="L133" i="25"/>
  <c r="M133" i="25"/>
  <c r="N133" i="25"/>
  <c r="L134" i="25"/>
  <c r="M134" i="25"/>
  <c r="N134" i="25"/>
  <c r="L135" i="25"/>
  <c r="M135" i="25"/>
  <c r="N135" i="25"/>
  <c r="L136" i="25"/>
  <c r="M136" i="25"/>
  <c r="N136" i="25"/>
  <c r="L137" i="25"/>
  <c r="M137" i="25"/>
  <c r="N137" i="25"/>
  <c r="L138" i="25"/>
  <c r="M138" i="25"/>
  <c r="N138" i="25"/>
  <c r="L139" i="25"/>
  <c r="M139" i="25"/>
  <c r="N139" i="25"/>
  <c r="L140" i="25"/>
  <c r="M140" i="25"/>
  <c r="N140" i="25"/>
  <c r="L141" i="25"/>
  <c r="M141" i="25"/>
  <c r="N141" i="25"/>
  <c r="L142" i="25"/>
  <c r="M142" i="25"/>
  <c r="N142" i="25"/>
  <c r="L143" i="25"/>
  <c r="M143" i="25"/>
  <c r="N143" i="25"/>
  <c r="L144" i="25"/>
  <c r="M144" i="25"/>
  <c r="N144" i="25"/>
  <c r="L145" i="25"/>
  <c r="M145" i="25"/>
  <c r="N145" i="25"/>
  <c r="L146" i="25"/>
  <c r="M146" i="25"/>
  <c r="N146" i="25"/>
  <c r="L147" i="25"/>
  <c r="M147" i="25"/>
  <c r="N147" i="25"/>
  <c r="L148" i="25"/>
  <c r="M148" i="25"/>
  <c r="N148" i="25"/>
  <c r="L149" i="25"/>
  <c r="M149" i="25"/>
  <c r="N149" i="25"/>
  <c r="L150" i="25"/>
  <c r="M150" i="25"/>
  <c r="N150" i="25"/>
  <c r="L151" i="25"/>
  <c r="M151" i="25"/>
  <c r="N151" i="25"/>
  <c r="L152" i="25"/>
  <c r="M152" i="25"/>
  <c r="N152" i="25"/>
  <c r="L153" i="25"/>
  <c r="M153" i="25"/>
  <c r="N153" i="25"/>
  <c r="L154" i="25"/>
  <c r="M154" i="25"/>
  <c r="N154" i="25"/>
  <c r="L155" i="25"/>
  <c r="M155" i="25"/>
  <c r="N155" i="25"/>
  <c r="L156" i="25"/>
  <c r="M156" i="25"/>
  <c r="N156" i="25"/>
  <c r="L157" i="25"/>
  <c r="M157" i="25"/>
  <c r="N157" i="25"/>
  <c r="L158" i="25"/>
  <c r="M158" i="25"/>
  <c r="N158" i="25"/>
  <c r="L159" i="25"/>
  <c r="M159" i="25"/>
  <c r="N159" i="25"/>
  <c r="L160" i="25"/>
  <c r="M160" i="25"/>
  <c r="N160" i="25"/>
  <c r="L161" i="25"/>
  <c r="M161" i="25"/>
  <c r="N161" i="25"/>
  <c r="L162" i="25"/>
  <c r="M162" i="25"/>
  <c r="N162" i="25"/>
  <c r="L163" i="25"/>
  <c r="M163" i="25"/>
  <c r="N163" i="25"/>
  <c r="L164" i="25"/>
  <c r="M164" i="25"/>
  <c r="N164" i="25"/>
  <c r="L165" i="25"/>
  <c r="M165" i="25"/>
  <c r="N165" i="25"/>
  <c r="L166" i="25"/>
  <c r="M166" i="25"/>
  <c r="N166" i="25"/>
  <c r="L167" i="25"/>
  <c r="M167" i="25"/>
  <c r="N167" i="25"/>
  <c r="L168" i="25"/>
  <c r="M168" i="25"/>
  <c r="N168" i="25"/>
  <c r="L169" i="25"/>
  <c r="M169" i="25"/>
  <c r="N169" i="25"/>
  <c r="L170" i="25"/>
  <c r="M170" i="25"/>
  <c r="N170" i="25"/>
  <c r="L171" i="25"/>
  <c r="M171" i="25"/>
  <c r="N171" i="25"/>
  <c r="L172" i="25"/>
  <c r="M172" i="25"/>
  <c r="N172" i="25"/>
  <c r="L173" i="25"/>
  <c r="M173" i="25"/>
  <c r="N173" i="25"/>
  <c r="L174" i="25"/>
  <c r="M174" i="25"/>
  <c r="N174" i="25"/>
  <c r="L175" i="25"/>
  <c r="M175" i="25"/>
  <c r="N175" i="25"/>
  <c r="L176" i="25"/>
  <c r="M176" i="25"/>
  <c r="N176" i="25"/>
  <c r="L177" i="25"/>
  <c r="M177" i="25"/>
  <c r="N177" i="25"/>
  <c r="L178" i="25"/>
  <c r="M178" i="25"/>
  <c r="N178" i="25"/>
  <c r="L179" i="25"/>
  <c r="M179" i="25"/>
  <c r="N179" i="25"/>
  <c r="L180" i="25"/>
  <c r="M180" i="25"/>
  <c r="N180" i="25"/>
  <c r="L181" i="25"/>
  <c r="M181" i="25"/>
  <c r="N181" i="25"/>
  <c r="L182" i="25"/>
  <c r="M182" i="25"/>
  <c r="N182" i="25"/>
  <c r="L183" i="25"/>
  <c r="M183" i="25"/>
  <c r="N183" i="25"/>
  <c r="L184" i="25"/>
  <c r="M184" i="25"/>
  <c r="N184" i="25"/>
  <c r="L185" i="25"/>
  <c r="M185" i="25"/>
  <c r="N185" i="25"/>
  <c r="L186" i="25"/>
  <c r="M186" i="25"/>
  <c r="N186" i="25"/>
  <c r="L187" i="25"/>
  <c r="M187" i="25"/>
  <c r="N187" i="25"/>
  <c r="L188" i="25"/>
  <c r="M188" i="25"/>
  <c r="N188" i="25"/>
  <c r="L189" i="25"/>
  <c r="M189" i="25"/>
  <c r="N189" i="25"/>
  <c r="L190" i="25"/>
  <c r="M190" i="25"/>
  <c r="N190" i="25"/>
  <c r="L191" i="25"/>
  <c r="M191" i="25"/>
  <c r="N191" i="25"/>
  <c r="L192" i="25"/>
  <c r="M192" i="25"/>
  <c r="N192" i="25"/>
  <c r="L193" i="25"/>
  <c r="M193" i="25"/>
  <c r="N193" i="25"/>
  <c r="L194" i="25"/>
  <c r="M194" i="25"/>
  <c r="N194" i="25"/>
  <c r="L195" i="25"/>
  <c r="M195" i="25"/>
  <c r="N195" i="25"/>
  <c r="L196" i="25"/>
  <c r="M196" i="25"/>
  <c r="N196" i="25"/>
  <c r="L197" i="25"/>
  <c r="M197" i="25"/>
  <c r="N197" i="25"/>
  <c r="L198" i="25"/>
  <c r="M198" i="25"/>
  <c r="N198" i="25"/>
  <c r="L199" i="25"/>
  <c r="M199" i="25"/>
  <c r="N199" i="25"/>
  <c r="L200" i="25"/>
  <c r="M200" i="25"/>
  <c r="N200" i="25"/>
  <c r="L201" i="25"/>
  <c r="M201" i="25"/>
  <c r="N201" i="25"/>
  <c r="L202" i="25"/>
  <c r="M202" i="25"/>
  <c r="N202" i="25"/>
  <c r="L203" i="25"/>
  <c r="M203" i="25"/>
  <c r="N203" i="25"/>
  <c r="L204" i="25"/>
  <c r="M204" i="25"/>
  <c r="N204" i="25"/>
  <c r="L205" i="25"/>
  <c r="M205" i="25"/>
  <c r="N205" i="25"/>
  <c r="L206" i="25"/>
  <c r="M206" i="25"/>
  <c r="N206" i="25"/>
  <c r="L207" i="25"/>
  <c r="M207" i="25"/>
  <c r="N207" i="25"/>
  <c r="L208" i="25"/>
  <c r="M208" i="25"/>
  <c r="N208" i="25"/>
  <c r="L209" i="25"/>
  <c r="M209" i="25"/>
  <c r="N209" i="25"/>
  <c r="L210" i="25"/>
  <c r="M210" i="25"/>
  <c r="N210" i="25"/>
  <c r="L211" i="25"/>
  <c r="M211" i="25"/>
  <c r="N211" i="25"/>
  <c r="L212" i="25"/>
  <c r="M212" i="25"/>
  <c r="N212" i="25"/>
  <c r="L213" i="25"/>
  <c r="M213" i="25"/>
  <c r="N213" i="25"/>
  <c r="L214" i="25"/>
  <c r="M214" i="25"/>
  <c r="N214" i="25"/>
  <c r="L215" i="25"/>
  <c r="M215" i="25"/>
  <c r="N215" i="25"/>
  <c r="L216" i="25"/>
  <c r="M216" i="25"/>
  <c r="N216" i="25"/>
  <c r="L217" i="25"/>
  <c r="M217" i="25"/>
  <c r="N217" i="25"/>
  <c r="L218" i="25"/>
  <c r="M218" i="25"/>
  <c r="N218" i="25"/>
  <c r="L219" i="25"/>
  <c r="M219" i="25"/>
  <c r="N219" i="25"/>
  <c r="L220" i="25"/>
  <c r="M220" i="25"/>
  <c r="N220" i="25"/>
  <c r="L221" i="25"/>
  <c r="M221" i="25"/>
  <c r="N221" i="25"/>
  <c r="L222" i="25"/>
  <c r="M222" i="25"/>
  <c r="N222" i="25"/>
  <c r="L223" i="25"/>
  <c r="M223" i="25"/>
  <c r="N223" i="25"/>
  <c r="L224" i="25"/>
  <c r="M224" i="25"/>
  <c r="N224" i="25"/>
  <c r="L225" i="25"/>
  <c r="M225" i="25"/>
  <c r="N225" i="25"/>
  <c r="L226" i="25"/>
  <c r="M226" i="25"/>
  <c r="N226" i="25"/>
  <c r="L227" i="25"/>
  <c r="M227" i="25"/>
  <c r="N227" i="25"/>
  <c r="L228" i="25"/>
  <c r="M228" i="25"/>
  <c r="N228" i="25"/>
  <c r="L229" i="25"/>
  <c r="M229" i="25"/>
  <c r="N229" i="25"/>
  <c r="L230" i="25"/>
  <c r="M230" i="25"/>
  <c r="N230" i="25"/>
  <c r="L231" i="25"/>
  <c r="M231" i="25"/>
  <c r="N231" i="25"/>
  <c r="L232" i="25"/>
  <c r="M232" i="25"/>
  <c r="N232" i="25"/>
  <c r="L233" i="25"/>
  <c r="M233" i="25"/>
  <c r="N233" i="25"/>
  <c r="L234" i="25"/>
  <c r="M234" i="25"/>
  <c r="N234" i="25"/>
  <c r="L235" i="25"/>
  <c r="M235" i="25"/>
  <c r="N235" i="25"/>
  <c r="L236" i="25"/>
  <c r="M236" i="25"/>
  <c r="N236" i="25"/>
  <c r="L237" i="25"/>
  <c r="M237" i="25"/>
  <c r="N237" i="25"/>
  <c r="L238" i="25"/>
  <c r="M238" i="25"/>
  <c r="N238" i="25"/>
  <c r="L239" i="25"/>
  <c r="M239" i="25"/>
  <c r="N239" i="25"/>
  <c r="L240" i="25"/>
  <c r="M240" i="25"/>
  <c r="N240" i="25"/>
  <c r="L241" i="25"/>
  <c r="M241" i="25"/>
  <c r="N241" i="25"/>
  <c r="L242" i="25"/>
  <c r="M242" i="25"/>
  <c r="N242" i="25"/>
  <c r="L243" i="25"/>
  <c r="M243" i="25"/>
  <c r="N243" i="25"/>
  <c r="L244" i="25"/>
  <c r="M244" i="25"/>
  <c r="N244" i="25"/>
  <c r="L245" i="25"/>
  <c r="M245" i="25"/>
  <c r="N245" i="25"/>
  <c r="L246" i="25"/>
  <c r="M246" i="25"/>
  <c r="N246" i="25"/>
  <c r="L247" i="25"/>
  <c r="M247" i="25"/>
  <c r="N247" i="25"/>
  <c r="L248" i="25"/>
  <c r="M248" i="25"/>
  <c r="N248" i="25"/>
  <c r="L249" i="25"/>
  <c r="M249" i="25"/>
  <c r="N249" i="25"/>
  <c r="L250" i="25"/>
  <c r="M250" i="25"/>
  <c r="N250" i="25"/>
  <c r="L251" i="25"/>
  <c r="M251" i="25"/>
  <c r="N251" i="25"/>
  <c r="L252" i="25"/>
  <c r="M252" i="25"/>
  <c r="N252" i="25"/>
  <c r="L253" i="25"/>
  <c r="M253" i="25"/>
  <c r="N253" i="25"/>
  <c r="L254" i="25"/>
  <c r="M254" i="25"/>
  <c r="N254" i="25"/>
  <c r="L255" i="25"/>
  <c r="M255" i="25"/>
  <c r="N255" i="25"/>
  <c r="L256" i="25"/>
  <c r="M256" i="25"/>
  <c r="N256" i="25"/>
  <c r="L257" i="25"/>
  <c r="M257" i="25"/>
  <c r="N257" i="25"/>
  <c r="L258" i="25"/>
  <c r="M258" i="25"/>
  <c r="N258" i="25"/>
  <c r="L259" i="25"/>
  <c r="M259" i="25"/>
  <c r="N259" i="25"/>
  <c r="L260" i="25"/>
  <c r="M260" i="25"/>
  <c r="N260" i="25"/>
  <c r="L261" i="25"/>
  <c r="M261" i="25"/>
  <c r="N261" i="25"/>
  <c r="L262" i="25"/>
  <c r="M262" i="25"/>
  <c r="N262" i="25"/>
  <c r="L263" i="25"/>
  <c r="M263" i="25"/>
  <c r="N263" i="25"/>
  <c r="L264" i="25"/>
  <c r="M264" i="25"/>
  <c r="N264" i="25"/>
  <c r="L265" i="25"/>
  <c r="M265" i="25"/>
  <c r="N265" i="25"/>
  <c r="L266" i="25"/>
  <c r="M266" i="25"/>
  <c r="N266" i="25"/>
  <c r="L267" i="25"/>
  <c r="M267" i="25"/>
  <c r="N267" i="25"/>
  <c r="L268" i="25"/>
  <c r="M268" i="25"/>
  <c r="N268" i="25"/>
  <c r="L269" i="25"/>
  <c r="M269" i="25"/>
  <c r="N269" i="25"/>
  <c r="L270" i="25"/>
  <c r="M270" i="25"/>
  <c r="N270" i="25"/>
  <c r="L271" i="25"/>
  <c r="M271" i="25"/>
  <c r="N271" i="25"/>
  <c r="L272" i="25"/>
  <c r="M272" i="25"/>
  <c r="N272" i="25"/>
  <c r="L273" i="25"/>
  <c r="M273" i="25"/>
  <c r="N273" i="25"/>
  <c r="L274" i="25"/>
  <c r="M274" i="25"/>
  <c r="N274" i="25"/>
  <c r="L275" i="25"/>
  <c r="M275" i="25"/>
  <c r="N275" i="25"/>
  <c r="L276" i="25"/>
  <c r="M276" i="25"/>
  <c r="N276" i="25"/>
  <c r="L277" i="25"/>
  <c r="M277" i="25"/>
  <c r="N277" i="25"/>
  <c r="L278" i="25"/>
  <c r="M278" i="25"/>
  <c r="N278" i="25"/>
  <c r="L279" i="25"/>
  <c r="M279" i="25"/>
  <c r="N279" i="25"/>
  <c r="L280" i="25"/>
  <c r="M280" i="25"/>
  <c r="N280" i="25"/>
  <c r="L281" i="25"/>
  <c r="M281" i="25"/>
  <c r="N281" i="25"/>
  <c r="L282" i="25"/>
  <c r="M282" i="25"/>
  <c r="N282" i="25"/>
  <c r="L283" i="25"/>
  <c r="M283" i="25"/>
  <c r="N283" i="25"/>
  <c r="L284" i="25"/>
  <c r="M284" i="25"/>
  <c r="N284" i="25"/>
  <c r="L285" i="25"/>
  <c r="M285" i="25"/>
  <c r="N285" i="25"/>
  <c r="L286" i="25"/>
  <c r="M286" i="25"/>
  <c r="N286" i="25"/>
  <c r="L287" i="25"/>
  <c r="M287" i="25"/>
  <c r="N287" i="25"/>
  <c r="L288" i="25"/>
  <c r="M288" i="25"/>
  <c r="N288" i="25"/>
  <c r="L289" i="25"/>
  <c r="M289" i="25"/>
  <c r="N289" i="25"/>
  <c r="L290" i="25"/>
  <c r="M290" i="25"/>
  <c r="N290" i="25"/>
  <c r="L291" i="25"/>
  <c r="M291" i="25"/>
  <c r="N291" i="25"/>
  <c r="L292" i="25"/>
  <c r="M292" i="25"/>
  <c r="N292" i="25"/>
  <c r="L293" i="25"/>
  <c r="M293" i="25"/>
  <c r="N293" i="25"/>
  <c r="L294" i="25"/>
  <c r="M294" i="25"/>
  <c r="N294" i="25"/>
  <c r="L295" i="25"/>
  <c r="M295" i="25"/>
  <c r="N295" i="25"/>
  <c r="L296" i="25"/>
  <c r="M296" i="25"/>
  <c r="N296" i="25"/>
  <c r="L297" i="25"/>
  <c r="M297" i="25"/>
  <c r="N297" i="25"/>
  <c r="L298" i="25"/>
  <c r="M298" i="25"/>
  <c r="N298" i="25"/>
  <c r="L299" i="25"/>
  <c r="M299" i="25"/>
  <c r="N299" i="25"/>
  <c r="L300" i="25"/>
  <c r="M300" i="25"/>
  <c r="N300" i="25"/>
  <c r="L301" i="25"/>
  <c r="M301" i="25"/>
  <c r="N301" i="25"/>
  <c r="L302" i="25"/>
  <c r="M302" i="25"/>
  <c r="N302" i="25"/>
  <c r="L303" i="25"/>
  <c r="M303" i="25"/>
  <c r="N303" i="25"/>
  <c r="L304" i="25"/>
  <c r="M304" i="25"/>
  <c r="N304" i="25"/>
  <c r="L305" i="25"/>
  <c r="M305" i="25"/>
  <c r="N305" i="25"/>
  <c r="L306" i="25"/>
  <c r="M306" i="25"/>
  <c r="N306" i="25"/>
  <c r="L307" i="25"/>
  <c r="M307" i="25"/>
  <c r="N307" i="25"/>
  <c r="L308" i="25"/>
  <c r="M308" i="25"/>
  <c r="N308" i="25"/>
  <c r="L309" i="25"/>
  <c r="M309" i="25"/>
  <c r="N309" i="25"/>
  <c r="L310" i="25"/>
  <c r="M310" i="25"/>
  <c r="N310" i="25"/>
  <c r="L311" i="25"/>
  <c r="M311" i="25"/>
  <c r="N311" i="25"/>
  <c r="L312" i="25"/>
  <c r="M312" i="25"/>
  <c r="N312" i="25"/>
  <c r="L313" i="25"/>
  <c r="M313" i="25"/>
  <c r="N313" i="25"/>
  <c r="L314" i="25"/>
  <c r="M314" i="25"/>
  <c r="N314" i="25"/>
  <c r="L315" i="25"/>
  <c r="M315" i="25"/>
  <c r="N315" i="25"/>
  <c r="L316" i="25"/>
  <c r="M316" i="25"/>
  <c r="N316" i="25"/>
  <c r="L317" i="25"/>
  <c r="M317" i="25"/>
  <c r="N317" i="25"/>
  <c r="L318" i="25"/>
  <c r="M318" i="25"/>
  <c r="N318" i="25"/>
  <c r="L319" i="25"/>
  <c r="M319" i="25"/>
  <c r="N319" i="25"/>
  <c r="L320" i="25"/>
  <c r="M320" i="25"/>
  <c r="N320" i="25"/>
  <c r="L321" i="25"/>
  <c r="M321" i="25"/>
  <c r="N321" i="25"/>
  <c r="L322" i="25"/>
  <c r="M322" i="25"/>
  <c r="N322" i="25"/>
  <c r="L323" i="25"/>
  <c r="M323" i="25"/>
  <c r="N323" i="25"/>
  <c r="L324" i="25"/>
  <c r="M324" i="25"/>
  <c r="N324" i="25"/>
  <c r="L325" i="25"/>
  <c r="M325" i="25"/>
  <c r="N325" i="25"/>
  <c r="L326" i="25"/>
  <c r="M326" i="25"/>
  <c r="N326" i="25"/>
  <c r="L327" i="25"/>
  <c r="M327" i="25"/>
  <c r="N327" i="25"/>
  <c r="L328" i="25"/>
  <c r="M328" i="25"/>
  <c r="N328" i="25"/>
  <c r="L329" i="25"/>
  <c r="M329" i="25"/>
  <c r="N329" i="25"/>
  <c r="L330" i="25"/>
  <c r="M330" i="25"/>
  <c r="N330" i="25"/>
  <c r="L331" i="25"/>
  <c r="M331" i="25"/>
  <c r="N331" i="25"/>
  <c r="L332" i="25"/>
  <c r="M332" i="25"/>
  <c r="N332" i="25"/>
  <c r="L333" i="25"/>
  <c r="M333" i="25"/>
  <c r="N333" i="25"/>
  <c r="L334" i="25"/>
  <c r="M334" i="25"/>
  <c r="N334" i="25"/>
  <c r="L335" i="25"/>
  <c r="M335" i="25"/>
  <c r="N335" i="25"/>
  <c r="L336" i="25"/>
  <c r="M336" i="25"/>
  <c r="N336" i="25"/>
  <c r="L337" i="25"/>
  <c r="M337" i="25"/>
  <c r="N337" i="25"/>
  <c r="L338" i="25"/>
  <c r="M338" i="25"/>
  <c r="N338" i="25"/>
  <c r="L339" i="25"/>
  <c r="M339" i="25"/>
  <c r="N339" i="25"/>
  <c r="L340" i="25"/>
  <c r="M340" i="25"/>
  <c r="N340" i="25"/>
  <c r="L341" i="25"/>
  <c r="M341" i="25"/>
  <c r="N341" i="25"/>
  <c r="L342" i="25"/>
  <c r="M342" i="25"/>
  <c r="N342" i="25"/>
  <c r="L343" i="25"/>
  <c r="M343" i="25"/>
  <c r="N343" i="25"/>
  <c r="L344" i="25"/>
  <c r="M344" i="25"/>
  <c r="N344" i="25"/>
  <c r="L345" i="25"/>
  <c r="M345" i="25"/>
  <c r="N345" i="25"/>
  <c r="L346" i="25"/>
  <c r="M346" i="25"/>
  <c r="N346" i="25"/>
  <c r="L347" i="25"/>
  <c r="M347" i="25"/>
  <c r="N347" i="25"/>
  <c r="L348" i="25"/>
  <c r="M348" i="25"/>
  <c r="N348" i="25"/>
  <c r="L349" i="25"/>
  <c r="M349" i="25"/>
  <c r="N349" i="25"/>
  <c r="L350" i="25"/>
  <c r="M350" i="25"/>
  <c r="N350" i="25"/>
  <c r="L351" i="25"/>
  <c r="M351" i="25"/>
  <c r="N351" i="25"/>
  <c r="L352" i="25"/>
  <c r="M352" i="25"/>
  <c r="N352" i="25"/>
  <c r="L353" i="25"/>
  <c r="M353" i="25"/>
  <c r="N353" i="25"/>
  <c r="L354" i="25"/>
  <c r="M354" i="25"/>
  <c r="N354" i="25"/>
  <c r="L355" i="25"/>
  <c r="M355" i="25"/>
  <c r="N355" i="25"/>
  <c r="L356" i="25"/>
  <c r="M356" i="25"/>
  <c r="N356" i="25"/>
  <c r="L357" i="25"/>
  <c r="M357" i="25"/>
  <c r="N357" i="25"/>
  <c r="L358" i="25"/>
  <c r="M358" i="25"/>
  <c r="N358" i="25"/>
  <c r="L359" i="25"/>
  <c r="M359" i="25"/>
  <c r="N359" i="25"/>
  <c r="L360" i="25"/>
  <c r="M360" i="25"/>
  <c r="N360" i="25"/>
  <c r="L361" i="25"/>
  <c r="M361" i="25"/>
  <c r="N361" i="25"/>
  <c r="L362" i="25"/>
  <c r="M362" i="25"/>
  <c r="N362" i="25"/>
  <c r="L363" i="25"/>
  <c r="M363" i="25"/>
  <c r="N363" i="25"/>
  <c r="L364" i="25"/>
  <c r="M364" i="25"/>
  <c r="N364" i="25"/>
  <c r="L365" i="25"/>
  <c r="M365" i="25"/>
  <c r="N365" i="25"/>
  <c r="L366" i="25"/>
  <c r="M366" i="25"/>
  <c r="N366" i="25"/>
  <c r="L367" i="25"/>
  <c r="M367" i="25"/>
  <c r="N367" i="25"/>
  <c r="L368" i="25"/>
  <c r="M368" i="25"/>
  <c r="N368" i="25"/>
  <c r="L369" i="25"/>
  <c r="M369" i="25"/>
  <c r="N369" i="25"/>
  <c r="L370" i="25"/>
  <c r="M370" i="25"/>
  <c r="N370" i="25"/>
  <c r="L371" i="25"/>
  <c r="M371" i="25"/>
  <c r="N371" i="25"/>
  <c r="L372" i="25"/>
  <c r="M372" i="25"/>
  <c r="N372" i="25"/>
  <c r="L373" i="25"/>
  <c r="M373" i="25"/>
  <c r="N373" i="25"/>
  <c r="L374" i="25"/>
  <c r="M374" i="25"/>
  <c r="N374" i="25"/>
  <c r="L375" i="25"/>
  <c r="M375" i="25"/>
  <c r="N375" i="25"/>
  <c r="L376" i="25"/>
  <c r="M376" i="25"/>
  <c r="N376" i="25"/>
  <c r="L377" i="25"/>
  <c r="M377" i="25"/>
  <c r="N377" i="25"/>
  <c r="L378" i="25"/>
  <c r="M378" i="25"/>
  <c r="N378" i="25"/>
  <c r="L379" i="25"/>
  <c r="M379" i="25"/>
  <c r="N379" i="25"/>
  <c r="L380" i="25"/>
  <c r="M380" i="25"/>
  <c r="N380" i="25"/>
  <c r="L381" i="25"/>
  <c r="M381" i="25"/>
  <c r="N381" i="25"/>
  <c r="L382" i="25"/>
  <c r="M382" i="25"/>
  <c r="N382" i="25"/>
  <c r="L383" i="25"/>
  <c r="M383" i="25"/>
  <c r="N383" i="25"/>
  <c r="L384" i="25"/>
  <c r="M384" i="25"/>
  <c r="N384" i="25"/>
  <c r="L385" i="25"/>
  <c r="M385" i="25"/>
  <c r="N385" i="25"/>
  <c r="L386" i="25"/>
  <c r="M386" i="25"/>
  <c r="N386" i="25"/>
  <c r="L387" i="25"/>
  <c r="M387" i="25"/>
  <c r="N387" i="25"/>
  <c r="L388" i="25"/>
  <c r="M388" i="25"/>
  <c r="N388" i="25"/>
  <c r="L389" i="25"/>
  <c r="M389" i="25"/>
  <c r="N389" i="25"/>
  <c r="L390" i="25"/>
  <c r="M390" i="25"/>
  <c r="N390" i="25"/>
  <c r="L391" i="25"/>
  <c r="M391" i="25"/>
  <c r="N391" i="25"/>
  <c r="L392" i="25"/>
  <c r="M392" i="25"/>
  <c r="N392" i="25"/>
  <c r="L393" i="25"/>
  <c r="M393" i="25"/>
  <c r="N393" i="25"/>
  <c r="L394" i="25"/>
  <c r="M394" i="25"/>
  <c r="N394" i="25"/>
  <c r="L395" i="25"/>
  <c r="M395" i="25"/>
  <c r="N395" i="25"/>
  <c r="L396" i="25"/>
  <c r="M396" i="25"/>
  <c r="N396" i="25"/>
  <c r="L397" i="25"/>
  <c r="M397" i="25"/>
  <c r="N397" i="25"/>
  <c r="L398" i="25"/>
  <c r="M398" i="25"/>
  <c r="N398" i="25"/>
  <c r="L399" i="25"/>
  <c r="M399" i="25"/>
  <c r="N399" i="25"/>
  <c r="L400" i="25"/>
  <c r="M400" i="25"/>
  <c r="N400" i="25"/>
  <c r="L401" i="25"/>
  <c r="M401" i="25"/>
  <c r="N401" i="25"/>
  <c r="L402" i="25"/>
  <c r="M402" i="25"/>
  <c r="N402" i="25"/>
  <c r="L403" i="25"/>
  <c r="M403" i="25"/>
  <c r="N403" i="25"/>
  <c r="L404" i="25"/>
  <c r="M404" i="25"/>
  <c r="N404" i="25"/>
  <c r="L405" i="25"/>
  <c r="M405" i="25"/>
  <c r="N405" i="25"/>
  <c r="L406" i="25"/>
  <c r="M406" i="25"/>
  <c r="N406" i="25"/>
  <c r="L407" i="25"/>
  <c r="M407" i="25"/>
  <c r="N407" i="25"/>
  <c r="L408" i="25"/>
  <c r="M408" i="25"/>
  <c r="N408" i="25"/>
  <c r="L409" i="25"/>
  <c r="M409" i="25"/>
  <c r="N409" i="25"/>
  <c r="L410" i="25"/>
  <c r="M410" i="25"/>
  <c r="N410" i="25"/>
  <c r="L411" i="25"/>
  <c r="M411" i="25"/>
  <c r="N411" i="25"/>
  <c r="L412" i="25"/>
  <c r="M412" i="25"/>
  <c r="N412" i="25"/>
  <c r="L413" i="25"/>
  <c r="M413" i="25"/>
  <c r="N413" i="25"/>
  <c r="L414" i="25"/>
  <c r="M414" i="25"/>
  <c r="N414" i="25"/>
  <c r="L415" i="25"/>
  <c r="M415" i="25"/>
  <c r="N415" i="25"/>
  <c r="L416" i="25"/>
  <c r="M416" i="25"/>
  <c r="N416" i="25"/>
  <c r="L417" i="25"/>
  <c r="M417" i="25"/>
  <c r="N417" i="25"/>
  <c r="L418" i="25"/>
  <c r="M418" i="25"/>
  <c r="N418" i="25"/>
  <c r="L419" i="25"/>
  <c r="M419" i="25"/>
  <c r="N419" i="25"/>
  <c r="L420" i="25"/>
  <c r="M420" i="25"/>
  <c r="N420" i="25"/>
  <c r="L421" i="25"/>
  <c r="M421" i="25"/>
  <c r="N421" i="25"/>
  <c r="L422" i="25"/>
  <c r="M422" i="25"/>
  <c r="N422" i="25"/>
  <c r="L423" i="25"/>
  <c r="M423" i="25"/>
  <c r="N423" i="25"/>
  <c r="B425" i="25"/>
  <c r="R11" i="25" s="1"/>
  <c r="P4" i="21" s="1"/>
  <c r="C425" i="25"/>
  <c r="D425" i="25"/>
  <c r="E425" i="25"/>
  <c r="F425" i="25"/>
  <c r="A186" i="21"/>
  <c r="A178" i="21"/>
  <c r="D7" i="17"/>
  <c r="A311" i="21"/>
  <c r="A255" i="21"/>
  <c r="A256" i="21" s="1"/>
  <c r="A257" i="21" s="1"/>
  <c r="A258" i="21" s="1"/>
  <c r="A259" i="21" s="1"/>
  <c r="A206" i="21"/>
  <c r="A332" i="21"/>
  <c r="A333" i="21" s="1"/>
  <c r="A334" i="21" s="1"/>
  <c r="A335" i="21" s="1"/>
  <c r="A336" i="21" s="1"/>
  <c r="A319" i="21"/>
  <c r="A220" i="21"/>
  <c r="B18" i="21"/>
  <c r="A150" i="21"/>
  <c r="A122" i="21"/>
  <c r="A123" i="21" s="1"/>
  <c r="A124" i="21" s="1"/>
  <c r="A125" i="21" s="1"/>
  <c r="A126" i="21" s="1"/>
  <c r="A94" i="21"/>
  <c r="A95" i="21" s="1"/>
  <c r="A96" i="21" s="1"/>
  <c r="A97" i="21" s="1"/>
  <c r="A98" i="21" s="1"/>
  <c r="A81" i="21"/>
  <c r="A82" i="21" s="1"/>
  <c r="A83" i="21" s="1"/>
  <c r="A84" i="21" s="1"/>
  <c r="A25" i="21"/>
  <c r="A26" i="21" s="1"/>
  <c r="A27" i="21" s="1"/>
  <c r="A28" i="21" s="1"/>
  <c r="A115" i="21"/>
  <c r="A116" i="21" s="1"/>
  <c r="A117" i="21" s="1"/>
  <c r="A118" i="21" s="1"/>
  <c r="A119" i="21" s="1"/>
  <c r="A103" i="21"/>
  <c r="A104" i="21" s="1"/>
  <c r="A105" i="21" s="1"/>
  <c r="A59" i="21"/>
  <c r="A31" i="21"/>
  <c r="A32" i="21"/>
  <c r="A33" i="21" s="1"/>
  <c r="A34" i="21" s="1"/>
  <c r="A35" i="21" s="1"/>
  <c r="J61" i="37"/>
  <c r="W9" i="39"/>
  <c r="Z9" i="39"/>
  <c r="Y10" i="39" s="1"/>
  <c r="Y11" i="39" s="1"/>
  <c r="D28" i="16"/>
  <c r="B29" i="16"/>
  <c r="C29" i="16" s="1"/>
  <c r="D29" i="16" s="1"/>
  <c r="D27" i="12"/>
  <c r="B28" i="12"/>
  <c r="C28" i="12" s="1"/>
  <c r="B29" i="12" s="1"/>
  <c r="D16" i="13"/>
  <c r="B17" i="13"/>
  <c r="C17" i="13" s="1"/>
  <c r="D17" i="13" s="1"/>
  <c r="T17" i="13" s="1"/>
  <c r="D11" i="15"/>
  <c r="B12" i="15"/>
  <c r="C12" i="15" s="1"/>
  <c r="D12" i="15" s="1"/>
  <c r="C13" i="23"/>
  <c r="D13" i="23" s="1"/>
  <c r="C12" i="23"/>
  <c r="D12" i="23" s="1"/>
  <c r="K12" i="15" s="1"/>
  <c r="J6" i="30" s="1"/>
  <c r="C11" i="23"/>
  <c r="D11" i="23" s="1"/>
  <c r="C10" i="23"/>
  <c r="D10" i="23"/>
  <c r="C9" i="23"/>
  <c r="D9" i="23" s="1"/>
  <c r="C8" i="23"/>
  <c r="D8" i="23" s="1"/>
  <c r="C7" i="23"/>
  <c r="D7" i="23" s="1"/>
  <c r="C6" i="23"/>
  <c r="D6" i="23" s="1"/>
  <c r="C5" i="23"/>
  <c r="D5" i="23" s="1"/>
  <c r="C4" i="23"/>
  <c r="C3" i="23"/>
  <c r="D3" i="23" s="1"/>
  <c r="C2" i="23"/>
  <c r="H13" i="23"/>
  <c r="I13" i="23" s="1"/>
  <c r="H12" i="23"/>
  <c r="I12" i="23"/>
  <c r="H11" i="23"/>
  <c r="I11" i="23"/>
  <c r="H10" i="23"/>
  <c r="I10" i="23" s="1"/>
  <c r="H9" i="23"/>
  <c r="I9" i="23"/>
  <c r="H8" i="23"/>
  <c r="I8" i="23" s="1"/>
  <c r="H7" i="23"/>
  <c r="I7" i="23" s="1"/>
  <c r="H6" i="23"/>
  <c r="I6" i="23" s="1"/>
  <c r="H5" i="23"/>
  <c r="I5" i="23" s="1"/>
  <c r="H4" i="23"/>
  <c r="I4" i="23" s="1"/>
  <c r="H3" i="23"/>
  <c r="C29" i="12"/>
  <c r="D29" i="12" s="1"/>
  <c r="D28" i="12"/>
  <c r="A48" i="21"/>
  <c r="A49" i="21" s="1"/>
  <c r="A75" i="21"/>
  <c r="A76" i="21" s="1"/>
  <c r="A77" i="21" s="1"/>
  <c r="A159" i="21"/>
  <c r="A160" i="21" s="1"/>
  <c r="A161" i="21" s="1"/>
  <c r="A140" i="21"/>
  <c r="A312" i="21"/>
  <c r="A313" i="21" s="1"/>
  <c r="A314" i="21" s="1"/>
  <c r="A315" i="21" s="1"/>
  <c r="A194" i="21"/>
  <c r="A195" i="21" s="1"/>
  <c r="A196" i="21" s="1"/>
  <c r="B13" i="15"/>
  <c r="C13" i="15" s="1"/>
  <c r="T16" i="13"/>
  <c r="A54" i="21"/>
  <c r="A55" i="21" s="1"/>
  <c r="A56" i="21" s="1"/>
  <c r="B19" i="21"/>
  <c r="B20" i="21" s="1"/>
  <c r="A320" i="21"/>
  <c r="A321" i="21" s="1"/>
  <c r="A322" i="21" s="1"/>
  <c r="A207" i="21"/>
  <c r="A208" i="21" s="1"/>
  <c r="A209" i="21" s="1"/>
  <c r="A210" i="21" s="1"/>
  <c r="G11" i="15"/>
  <c r="H11" i="15" s="1"/>
  <c r="J5" i="22" s="1"/>
  <c r="A60" i="21"/>
  <c r="A61" i="21" s="1"/>
  <c r="A62" i="21" s="1"/>
  <c r="A63" i="21" s="1"/>
  <c r="A221" i="21"/>
  <c r="A222" i="21" s="1"/>
  <c r="A223" i="21" s="1"/>
  <c r="A224" i="21" s="1"/>
  <c r="A228" i="21"/>
  <c r="A151" i="21"/>
  <c r="A152" i="21" s="1"/>
  <c r="A153" i="21" s="1"/>
  <c r="A154" i="21" s="1"/>
  <c r="A236" i="21"/>
  <c r="A237" i="21"/>
  <c r="A238" i="21" s="1"/>
  <c r="A179" i="21"/>
  <c r="A180" i="21" s="1"/>
  <c r="A181" i="21" s="1"/>
  <c r="A182" i="21" s="1"/>
  <c r="A187" i="21"/>
  <c r="A188" i="21" s="1"/>
  <c r="A189" i="21" s="1"/>
  <c r="A229" i="21"/>
  <c r="A230" i="21" s="1"/>
  <c r="A231" i="21" s="1"/>
  <c r="A244" i="21"/>
  <c r="A245" i="21" s="1"/>
  <c r="A285" i="21"/>
  <c r="A286" i="21" s="1"/>
  <c r="A287" i="21" s="1"/>
  <c r="A70" i="21"/>
  <c r="I3" i="23"/>
  <c r="S9" i="37"/>
  <c r="T9" i="37"/>
  <c r="O75" i="39"/>
  <c r="AD9" i="39" s="1"/>
  <c r="AD10" i="39" s="1"/>
  <c r="AD11" i="39" s="1"/>
  <c r="AD12" i="39" s="1"/>
  <c r="AD13" i="39" s="1"/>
  <c r="AD14" i="39" s="1"/>
  <c r="AD15" i="39" s="1"/>
  <c r="AD16" i="39" s="1"/>
  <c r="AD17" i="39" s="1"/>
  <c r="AD18" i="39" s="1"/>
  <c r="AD19" i="39" s="1"/>
  <c r="AD20" i="39" s="1"/>
  <c r="AD21" i="39" s="1"/>
  <c r="AD22" i="39" s="1"/>
  <c r="AD23" i="39" s="1"/>
  <c r="AD24" i="39" s="1"/>
  <c r="AD25" i="39" s="1"/>
  <c r="AD26" i="39" s="1"/>
  <c r="AD27" i="39" s="1"/>
  <c r="AD28" i="39" s="1"/>
  <c r="AD29" i="39" s="1"/>
  <c r="AD30" i="39" s="1"/>
  <c r="AD31" i="39" s="1"/>
  <c r="AD32" i="39" s="1"/>
  <c r="AD33" i="39" s="1"/>
  <c r="AD34" i="39" s="1"/>
  <c r="AD35" i="39" s="1"/>
  <c r="AD36" i="39" s="1"/>
  <c r="AD37" i="39" s="1"/>
  <c r="AD38" i="39" s="1"/>
  <c r="AD39" i="39" s="1"/>
  <c r="AD40" i="39" s="1"/>
  <c r="AD41" i="39" s="1"/>
  <c r="AD42" i="39" s="1"/>
  <c r="AD43" i="39" s="1"/>
  <c r="AD44" i="39" s="1"/>
  <c r="AD45" i="39" s="1"/>
  <c r="AD46" i="39" s="1"/>
  <c r="AD47" i="39" s="1"/>
  <c r="AD48" i="39" s="1"/>
  <c r="AD49" i="39" s="1"/>
  <c r="AD50" i="39" s="1"/>
  <c r="AD51" i="39" s="1"/>
  <c r="AD52" i="39" s="1"/>
  <c r="AD53" i="39" s="1"/>
  <c r="AD54" i="39" s="1"/>
  <c r="AD55" i="39" s="1"/>
  <c r="AD56" i="39" s="1"/>
  <c r="AD57" i="39" s="1"/>
  <c r="AD58" i="39" s="1"/>
  <c r="AD59" i="39" s="1"/>
  <c r="AD60" i="39" s="1"/>
  <c r="AD61" i="39" s="1"/>
  <c r="AD62" i="39" s="1"/>
  <c r="AD63" i="39" s="1"/>
  <c r="AD64" i="39" s="1"/>
  <c r="AD65" i="39" s="1"/>
  <c r="AD66" i="39" s="1"/>
  <c r="AD67" i="39" s="1"/>
  <c r="AD68" i="39" s="1"/>
  <c r="AD69" i="39" s="1"/>
  <c r="AD70" i="39" s="1"/>
  <c r="AD71" i="39" s="1"/>
  <c r="AD72" i="39" s="1"/>
  <c r="AD73" i="39" s="1"/>
  <c r="AD74" i="39" s="1"/>
  <c r="Y9" i="37"/>
  <c r="D76" i="39"/>
  <c r="AG31" i="4"/>
  <c r="AH31" i="4" s="1"/>
  <c r="AG27" i="4"/>
  <c r="AH27" i="4" s="1"/>
  <c r="AG32" i="4"/>
  <c r="AH32" i="4" s="1"/>
  <c r="AC9" i="37"/>
  <c r="N75" i="39"/>
  <c r="AB9" i="39" s="1"/>
  <c r="Y9" i="39"/>
  <c r="B12" i="11"/>
  <c r="C12" i="11" s="1"/>
  <c r="D11" i="11"/>
  <c r="S10" i="37"/>
  <c r="E8" i="4"/>
  <c r="S3" i="17"/>
  <c r="S4" i="17" s="1"/>
  <c r="S5" i="17" s="1"/>
  <c r="S6" i="17" s="1"/>
  <c r="S7" i="17" s="1"/>
  <c r="S8" i="17" s="1"/>
  <c r="S9" i="17" s="1"/>
  <c r="S10" i="17" s="1"/>
  <c r="S11" i="17" s="1"/>
  <c r="S12" i="17" s="1"/>
  <c r="S13" i="17" s="1"/>
  <c r="S14" i="17" s="1"/>
  <c r="S15" i="17" s="1"/>
  <c r="S16" i="17" s="1"/>
  <c r="S17" i="17" s="1"/>
  <c r="S18" i="17" s="1"/>
  <c r="S19" i="17" s="1"/>
  <c r="S20" i="17" s="1"/>
  <c r="S21" i="17" s="1"/>
  <c r="S22" i="17" s="1"/>
  <c r="AA3" i="7"/>
  <c r="I2" i="23"/>
  <c r="G22" i="33"/>
  <c r="G43" i="32"/>
  <c r="H16" i="18"/>
  <c r="I16" i="18" s="1"/>
  <c r="G51" i="33"/>
  <c r="G38" i="33"/>
  <c r="G9" i="34"/>
  <c r="G29" i="33"/>
  <c r="G18" i="32"/>
  <c r="G11" i="32"/>
  <c r="G9" i="32"/>
  <c r="D2" i="23"/>
  <c r="G34" i="32"/>
  <c r="G11" i="34"/>
  <c r="G14" i="33"/>
  <c r="G13" i="33"/>
  <c r="H13" i="31"/>
  <c r="G56" i="33"/>
  <c r="G35" i="32"/>
  <c r="G10" i="32"/>
  <c r="G11" i="33"/>
  <c r="O60" i="37"/>
  <c r="N61" i="37" s="1"/>
  <c r="AA9" i="37"/>
  <c r="P76" i="39"/>
  <c r="N60" i="37"/>
  <c r="E52" i="33"/>
  <c r="K57" i="33"/>
  <c r="F21" i="33"/>
  <c r="F56" i="33"/>
  <c r="F8" i="33"/>
  <c r="F52" i="32"/>
  <c r="Q18" i="21"/>
  <c r="Q19" i="21" s="1"/>
  <c r="Q20" i="21" s="1"/>
  <c r="Q21" i="21" s="1"/>
  <c r="Q22" i="21" s="1"/>
  <c r="Q23" i="21" s="1"/>
  <c r="Q24" i="21" s="1"/>
  <c r="Q25" i="21" s="1"/>
  <c r="Q26" i="21" s="1"/>
  <c r="Q27" i="21" s="1"/>
  <c r="Q28" i="21" s="1"/>
  <c r="Q29" i="21" s="1"/>
  <c r="Q30" i="21" s="1"/>
  <c r="Q31" i="21" s="1"/>
  <c r="Q32" i="21" s="1"/>
  <c r="Q33" i="21" s="1"/>
  <c r="Q34" i="21" s="1"/>
  <c r="Q35" i="21" s="1"/>
  <c r="Q36" i="21" s="1"/>
  <c r="Q37" i="21" s="1"/>
  <c r="Q38" i="21" s="1"/>
  <c r="Q39" i="21" s="1"/>
  <c r="Q40" i="21" s="1"/>
  <c r="Q41" i="21" s="1"/>
  <c r="Q42" i="21" s="1"/>
  <c r="Q43" i="21" s="1"/>
  <c r="Q44" i="21" s="1"/>
  <c r="Q45" i="21" s="1"/>
  <c r="Q46" i="21" s="1"/>
  <c r="Q47" i="21" s="1"/>
  <c r="Q48" i="21" s="1"/>
  <c r="Q49" i="21" s="1"/>
  <c r="Q50" i="21" s="1"/>
  <c r="Q51" i="21" s="1"/>
  <c r="Q52" i="21" s="1"/>
  <c r="Q53" i="21" s="1"/>
  <c r="Q54" i="21" s="1"/>
  <c r="Q55" i="21" s="1"/>
  <c r="Q56" i="21" s="1"/>
  <c r="Q57" i="21" s="1"/>
  <c r="Q58" i="21" s="1"/>
  <c r="Q59" i="21" s="1"/>
  <c r="Q60" i="21" s="1"/>
  <c r="Q61" i="21" s="1"/>
  <c r="Q62" i="21" s="1"/>
  <c r="Q63" i="21" s="1"/>
  <c r="Q64" i="21" s="1"/>
  <c r="Q65" i="21" s="1"/>
  <c r="Q66" i="21" s="1"/>
  <c r="Q67" i="21" s="1"/>
  <c r="Q68" i="21" s="1"/>
  <c r="Q69" i="21" s="1"/>
  <c r="Q70" i="21" s="1"/>
  <c r="Q71" i="21" s="1"/>
  <c r="Q72" i="21" s="1"/>
  <c r="Q73" i="21" s="1"/>
  <c r="Q74" i="21" s="1"/>
  <c r="Q75" i="21" s="1"/>
  <c r="Q76" i="21" s="1"/>
  <c r="Q77" i="21" s="1"/>
  <c r="Q78" i="21" s="1"/>
  <c r="Q79" i="21" s="1"/>
  <c r="Q80" i="21" s="1"/>
  <c r="Q81" i="21" s="1"/>
  <c r="Q82" i="21" s="1"/>
  <c r="Q83" i="21" s="1"/>
  <c r="Q84" i="21" s="1"/>
  <c r="Q85" i="21" s="1"/>
  <c r="Q86" i="21" s="1"/>
  <c r="Q87" i="21" s="1"/>
  <c r="Q88" i="21" s="1"/>
  <c r="Q89" i="21" s="1"/>
  <c r="Q90" i="21" s="1"/>
  <c r="Q91" i="21" s="1"/>
  <c r="Q92" i="21" s="1"/>
  <c r="Q93" i="21" s="1"/>
  <c r="Q94" i="21" s="1"/>
  <c r="Q95" i="21" s="1"/>
  <c r="Q96" i="21" s="1"/>
  <c r="Q97" i="21" s="1"/>
  <c r="Q98" i="21" s="1"/>
  <c r="Q99" i="21" s="1"/>
  <c r="Q100" i="21" s="1"/>
  <c r="Q101" i="21" s="1"/>
  <c r="Q102" i="21" s="1"/>
  <c r="Q103" i="21" s="1"/>
  <c r="Q104" i="21" s="1"/>
  <c r="Q105" i="21" s="1"/>
  <c r="Q106" i="21" s="1"/>
  <c r="Q107" i="21" s="1"/>
  <c r="Q108" i="21" s="1"/>
  <c r="Q109" i="21" s="1"/>
  <c r="Q110" i="21" s="1"/>
  <c r="Q111" i="21" s="1"/>
  <c r="Q112" i="21" s="1"/>
  <c r="Q113" i="21" s="1"/>
  <c r="Q114" i="21" s="1"/>
  <c r="Q115" i="21" s="1"/>
  <c r="Q116" i="21" s="1"/>
  <c r="Q117" i="21" s="1"/>
  <c r="Q118" i="21" s="1"/>
  <c r="Q119" i="21" s="1"/>
  <c r="Q120" i="21" s="1"/>
  <c r="Q121" i="21" s="1"/>
  <c r="Q122" i="21" s="1"/>
  <c r="Q123" i="21" s="1"/>
  <c r="Q124" i="21" s="1"/>
  <c r="Q125" i="21" s="1"/>
  <c r="Q126" i="21" s="1"/>
  <c r="Q127" i="21" s="1"/>
  <c r="Q128" i="21" s="1"/>
  <c r="Q129" i="21" s="1"/>
  <c r="Q130" i="21" s="1"/>
  <c r="Q131" i="21" s="1"/>
  <c r="Q132" i="21" s="1"/>
  <c r="Q133" i="21" s="1"/>
  <c r="Q134" i="21" s="1"/>
  <c r="Q135" i="21" s="1"/>
  <c r="Q136" i="21" s="1"/>
  <c r="Q137" i="21" s="1"/>
  <c r="Q138" i="21" s="1"/>
  <c r="Q139" i="21" s="1"/>
  <c r="Q140" i="21" s="1"/>
  <c r="Q141" i="21" s="1"/>
  <c r="Q142" i="21" s="1"/>
  <c r="Q143" i="21" s="1"/>
  <c r="Q144" i="21" s="1"/>
  <c r="Q145" i="21" s="1"/>
  <c r="Q146" i="21" s="1"/>
  <c r="Q147" i="21" s="1"/>
  <c r="Q148" i="21" s="1"/>
  <c r="Q149" i="21" s="1"/>
  <c r="Q150" i="21" s="1"/>
  <c r="Q151" i="21" s="1"/>
  <c r="Q152" i="21" s="1"/>
  <c r="Q153" i="21" s="1"/>
  <c r="Q154" i="21" s="1"/>
  <c r="Q155" i="21" s="1"/>
  <c r="Q156" i="21" s="1"/>
  <c r="Q157" i="21" s="1"/>
  <c r="Q158" i="21" s="1"/>
  <c r="Q159" i="21" s="1"/>
  <c r="Q160" i="21" s="1"/>
  <c r="Q161" i="21" s="1"/>
  <c r="Q162" i="21" s="1"/>
  <c r="Q163" i="21" s="1"/>
  <c r="Q164" i="21" s="1"/>
  <c r="Q165" i="21" s="1"/>
  <c r="Q166" i="21" s="1"/>
  <c r="Q167" i="21" s="1"/>
  <c r="Q168" i="21" s="1"/>
  <c r="Q169" i="21" s="1"/>
  <c r="Q170" i="21" s="1"/>
  <c r="Q171" i="21" s="1"/>
  <c r="Q172" i="21" s="1"/>
  <c r="Q173" i="21" s="1"/>
  <c r="Q174" i="21" s="1"/>
  <c r="Q175" i="21" s="1"/>
  <c r="Q176" i="21" s="1"/>
  <c r="Q177" i="21" s="1"/>
  <c r="Q178" i="21" s="1"/>
  <c r="Q179" i="21" s="1"/>
  <c r="Q180" i="21" s="1"/>
  <c r="Q181" i="21" s="1"/>
  <c r="Q182" i="21" s="1"/>
  <c r="Q183" i="21" s="1"/>
  <c r="Q184" i="21" s="1"/>
  <c r="Q185" i="21" s="1"/>
  <c r="Q186" i="21" s="1"/>
  <c r="Q187" i="21" s="1"/>
  <c r="Q188" i="21" s="1"/>
  <c r="Q189" i="21" s="1"/>
  <c r="Q190" i="21" s="1"/>
  <c r="Q191" i="21" s="1"/>
  <c r="Q192" i="21" s="1"/>
  <c r="Q193" i="21" s="1"/>
  <c r="Q194" i="21" s="1"/>
  <c r="Q195" i="21" s="1"/>
  <c r="Q196" i="21" s="1"/>
  <c r="Q197" i="21" s="1"/>
  <c r="Q198" i="21" s="1"/>
  <c r="Q199" i="21" s="1"/>
  <c r="Q200" i="21" s="1"/>
  <c r="Q201" i="21" s="1"/>
  <c r="Q202" i="21" s="1"/>
  <c r="Q203" i="21" s="1"/>
  <c r="Q204" i="21" s="1"/>
  <c r="Q205" i="21" s="1"/>
  <c r="Q206" i="21" s="1"/>
  <c r="Q207" i="21" s="1"/>
  <c r="Q208" i="21" s="1"/>
  <c r="Q209" i="21" s="1"/>
  <c r="Q210" i="21" s="1"/>
  <c r="Q211" i="21" s="1"/>
  <c r="Q212" i="21" s="1"/>
  <c r="Q213" i="21" s="1"/>
  <c r="Q214" i="21" s="1"/>
  <c r="Q215" i="21" s="1"/>
  <c r="Q216" i="21" s="1"/>
  <c r="Q217" i="21" s="1"/>
  <c r="Q218" i="21" s="1"/>
  <c r="Q219" i="21" s="1"/>
  <c r="Q220" i="21" s="1"/>
  <c r="Q221" i="21" s="1"/>
  <c r="Q222" i="21" s="1"/>
  <c r="Q223" i="21" s="1"/>
  <c r="Q224" i="21" s="1"/>
  <c r="Q225" i="21" s="1"/>
  <c r="Q226" i="21" s="1"/>
  <c r="Q227" i="21" s="1"/>
  <c r="Q228" i="21" s="1"/>
  <c r="Q229" i="21" s="1"/>
  <c r="Q230" i="21" s="1"/>
  <c r="Q231" i="21" s="1"/>
  <c r="Q232" i="21" s="1"/>
  <c r="Q233" i="21" s="1"/>
  <c r="Q234" i="21" s="1"/>
  <c r="Q235" i="21" s="1"/>
  <c r="Q236" i="21" s="1"/>
  <c r="Q237" i="21" s="1"/>
  <c r="Q238" i="21" s="1"/>
  <c r="Q239" i="21" s="1"/>
  <c r="Q240" i="21" s="1"/>
  <c r="Q241" i="21" s="1"/>
  <c r="Q242" i="21" s="1"/>
  <c r="Q243" i="21" s="1"/>
  <c r="Q244" i="21" s="1"/>
  <c r="Q245" i="21" s="1"/>
  <c r="Q246" i="21" s="1"/>
  <c r="Q247" i="21" s="1"/>
  <c r="Q248" i="21" s="1"/>
  <c r="Q249" i="21" s="1"/>
  <c r="Q250" i="21" s="1"/>
  <c r="Q251" i="21" s="1"/>
  <c r="Q252" i="21" s="1"/>
  <c r="Q253" i="21" s="1"/>
  <c r="Q254" i="21" s="1"/>
  <c r="Q255" i="21" s="1"/>
  <c r="Q256" i="21" s="1"/>
  <c r="Q257" i="21" s="1"/>
  <c r="Q258" i="21" s="1"/>
  <c r="Q259" i="21" s="1"/>
  <c r="Q260" i="21" s="1"/>
  <c r="Q261" i="21" s="1"/>
  <c r="Q262" i="21" s="1"/>
  <c r="Q263" i="21" s="1"/>
  <c r="Q264" i="21" s="1"/>
  <c r="Q265" i="21" s="1"/>
  <c r="Q266" i="21" s="1"/>
  <c r="Q267" i="21" s="1"/>
  <c r="Q268" i="21" s="1"/>
  <c r="Q269" i="21" s="1"/>
  <c r="Q270" i="21" s="1"/>
  <c r="Q271" i="21" s="1"/>
  <c r="Q272" i="21" s="1"/>
  <c r="Q273" i="21" s="1"/>
  <c r="Q274" i="21" s="1"/>
  <c r="Q275" i="21" s="1"/>
  <c r="Q276" i="21" s="1"/>
  <c r="Q277" i="21" s="1"/>
  <c r="Q278" i="21" s="1"/>
  <c r="Q279" i="21" s="1"/>
  <c r="Q280" i="21" s="1"/>
  <c r="Q281" i="21" s="1"/>
  <c r="Q282" i="21" s="1"/>
  <c r="Q283" i="21" s="1"/>
  <c r="Q284" i="21" s="1"/>
  <c r="Q285" i="21" s="1"/>
  <c r="Q286" i="21" s="1"/>
  <c r="Q287" i="21" s="1"/>
  <c r="Q288" i="21" s="1"/>
  <c r="Q289" i="21" s="1"/>
  <c r="Q290" i="21" s="1"/>
  <c r="Q291" i="21" s="1"/>
  <c r="Q292" i="21" s="1"/>
  <c r="Q293" i="21" s="1"/>
  <c r="Q294" i="21" s="1"/>
  <c r="Q295" i="21" s="1"/>
  <c r="Q296" i="21" s="1"/>
  <c r="Q297" i="21" s="1"/>
  <c r="Q298" i="21" s="1"/>
  <c r="Q299" i="21" s="1"/>
  <c r="Q300" i="21" s="1"/>
  <c r="Q301" i="21" s="1"/>
  <c r="Q302" i="21" s="1"/>
  <c r="Q303" i="21" s="1"/>
  <c r="Q304" i="21" s="1"/>
  <c r="Q305" i="21" s="1"/>
  <c r="Q306" i="21" s="1"/>
  <c r="Q307" i="21" s="1"/>
  <c r="Q308" i="21" s="1"/>
  <c r="Q309" i="21" s="1"/>
  <c r="Q310" i="21" s="1"/>
  <c r="Q311" i="21" s="1"/>
  <c r="Q312" i="21" s="1"/>
  <c r="Q313" i="21" s="1"/>
  <c r="Q314" i="21" s="1"/>
  <c r="Q315" i="21" s="1"/>
  <c r="Q316" i="21" s="1"/>
  <c r="Q317" i="21" s="1"/>
  <c r="Q318" i="21" s="1"/>
  <c r="Q319" i="21" s="1"/>
  <c r="Q320" i="21" s="1"/>
  <c r="Q321" i="21" s="1"/>
  <c r="Q322" i="21" s="1"/>
  <c r="Q323" i="21" s="1"/>
  <c r="Q324" i="21" s="1"/>
  <c r="Q325" i="21" s="1"/>
  <c r="Q326" i="21" s="1"/>
  <c r="Q327" i="21" s="1"/>
  <c r="Q328" i="21" s="1"/>
  <c r="Q329" i="21" s="1"/>
  <c r="Q330" i="21" s="1"/>
  <c r="Q331" i="21" s="1"/>
  <c r="Q332" i="21" s="1"/>
  <c r="Q333" i="21" s="1"/>
  <c r="Q334" i="21" s="1"/>
  <c r="Q335" i="21" s="1"/>
  <c r="Q336" i="21" s="1"/>
  <c r="Q337" i="21" s="1"/>
  <c r="Q338" i="21" s="1"/>
  <c r="Q339" i="21" s="1"/>
  <c r="Q340" i="21" s="1"/>
  <c r="Q341" i="21" s="1"/>
  <c r="Q342" i="21" s="1"/>
  <c r="Q343" i="21" s="1"/>
  <c r="Q344" i="21" s="1"/>
  <c r="Q345" i="21" s="1"/>
  <c r="Q346" i="21" s="1"/>
  <c r="Q347" i="21" s="1"/>
  <c r="Q348" i="21" s="1"/>
  <c r="Q349" i="21" s="1"/>
  <c r="Q350" i="21" s="1"/>
  <c r="Q351" i="21" s="1"/>
  <c r="Q352" i="21" s="1"/>
  <c r="Q353" i="21" s="1"/>
  <c r="Q354" i="21" s="1"/>
  <c r="Q355" i="21" s="1"/>
  <c r="Q356" i="21" s="1"/>
  <c r="Q357" i="21" s="1"/>
  <c r="Q358" i="21" s="1"/>
  <c r="Q359" i="21" s="1"/>
  <c r="Q360" i="21" s="1"/>
  <c r="Q361" i="21" s="1"/>
  <c r="Q362" i="21" s="1"/>
  <c r="Q363" i="21" s="1"/>
  <c r="Q364" i="21" s="1"/>
  <c r="Q365" i="21" s="1"/>
  <c r="Q366" i="21" s="1"/>
  <c r="Q367" i="21" s="1"/>
  <c r="Q368" i="21" s="1"/>
  <c r="Q369" i="21" s="1"/>
  <c r="Q370" i="21" s="1"/>
  <c r="Q371" i="21" s="1"/>
  <c r="Q372" i="21" s="1"/>
  <c r="Q373" i="21" s="1"/>
  <c r="Q374" i="21" s="1"/>
  <c r="Q375" i="21" s="1"/>
  <c r="Q376" i="21" s="1"/>
  <c r="Q377" i="21" s="1"/>
  <c r="Q378" i="21" s="1"/>
  <c r="Q379" i="21" s="1"/>
  <c r="F35" i="32"/>
  <c r="F56" i="32"/>
  <c r="E57" i="33"/>
  <c r="D31" i="33"/>
  <c r="A3" i="32"/>
  <c r="F53" i="32"/>
  <c r="F43" i="33"/>
  <c r="F38" i="32"/>
  <c r="F32" i="32"/>
  <c r="E31" i="32"/>
  <c r="F27" i="33"/>
  <c r="F22" i="33"/>
  <c r="E20" i="32"/>
  <c r="E18" i="33"/>
  <c r="E15" i="33"/>
  <c r="E12" i="32"/>
  <c r="F9" i="33"/>
  <c r="E52" i="32"/>
  <c r="F59" i="33"/>
  <c r="D57" i="33"/>
  <c r="K30" i="33"/>
  <c r="K25" i="33"/>
  <c r="K44" i="33"/>
  <c r="K12" i="33"/>
  <c r="K59" i="33"/>
  <c r="K13" i="33"/>
  <c r="K11" i="33"/>
  <c r="F9" i="32"/>
  <c r="E43" i="32"/>
  <c r="E24" i="33"/>
  <c r="F22" i="32"/>
  <c r="D21" i="32"/>
  <c r="F20" i="33"/>
  <c r="F17" i="32"/>
  <c r="E17" i="32"/>
  <c r="E10" i="34"/>
  <c r="K16" i="33"/>
  <c r="D11" i="33"/>
  <c r="E25" i="33"/>
  <c r="F26" i="32"/>
  <c r="M380" i="21"/>
  <c r="E14" i="32"/>
  <c r="E21" i="33"/>
  <c r="E10" i="33"/>
  <c r="E27" i="33"/>
  <c r="F27" i="32"/>
  <c r="K28" i="33"/>
  <c r="F16" i="32"/>
  <c r="F10" i="33"/>
  <c r="D44" i="32"/>
  <c r="F43" i="32"/>
  <c r="D42" i="33"/>
  <c r="E41" i="33"/>
  <c r="K41" i="33"/>
  <c r="F15" i="34"/>
  <c r="K36" i="33"/>
  <c r="F34" i="33"/>
  <c r="D34" i="33"/>
  <c r="F14" i="34"/>
  <c r="K33" i="33"/>
  <c r="F30" i="33"/>
  <c r="K13" i="34"/>
  <c r="F11" i="33"/>
  <c r="E32" i="33"/>
  <c r="F40" i="32"/>
  <c r="F51" i="33"/>
  <c r="F49" i="33"/>
  <c r="E50" i="32"/>
  <c r="F24" i="32"/>
  <c r="D40" i="33"/>
  <c r="E37" i="32"/>
  <c r="F14" i="33"/>
  <c r="E16" i="32"/>
  <c r="F33" i="33"/>
  <c r="E19" i="33"/>
  <c r="F50" i="32"/>
  <c r="K20" i="33"/>
  <c r="F16" i="34"/>
  <c r="F28" i="33"/>
  <c r="K35" i="33"/>
  <c r="F17" i="34"/>
  <c r="F29" i="32"/>
  <c r="F40" i="33"/>
  <c r="E51" i="33"/>
  <c r="F12" i="33"/>
  <c r="E33" i="33"/>
  <c r="E9" i="33"/>
  <c r="E11" i="33"/>
  <c r="E50" i="33"/>
  <c r="E48" i="33"/>
  <c r="K23" i="33"/>
  <c r="D33" i="32"/>
  <c r="E21" i="32"/>
  <c r="E40" i="32"/>
  <c r="F18" i="33"/>
  <c r="F10" i="34"/>
  <c r="E47" i="32"/>
  <c r="D9" i="32"/>
  <c r="D8" i="32"/>
  <c r="F19" i="32"/>
  <c r="F12" i="32"/>
  <c r="E35" i="33"/>
  <c r="F46" i="33"/>
  <c r="D23" i="32"/>
  <c r="K19" i="33"/>
  <c r="K17" i="33"/>
  <c r="C10" i="21"/>
  <c r="H19" i="31"/>
  <c r="L10" i="19"/>
  <c r="K8" i="36"/>
  <c r="T8" i="36" s="1"/>
  <c r="D12" i="11"/>
  <c r="I12" i="11" s="1"/>
  <c r="I6" i="30" s="1"/>
  <c r="B13" i="11"/>
  <c r="C13" i="11" s="1"/>
  <c r="D13" i="11" s="1"/>
  <c r="AA4" i="7"/>
  <c r="AA5" i="7" s="1"/>
  <c r="G12" i="15"/>
  <c r="H12" i="15" s="1"/>
  <c r="G23" i="32"/>
  <c r="G24" i="33"/>
  <c r="K21" i="33"/>
  <c r="K31" i="33"/>
  <c r="G26" i="33"/>
  <c r="G24" i="32"/>
  <c r="G38" i="32"/>
  <c r="J8" i="35"/>
  <c r="K50" i="33"/>
  <c r="N76" i="39"/>
  <c r="L8" i="36"/>
  <c r="M10" i="19"/>
  <c r="T10" i="19" s="1"/>
  <c r="I19" i="31"/>
  <c r="E8" i="17"/>
  <c r="G10" i="21"/>
  <c r="G53" i="33"/>
  <c r="K38" i="33"/>
  <c r="D14" i="32"/>
  <c r="K14" i="34"/>
  <c r="K12" i="34"/>
  <c r="E42" i="33"/>
  <c r="D14" i="33"/>
  <c r="K54" i="33"/>
  <c r="G10" i="34"/>
  <c r="E12" i="33"/>
  <c r="G18" i="33"/>
  <c r="K10" i="33"/>
  <c r="K9" i="33"/>
  <c r="T9" i="34"/>
  <c r="T13" i="34"/>
  <c r="T17" i="34"/>
  <c r="T9" i="33"/>
  <c r="T13" i="33"/>
  <c r="T17" i="33"/>
  <c r="T21" i="33"/>
  <c r="T25" i="33"/>
  <c r="T29" i="33"/>
  <c r="T33" i="33"/>
  <c r="T37" i="33"/>
  <c r="T41" i="33"/>
  <c r="T45" i="33"/>
  <c r="T49" i="33"/>
  <c r="T53" i="33"/>
  <c r="T57" i="33"/>
  <c r="T10" i="34"/>
  <c r="T14" i="34"/>
  <c r="T18" i="34"/>
  <c r="T8" i="33"/>
  <c r="T10" i="33"/>
  <c r="T14" i="33"/>
  <c r="T18" i="33"/>
  <c r="T22" i="33"/>
  <c r="T26" i="33"/>
  <c r="T30" i="33"/>
  <c r="T34" i="33"/>
  <c r="T38" i="33"/>
  <c r="T42" i="33"/>
  <c r="T46" i="33"/>
  <c r="T50" i="33"/>
  <c r="T54" i="33"/>
  <c r="T58" i="33"/>
  <c r="T8" i="34"/>
  <c r="J6" i="22"/>
  <c r="B14" i="11"/>
  <c r="C14" i="11" s="1"/>
  <c r="B15" i="11" s="1"/>
  <c r="C15" i="11" s="1"/>
  <c r="B16" i="11" s="1"/>
  <c r="AA6" i="7"/>
  <c r="AA7" i="7" s="1"/>
  <c r="AA8" i="7" s="1"/>
  <c r="AA9" i="7" s="1"/>
  <c r="C16" i="11"/>
  <c r="AG36" i="4"/>
  <c r="AH36" i="4" s="1"/>
  <c r="AG37" i="4"/>
  <c r="AH37" i="4" s="1"/>
  <c r="AG38" i="4"/>
  <c r="AH38" i="4" s="1"/>
  <c r="AG39" i="4"/>
  <c r="AH39" i="4" s="1"/>
  <c r="E8" i="16"/>
  <c r="D32" i="32"/>
  <c r="D31" i="32"/>
  <c r="D13" i="34"/>
  <c r="D28" i="33"/>
  <c r="D27" i="32"/>
  <c r="D25" i="32"/>
  <c r="D12" i="34"/>
  <c r="D7" i="32"/>
  <c r="D8" i="33"/>
  <c r="D51" i="32"/>
  <c r="D52" i="33"/>
  <c r="D50" i="32"/>
  <c r="D49" i="32"/>
  <c r="D48" i="32"/>
  <c r="D48" i="33"/>
  <c r="D47" i="32"/>
  <c r="D46" i="32"/>
  <c r="D47" i="33"/>
  <c r="D44" i="33"/>
  <c r="F8" i="36"/>
  <c r="D15" i="34"/>
  <c r="D38" i="33"/>
  <c r="D37" i="33"/>
  <c r="D36" i="32"/>
  <c r="D10" i="32"/>
  <c r="D53" i="33"/>
  <c r="G8" i="35"/>
  <c r="D11" i="32"/>
  <c r="C13" i="31"/>
  <c r="D12" i="33"/>
  <c r="D26" i="33"/>
  <c r="D12" i="32"/>
  <c r="D13" i="33"/>
  <c r="D56" i="33"/>
  <c r="D55" i="32"/>
  <c r="D15" i="32"/>
  <c r="D16" i="33"/>
  <c r="D19" i="33"/>
  <c r="D17" i="32"/>
  <c r="D18" i="33"/>
  <c r="D17" i="33"/>
  <c r="D16" i="32"/>
  <c r="D10" i="34"/>
  <c r="D58" i="33"/>
  <c r="D22" i="33"/>
  <c r="D20" i="32"/>
  <c r="D11" i="34"/>
  <c r="D20" i="33"/>
  <c r="C15" i="21"/>
  <c r="I8" i="33"/>
  <c r="I8" i="34"/>
  <c r="G15" i="21"/>
  <c r="M11" i="19"/>
  <c r="G9" i="21"/>
  <c r="M8" i="35"/>
  <c r="E8" i="12"/>
  <c r="L11" i="19"/>
  <c r="C9" i="21"/>
  <c r="D8" i="21" s="1"/>
  <c r="L8" i="35"/>
  <c r="H22" i="31"/>
  <c r="AD28" i="16" l="1"/>
  <c r="W10" i="39"/>
  <c r="X10" i="39"/>
  <c r="X11" i="39" s="1"/>
  <c r="X12" i="39" s="1"/>
  <c r="V11" i="39"/>
  <c r="AA10" i="39"/>
  <c r="Z11" i="39" s="1"/>
  <c r="Y12" i="39" s="1"/>
  <c r="AB10" i="39"/>
  <c r="AD10" i="37"/>
  <c r="AC11" i="37" s="1"/>
  <c r="AC10" i="37"/>
  <c r="S3" i="7"/>
  <c r="Q4" i="7"/>
  <c r="Q5" i="7" s="1"/>
  <c r="Q6" i="7" s="1"/>
  <c r="S55" i="7"/>
  <c r="S4" i="7"/>
  <c r="S57" i="7"/>
  <c r="S58" i="7"/>
  <c r="S56" i="7"/>
  <c r="S5" i="7"/>
  <c r="I22" i="31"/>
  <c r="Q13" i="31"/>
  <c r="R13" i="31" s="1"/>
  <c r="G13" i="11"/>
  <c r="H13" i="11" s="1"/>
  <c r="I7" i="22" s="1"/>
  <c r="I13" i="11"/>
  <c r="I7" i="30" s="1"/>
  <c r="T10" i="37"/>
  <c r="S11" i="37" s="1"/>
  <c r="H8" i="18"/>
  <c r="I8" i="18" s="1"/>
  <c r="G26" i="32"/>
  <c r="K58" i="33"/>
  <c r="D42" i="32"/>
  <c r="F9" i="34"/>
  <c r="E14" i="34"/>
  <c r="E35" i="32"/>
  <c r="E16" i="33"/>
  <c r="E13" i="34"/>
  <c r="I380" i="21"/>
  <c r="K18" i="34"/>
  <c r="E27" i="32"/>
  <c r="F54" i="32"/>
  <c r="F52" i="33"/>
  <c r="G30" i="33"/>
  <c r="G16" i="32"/>
  <c r="F19" i="31"/>
  <c r="F22" i="31" s="1"/>
  <c r="H14" i="18"/>
  <c r="I14" i="18" s="1"/>
  <c r="G23" i="33"/>
  <c r="S3" i="4"/>
  <c r="S4" i="4" s="1"/>
  <c r="S5" i="4" s="1"/>
  <c r="S6" i="4" s="1"/>
  <c r="G51" i="32"/>
  <c r="F50" i="33"/>
  <c r="G32" i="33"/>
  <c r="F26" i="33"/>
  <c r="L61" i="37"/>
  <c r="G20" i="34"/>
  <c r="AC9" i="39"/>
  <c r="AC10" i="39" s="1"/>
  <c r="AC11" i="39" s="1"/>
  <c r="AC12" i="39" s="1"/>
  <c r="AC13" i="39" s="1"/>
  <c r="AC14" i="39" s="1"/>
  <c r="AC15" i="39" s="1"/>
  <c r="AC16" i="39" s="1"/>
  <c r="AC17" i="39" s="1"/>
  <c r="AC18" i="39" s="1"/>
  <c r="AC19" i="39" s="1"/>
  <c r="AC20" i="39" s="1"/>
  <c r="AC21" i="39" s="1"/>
  <c r="AC22" i="39" s="1"/>
  <c r="AC23" i="39" s="1"/>
  <c r="AC24" i="39" s="1"/>
  <c r="AC25" i="39" s="1"/>
  <c r="AC26" i="39" s="1"/>
  <c r="AC27" i="39" s="1"/>
  <c r="AC28" i="39" s="1"/>
  <c r="AC29" i="39" s="1"/>
  <c r="AC30" i="39" s="1"/>
  <c r="AC31" i="39" s="1"/>
  <c r="AC32" i="39" s="1"/>
  <c r="AC33" i="39" s="1"/>
  <c r="AC34" i="39" s="1"/>
  <c r="AC35" i="39" s="1"/>
  <c r="AC36" i="39" s="1"/>
  <c r="AC37" i="39" s="1"/>
  <c r="AC38" i="39" s="1"/>
  <c r="AC39" i="39" s="1"/>
  <c r="AC40" i="39" s="1"/>
  <c r="AC41" i="39" s="1"/>
  <c r="AC42" i="39" s="1"/>
  <c r="AC43" i="39" s="1"/>
  <c r="AC44" i="39" s="1"/>
  <c r="AC45" i="39" s="1"/>
  <c r="AC46" i="39" s="1"/>
  <c r="AC47" i="39" s="1"/>
  <c r="AC48" i="39" s="1"/>
  <c r="AC49" i="39" s="1"/>
  <c r="AC50" i="39" s="1"/>
  <c r="AC51" i="39" s="1"/>
  <c r="AC52" i="39" s="1"/>
  <c r="AC53" i="39" s="1"/>
  <c r="AC54" i="39" s="1"/>
  <c r="AC55" i="39" s="1"/>
  <c r="AC56" i="39" s="1"/>
  <c r="AC57" i="39" s="1"/>
  <c r="AC58" i="39" s="1"/>
  <c r="AC59" i="39" s="1"/>
  <c r="AC60" i="39" s="1"/>
  <c r="AC61" i="39" s="1"/>
  <c r="AC62" i="39" s="1"/>
  <c r="AC63" i="39" s="1"/>
  <c r="AC64" i="39" s="1"/>
  <c r="AC65" i="39" s="1"/>
  <c r="AC66" i="39" s="1"/>
  <c r="AC67" i="39" s="1"/>
  <c r="AC68" i="39" s="1"/>
  <c r="AC69" i="39" s="1"/>
  <c r="AC70" i="39" s="1"/>
  <c r="AC71" i="39" s="1"/>
  <c r="AC72" i="39" s="1"/>
  <c r="AC73" i="39" s="1"/>
  <c r="AC74" i="39" s="1"/>
  <c r="F47" i="33"/>
  <c r="H8" i="36"/>
  <c r="F19" i="34"/>
  <c r="G13" i="34"/>
  <c r="I8" i="36"/>
  <c r="H9" i="18"/>
  <c r="I9" i="18" s="1"/>
  <c r="D39" i="33"/>
  <c r="D18" i="34"/>
  <c r="D9" i="34"/>
  <c r="H8" i="21"/>
  <c r="G12" i="34"/>
  <c r="F8" i="34"/>
  <c r="E33" i="32"/>
  <c r="D30" i="33"/>
  <c r="E37" i="33"/>
  <c r="E42" i="32"/>
  <c r="K22" i="33"/>
  <c r="K8" i="34"/>
  <c r="D29" i="33"/>
  <c r="E56" i="33"/>
  <c r="G49" i="33"/>
  <c r="G42" i="33"/>
  <c r="G40" i="33"/>
  <c r="H15" i="18"/>
  <c r="I15" i="18" s="1"/>
  <c r="E19" i="21" s="1"/>
  <c r="F19" i="21" s="1"/>
  <c r="G3" i="7"/>
  <c r="G4" i="7" s="1"/>
  <c r="G5" i="7" s="1"/>
  <c r="G6" i="7" s="1"/>
  <c r="AG29" i="4"/>
  <c r="AH29" i="4" s="1"/>
  <c r="H6" i="18"/>
  <c r="I6" i="18" s="1"/>
  <c r="AD27" i="17"/>
  <c r="V9" i="37"/>
  <c r="G50" i="33"/>
  <c r="D45" i="33"/>
  <c r="G34" i="33"/>
  <c r="D10" i="33"/>
  <c r="E9" i="34"/>
  <c r="E20" i="34" s="1"/>
  <c r="K17" i="34"/>
  <c r="F36" i="32"/>
  <c r="F24" i="33"/>
  <c r="E7" i="32"/>
  <c r="D13" i="31"/>
  <c r="D22" i="31" s="1"/>
  <c r="G41" i="32"/>
  <c r="G30" i="32"/>
  <c r="H10" i="18"/>
  <c r="I10" i="18" s="1"/>
  <c r="C14" i="23"/>
  <c r="D7" i="4"/>
  <c r="AD27" i="4" s="1"/>
  <c r="G55" i="33"/>
  <c r="E41" i="32"/>
  <c r="F34" i="32"/>
  <c r="G12" i="11"/>
  <c r="H12" i="11" s="1"/>
  <c r="I6" i="22" s="1"/>
  <c r="D54" i="33"/>
  <c r="E15" i="34"/>
  <c r="D27" i="31"/>
  <c r="F38" i="33"/>
  <c r="H7" i="18"/>
  <c r="I7" i="18" s="1"/>
  <c r="B18" i="13"/>
  <c r="C18" i="13" s="1"/>
  <c r="D7" i="12"/>
  <c r="AD27" i="12" s="1"/>
  <c r="F25" i="33"/>
  <c r="G8" i="32"/>
  <c r="AG34" i="4"/>
  <c r="AH34" i="4" s="1"/>
  <c r="B28" i="17"/>
  <c r="C28" i="17" s="1"/>
  <c r="T11" i="19"/>
  <c r="D45" i="32"/>
  <c r="U8" i="35"/>
  <c r="D19" i="31"/>
  <c r="E54" i="33"/>
  <c r="G57" i="33"/>
  <c r="H13" i="18"/>
  <c r="I13" i="18" s="1"/>
  <c r="H5" i="18"/>
  <c r="G54" i="33"/>
  <c r="E29" i="32"/>
  <c r="G19" i="32"/>
  <c r="D14" i="11"/>
  <c r="I14" i="11" s="1"/>
  <c r="I8" i="30" s="1"/>
  <c r="E29" i="33"/>
  <c r="E19" i="32"/>
  <c r="D24" i="32"/>
  <c r="F44" i="32"/>
  <c r="F15" i="32"/>
  <c r="D22" i="32"/>
  <c r="K47" i="33"/>
  <c r="D36" i="33"/>
  <c r="AG30" i="4"/>
  <c r="AH30" i="4" s="1"/>
  <c r="W9" i="37"/>
  <c r="E10" i="32"/>
  <c r="E13" i="31"/>
  <c r="E22" i="31" s="1"/>
  <c r="G58" i="32"/>
  <c r="N380" i="21"/>
  <c r="E55" i="32"/>
  <c r="E53" i="33"/>
  <c r="G27" i="32"/>
  <c r="G47" i="33"/>
  <c r="G49" i="32"/>
  <c r="F13" i="34"/>
  <c r="E13" i="32"/>
  <c r="AG28" i="4"/>
  <c r="AH28" i="4" s="1"/>
  <c r="D35" i="33"/>
  <c r="D6" i="16"/>
  <c r="V3" i="7" s="1"/>
  <c r="V4" i="7" s="1"/>
  <c r="V5" i="7" s="1"/>
  <c r="V6" i="7" s="1"/>
  <c r="AD29" i="12"/>
  <c r="E58" i="32"/>
  <c r="E22" i="32"/>
  <c r="G15" i="32"/>
  <c r="F13" i="32"/>
  <c r="T20" i="34"/>
  <c r="AD28" i="12"/>
  <c r="L380" i="21"/>
  <c r="K9" i="34"/>
  <c r="K20" i="34" s="1"/>
  <c r="E49" i="33"/>
  <c r="F58" i="33"/>
  <c r="H11" i="18"/>
  <c r="I11" i="18" s="1"/>
  <c r="AG35" i="4"/>
  <c r="AH35" i="4" s="1"/>
  <c r="X9" i="37"/>
  <c r="H14" i="23"/>
  <c r="G28" i="33"/>
  <c r="D54" i="32"/>
  <c r="G46" i="32"/>
  <c r="AB9" i="37"/>
  <c r="AB10" i="37" s="1"/>
  <c r="F76" i="39"/>
  <c r="C19" i="31"/>
  <c r="C22" i="31" s="1"/>
  <c r="D27" i="33"/>
  <c r="D15" i="11"/>
  <c r="G8" i="34"/>
  <c r="U9" i="37"/>
  <c r="D57" i="32"/>
  <c r="G41" i="33"/>
  <c r="Z9" i="37"/>
  <c r="Y10" i="37" s="1"/>
  <c r="D20" i="34"/>
  <c r="S7" i="4"/>
  <c r="AA10" i="7"/>
  <c r="D16" i="11"/>
  <c r="B17" i="11"/>
  <c r="C17" i="11" s="1"/>
  <c r="L13" i="7"/>
  <c r="T60" i="33"/>
  <c r="AB11" i="39"/>
  <c r="AB12" i="39" s="1"/>
  <c r="AB13" i="39" s="1"/>
  <c r="AB14" i="39" s="1"/>
  <c r="AB15" i="39" s="1"/>
  <c r="AB16" i="39" s="1"/>
  <c r="AB17" i="39" s="1"/>
  <c r="AB18" i="39" s="1"/>
  <c r="AB19" i="39" s="1"/>
  <c r="AB20" i="39" s="1"/>
  <c r="AB21" i="39" s="1"/>
  <c r="AB22" i="39" s="1"/>
  <c r="AB23" i="39" s="1"/>
  <c r="AB24" i="39" s="1"/>
  <c r="AB25" i="39" s="1"/>
  <c r="AB26" i="39" s="1"/>
  <c r="AB27" i="39" s="1"/>
  <c r="AB28" i="39" s="1"/>
  <c r="AB29" i="39" s="1"/>
  <c r="AB30" i="39" s="1"/>
  <c r="AB31" i="39" s="1"/>
  <c r="AB32" i="39" s="1"/>
  <c r="AB33" i="39" s="1"/>
  <c r="AB34" i="39" s="1"/>
  <c r="AB35" i="39" s="1"/>
  <c r="AB36" i="39" s="1"/>
  <c r="AB37" i="39" s="1"/>
  <c r="AB38" i="39" s="1"/>
  <c r="AB39" i="39" s="1"/>
  <c r="AB40" i="39" s="1"/>
  <c r="AB41" i="39" s="1"/>
  <c r="AB42" i="39" s="1"/>
  <c r="AB43" i="39" s="1"/>
  <c r="AB44" i="39" s="1"/>
  <c r="AB45" i="39" s="1"/>
  <c r="AB46" i="39" s="1"/>
  <c r="AB47" i="39" s="1"/>
  <c r="AB48" i="39" s="1"/>
  <c r="AB49" i="39" s="1"/>
  <c r="AB50" i="39" s="1"/>
  <c r="AB51" i="39" s="1"/>
  <c r="AB52" i="39" s="1"/>
  <c r="AB53" i="39" s="1"/>
  <c r="AB54" i="39" s="1"/>
  <c r="AB55" i="39" s="1"/>
  <c r="AB56" i="39" s="1"/>
  <c r="AB57" i="39" s="1"/>
  <c r="AB58" i="39" s="1"/>
  <c r="AB59" i="39" s="1"/>
  <c r="AB60" i="39" s="1"/>
  <c r="AB61" i="39" s="1"/>
  <c r="AB62" i="39" s="1"/>
  <c r="AB63" i="39" s="1"/>
  <c r="AB64" i="39" s="1"/>
  <c r="AB65" i="39" s="1"/>
  <c r="AB66" i="39" s="1"/>
  <c r="AB67" i="39" s="1"/>
  <c r="AB68" i="39" s="1"/>
  <c r="AB69" i="39" s="1"/>
  <c r="AB70" i="39" s="1"/>
  <c r="AB71" i="39" s="1"/>
  <c r="AB72" i="39" s="1"/>
  <c r="AB73" i="39" s="1"/>
  <c r="AB74" i="39" s="1"/>
  <c r="AA11" i="39"/>
  <c r="AD11" i="37"/>
  <c r="Q19" i="31"/>
  <c r="B21" i="21"/>
  <c r="E16" i="21"/>
  <c r="F16" i="21" s="1"/>
  <c r="E18" i="21"/>
  <c r="F18" i="21" s="1"/>
  <c r="E17" i="21"/>
  <c r="F17" i="21" s="1"/>
  <c r="AD29" i="16"/>
  <c r="K60" i="33"/>
  <c r="E15" i="21"/>
  <c r="F15" i="21" s="1"/>
  <c r="H15" i="21" s="1"/>
  <c r="S10" i="39"/>
  <c r="B14" i="15"/>
  <c r="C14" i="15" s="1"/>
  <c r="D13" i="15"/>
  <c r="T11" i="37"/>
  <c r="T12" i="37" s="1"/>
  <c r="AD27" i="16"/>
  <c r="G11" i="11"/>
  <c r="H11" i="11" s="1"/>
  <c r="I11" i="11"/>
  <c r="D4" i="23"/>
  <c r="F57" i="33"/>
  <c r="B30" i="16"/>
  <c r="C30" i="16" s="1"/>
  <c r="K11" i="15"/>
  <c r="K19" i="34"/>
  <c r="B30" i="12"/>
  <c r="C30" i="12" s="1"/>
  <c r="D59" i="33"/>
  <c r="G45" i="33"/>
  <c r="G44" i="32"/>
  <c r="F47" i="32"/>
  <c r="G48" i="33"/>
  <c r="E47" i="33"/>
  <c r="F58" i="32"/>
  <c r="E55" i="33"/>
  <c r="F42" i="33"/>
  <c r="D52" i="32"/>
  <c r="G59" i="33"/>
  <c r="E44" i="33"/>
  <c r="G42" i="32"/>
  <c r="F21" i="32"/>
  <c r="F54" i="33"/>
  <c r="G54" i="32"/>
  <c r="F31" i="32"/>
  <c r="F28" i="32"/>
  <c r="E8" i="32"/>
  <c r="E45" i="33"/>
  <c r="G45" i="32"/>
  <c r="D15" i="33"/>
  <c r="G7" i="32"/>
  <c r="G46" i="33"/>
  <c r="F18" i="34"/>
  <c r="D28" i="4"/>
  <c r="B29" i="4"/>
  <c r="C29" i="4" s="1"/>
  <c r="F37" i="32"/>
  <c r="F15" i="33"/>
  <c r="G9" i="33"/>
  <c r="S60" i="33"/>
  <c r="E8" i="33"/>
  <c r="E40" i="33"/>
  <c r="F18" i="32"/>
  <c r="N22" i="31"/>
  <c r="U9" i="39"/>
  <c r="U10" i="39" s="1"/>
  <c r="U11" i="39" s="1"/>
  <c r="U12" i="39" s="1"/>
  <c r="D18" i="13" l="1"/>
  <c r="T18" i="13" s="1"/>
  <c r="B19" i="13"/>
  <c r="C19" i="13" s="1"/>
  <c r="I5" i="18"/>
  <c r="H17" i="18"/>
  <c r="D59" i="32"/>
  <c r="E20" i="21"/>
  <c r="F20" i="21" s="1"/>
  <c r="U10" i="37"/>
  <c r="V10" i="37"/>
  <c r="Z10" i="37"/>
  <c r="G14" i="11"/>
  <c r="H14" i="11" s="1"/>
  <c r="I8" i="22" s="1"/>
  <c r="AA10" i="37"/>
  <c r="V12" i="39"/>
  <c r="V13" i="39" s="1"/>
  <c r="V14" i="39" s="1"/>
  <c r="V15" i="39" s="1"/>
  <c r="X10" i="37"/>
  <c r="W10" i="37"/>
  <c r="F20" i="34"/>
  <c r="D60" i="33"/>
  <c r="X13" i="39"/>
  <c r="I15" i="11"/>
  <c r="I9" i="30" s="1"/>
  <c r="G15" i="11"/>
  <c r="H15" i="11" s="1"/>
  <c r="I9" i="22" s="1"/>
  <c r="W11" i="39"/>
  <c r="W12" i="39" s="1"/>
  <c r="W13" i="39" s="1"/>
  <c r="W14" i="39" s="1"/>
  <c r="D28" i="17"/>
  <c r="AD28" i="17" s="1"/>
  <c r="B29" i="17"/>
  <c r="C29" i="17" s="1"/>
  <c r="E59" i="32"/>
  <c r="S6" i="7"/>
  <c r="F19" i="13" s="1"/>
  <c r="Q7" i="7"/>
  <c r="G60" i="33"/>
  <c r="F16" i="13"/>
  <c r="F17" i="13"/>
  <c r="F18" i="13"/>
  <c r="S8" i="4"/>
  <c r="D30" i="16"/>
  <c r="B31" i="16"/>
  <c r="C31" i="16" s="1"/>
  <c r="E60" i="33"/>
  <c r="Y11" i="37"/>
  <c r="Z11" i="37"/>
  <c r="AA11" i="7"/>
  <c r="I5" i="30"/>
  <c r="Z12" i="39"/>
  <c r="AA12" i="39"/>
  <c r="AA13" i="39" s="1"/>
  <c r="AA14" i="39" s="1"/>
  <c r="AA15" i="39" s="1"/>
  <c r="AA16" i="39" s="1"/>
  <c r="AA17" i="39" s="1"/>
  <c r="AA18" i="39" s="1"/>
  <c r="AA19" i="39" s="1"/>
  <c r="AA20" i="39" s="1"/>
  <c r="AA21" i="39" s="1"/>
  <c r="AA22" i="39" s="1"/>
  <c r="AA23" i="39" s="1"/>
  <c r="AA24" i="39" s="1"/>
  <c r="AA25" i="39" s="1"/>
  <c r="AA26" i="39" s="1"/>
  <c r="AA27" i="39" s="1"/>
  <c r="AA28" i="39" s="1"/>
  <c r="AA29" i="39" s="1"/>
  <c r="AA30" i="39" s="1"/>
  <c r="AA31" i="39" s="1"/>
  <c r="AA32" i="39" s="1"/>
  <c r="AA33" i="39" s="1"/>
  <c r="AA34" i="39" s="1"/>
  <c r="AA35" i="39" s="1"/>
  <c r="AA36" i="39" s="1"/>
  <c r="AA37" i="39" s="1"/>
  <c r="AA38" i="39" s="1"/>
  <c r="AA39" i="39" s="1"/>
  <c r="AA40" i="39" s="1"/>
  <c r="AA41" i="39" s="1"/>
  <c r="AA42" i="39" s="1"/>
  <c r="AA43" i="39" s="1"/>
  <c r="AA44" i="39" s="1"/>
  <c r="AA45" i="39" s="1"/>
  <c r="AA46" i="39" s="1"/>
  <c r="AA47" i="39" s="1"/>
  <c r="AA48" i="39" s="1"/>
  <c r="AA49" i="39" s="1"/>
  <c r="AA50" i="39" s="1"/>
  <c r="AA51" i="39" s="1"/>
  <c r="AA52" i="39" s="1"/>
  <c r="AA53" i="39" s="1"/>
  <c r="AA54" i="39" s="1"/>
  <c r="AA55" i="39" s="1"/>
  <c r="AA56" i="39" s="1"/>
  <c r="AA57" i="39" s="1"/>
  <c r="AA58" i="39" s="1"/>
  <c r="AA59" i="39" s="1"/>
  <c r="AA60" i="39" s="1"/>
  <c r="AA61" i="39" s="1"/>
  <c r="AA62" i="39" s="1"/>
  <c r="AA63" i="39" s="1"/>
  <c r="AA64" i="39" s="1"/>
  <c r="AA65" i="39" s="1"/>
  <c r="AA66" i="39" s="1"/>
  <c r="AA67" i="39" s="1"/>
  <c r="AA68" i="39" s="1"/>
  <c r="AA69" i="39" s="1"/>
  <c r="AA70" i="39" s="1"/>
  <c r="AA71" i="39" s="1"/>
  <c r="AA72" i="39" s="1"/>
  <c r="AA73" i="39" s="1"/>
  <c r="AA74" i="39" s="1"/>
  <c r="V7" i="7"/>
  <c r="J15" i="21"/>
  <c r="I5" i="22"/>
  <c r="F59" i="32"/>
  <c r="B22" i="21"/>
  <c r="E21" i="21"/>
  <c r="F21" i="21" s="1"/>
  <c r="D17" i="11"/>
  <c r="B18" i="11"/>
  <c r="C18" i="11" s="1"/>
  <c r="F60" i="33"/>
  <c r="K13" i="15"/>
  <c r="J7" i="30" s="1"/>
  <c r="G13" i="15"/>
  <c r="H13" i="15" s="1"/>
  <c r="S12" i="37"/>
  <c r="AD28" i="4"/>
  <c r="D14" i="15"/>
  <c r="B15" i="15"/>
  <c r="C15" i="15" s="1"/>
  <c r="R19" i="31"/>
  <c r="Q22" i="31"/>
  <c r="R22" i="31" s="1"/>
  <c r="G7" i="7"/>
  <c r="G16" i="11"/>
  <c r="H16" i="11" s="1"/>
  <c r="I10" i="22" s="1"/>
  <c r="I16" i="11"/>
  <c r="I10" i="30" s="1"/>
  <c r="B30" i="4"/>
  <c r="C30" i="4" s="1"/>
  <c r="D29" i="4"/>
  <c r="B31" i="12"/>
  <c r="C31" i="12" s="1"/>
  <c r="D30" i="12"/>
  <c r="G59" i="32"/>
  <c r="J5" i="30"/>
  <c r="T10" i="39"/>
  <c r="T11" i="39" s="1"/>
  <c r="T12" i="39" s="1"/>
  <c r="T13" i="39" s="1"/>
  <c r="AD12" i="37"/>
  <c r="AC12" i="37"/>
  <c r="L14" i="7"/>
  <c r="W11" i="37" l="1"/>
  <c r="X11" i="37"/>
  <c r="X12" i="37" s="1"/>
  <c r="G16" i="13"/>
  <c r="H16" i="13" s="1"/>
  <c r="I17" i="13" s="1"/>
  <c r="J18" i="13" s="1"/>
  <c r="K19" i="13" s="1"/>
  <c r="L20" i="13" s="1"/>
  <c r="M21" i="13" s="1"/>
  <c r="N22" i="13" s="1"/>
  <c r="O23" i="13" s="1"/>
  <c r="P24" i="13" s="1"/>
  <c r="Q25" i="13" s="1"/>
  <c r="Q8" i="7"/>
  <c r="S60" i="7"/>
  <c r="S7" i="7"/>
  <c r="S59" i="7"/>
  <c r="AA11" i="37"/>
  <c r="AB11" i="37"/>
  <c r="D29" i="17"/>
  <c r="AD29" i="17" s="1"/>
  <c r="B30" i="17"/>
  <c r="C30" i="17" s="1"/>
  <c r="V11" i="37"/>
  <c r="U11" i="37"/>
  <c r="G19" i="13"/>
  <c r="H19" i="13" s="1"/>
  <c r="F21" i="13"/>
  <c r="F20" i="13"/>
  <c r="G20" i="13" s="1"/>
  <c r="H20" i="13" s="1"/>
  <c r="S8" i="7"/>
  <c r="G18" i="13"/>
  <c r="H18" i="13" s="1"/>
  <c r="I19" i="13" s="1"/>
  <c r="J20" i="13" s="1"/>
  <c r="K21" i="13" s="1"/>
  <c r="L22" i="13" s="1"/>
  <c r="M23" i="13" s="1"/>
  <c r="N24" i="13" s="1"/>
  <c r="O25" i="13" s="1"/>
  <c r="P26" i="13" s="1"/>
  <c r="Q27" i="13" s="1"/>
  <c r="U13" i="39"/>
  <c r="U14" i="39" s="1"/>
  <c r="U15" i="39" s="1"/>
  <c r="U16" i="39" s="1"/>
  <c r="D19" i="13"/>
  <c r="T19" i="13" s="1"/>
  <c r="B20" i="13"/>
  <c r="C20" i="13" s="1"/>
  <c r="G17" i="13"/>
  <c r="H17" i="13" s="1"/>
  <c r="I18" i="13" s="1"/>
  <c r="J19" i="13" s="1"/>
  <c r="K20" i="13" s="1"/>
  <c r="L21" i="13" s="1"/>
  <c r="M22" i="13" s="1"/>
  <c r="N23" i="13" s="1"/>
  <c r="O24" i="13" s="1"/>
  <c r="P25" i="13" s="1"/>
  <c r="Q26" i="13" s="1"/>
  <c r="W17" i="13"/>
  <c r="X17" i="13" s="1"/>
  <c r="B32" i="12"/>
  <c r="C32" i="12" s="1"/>
  <c r="D31" i="12"/>
  <c r="Z13" i="39"/>
  <c r="Z14" i="39" s="1"/>
  <c r="Z15" i="39" s="1"/>
  <c r="Z16" i="39" s="1"/>
  <c r="Z17" i="39" s="1"/>
  <c r="Z18" i="39" s="1"/>
  <c r="Z19" i="39" s="1"/>
  <c r="Z20" i="39" s="1"/>
  <c r="Z21" i="39" s="1"/>
  <c r="Z22" i="39" s="1"/>
  <c r="Z23" i="39" s="1"/>
  <c r="Z24" i="39" s="1"/>
  <c r="Z25" i="39" s="1"/>
  <c r="Z26" i="39" s="1"/>
  <c r="Z27" i="39" s="1"/>
  <c r="Z28" i="39" s="1"/>
  <c r="Z29" i="39" s="1"/>
  <c r="Z30" i="39" s="1"/>
  <c r="Z31" i="39" s="1"/>
  <c r="Z32" i="39" s="1"/>
  <c r="Z33" i="39" s="1"/>
  <c r="Z34" i="39" s="1"/>
  <c r="Z35" i="39" s="1"/>
  <c r="Z36" i="39" s="1"/>
  <c r="Z37" i="39" s="1"/>
  <c r="Z38" i="39" s="1"/>
  <c r="Z39" i="39" s="1"/>
  <c r="Z40" i="39" s="1"/>
  <c r="Z41" i="39" s="1"/>
  <c r="Z42" i="39" s="1"/>
  <c r="Z43" i="39" s="1"/>
  <c r="Z44" i="39" s="1"/>
  <c r="Z45" i="39" s="1"/>
  <c r="Z46" i="39" s="1"/>
  <c r="Z47" i="39" s="1"/>
  <c r="Z48" i="39" s="1"/>
  <c r="Z49" i="39" s="1"/>
  <c r="Z50" i="39" s="1"/>
  <c r="Z51" i="39" s="1"/>
  <c r="Z52" i="39" s="1"/>
  <c r="Z53" i="39" s="1"/>
  <c r="Z54" i="39" s="1"/>
  <c r="Z55" i="39" s="1"/>
  <c r="Z56" i="39" s="1"/>
  <c r="Z57" i="39" s="1"/>
  <c r="Z58" i="39" s="1"/>
  <c r="Z59" i="39" s="1"/>
  <c r="Z60" i="39" s="1"/>
  <c r="Z61" i="39" s="1"/>
  <c r="Z62" i="39" s="1"/>
  <c r="Z63" i="39" s="1"/>
  <c r="Z64" i="39" s="1"/>
  <c r="Z65" i="39" s="1"/>
  <c r="Z66" i="39" s="1"/>
  <c r="Z67" i="39" s="1"/>
  <c r="Z68" i="39" s="1"/>
  <c r="Z69" i="39" s="1"/>
  <c r="Z70" i="39" s="1"/>
  <c r="Z71" i="39" s="1"/>
  <c r="Z72" i="39" s="1"/>
  <c r="Z73" i="39" s="1"/>
  <c r="Z74" i="39" s="1"/>
  <c r="Y13" i="39"/>
  <c r="AD29" i="4"/>
  <c r="D30" i="4"/>
  <c r="B31" i="4"/>
  <c r="C31" i="4" s="1"/>
  <c r="I55" i="7"/>
  <c r="B23" i="21"/>
  <c r="E22" i="21"/>
  <c r="F22" i="21" s="1"/>
  <c r="AA12" i="7"/>
  <c r="L15" i="7"/>
  <c r="N56" i="7" s="1"/>
  <c r="N3" i="7"/>
  <c r="N55" i="7"/>
  <c r="I20" i="13"/>
  <c r="J21" i="13" s="1"/>
  <c r="K22" i="13" s="1"/>
  <c r="L23" i="13" s="1"/>
  <c r="M24" i="13" s="1"/>
  <c r="N25" i="13" s="1"/>
  <c r="O26" i="13" s="1"/>
  <c r="P27" i="13" s="1"/>
  <c r="Q28" i="13" s="1"/>
  <c r="B16" i="15"/>
  <c r="C16" i="15" s="1"/>
  <c r="D15" i="15"/>
  <c r="I29" i="7"/>
  <c r="T13" i="37"/>
  <c r="S13" i="37"/>
  <c r="J7" i="22"/>
  <c r="W21" i="13"/>
  <c r="X21" i="13" s="1"/>
  <c r="G21" i="13"/>
  <c r="H21" i="13" s="1"/>
  <c r="I61" i="7"/>
  <c r="D31" i="16"/>
  <c r="B32" i="16"/>
  <c r="C32" i="16" s="1"/>
  <c r="S9" i="4"/>
  <c r="AD30" i="16"/>
  <c r="G8" i="7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I3" i="7" s="1"/>
  <c r="I11" i="7"/>
  <c r="I15" i="7"/>
  <c r="I25" i="7"/>
  <c r="I30" i="7"/>
  <c r="I5" i="7"/>
  <c r="I10" i="7"/>
  <c r="K14" i="15"/>
  <c r="G14" i="15"/>
  <c r="H14" i="15" s="1"/>
  <c r="J8" i="22" s="1"/>
  <c r="D18" i="11"/>
  <c r="B19" i="11"/>
  <c r="C19" i="11" s="1"/>
  <c r="S11" i="39"/>
  <c r="S12" i="39" s="1"/>
  <c r="S13" i="39" s="1"/>
  <c r="S14" i="39" s="1"/>
  <c r="G17" i="11"/>
  <c r="H17" i="11" s="1"/>
  <c r="I11" i="22" s="1"/>
  <c r="I17" i="11"/>
  <c r="I11" i="30" s="1"/>
  <c r="V8" i="7"/>
  <c r="I7" i="7"/>
  <c r="I12" i="7"/>
  <c r="Z12" i="37"/>
  <c r="Y12" i="37"/>
  <c r="AD13" i="37"/>
  <c r="AC13" i="37"/>
  <c r="AD30" i="12"/>
  <c r="I65" i="7"/>
  <c r="D30" i="17" l="1"/>
  <c r="AD30" i="17" s="1"/>
  <c r="B31" i="17"/>
  <c r="C31" i="17" s="1"/>
  <c r="I27" i="7"/>
  <c r="D20" i="13"/>
  <c r="T20" i="13" s="1"/>
  <c r="B21" i="13"/>
  <c r="C21" i="13" s="1"/>
  <c r="AA12" i="37"/>
  <c r="AB12" i="37"/>
  <c r="I35" i="7"/>
  <c r="I17" i="7"/>
  <c r="N4" i="7"/>
  <c r="W18" i="13"/>
  <c r="X18" i="13" s="1"/>
  <c r="I37" i="7"/>
  <c r="I70" i="7"/>
  <c r="W20" i="13"/>
  <c r="X20" i="13" s="1"/>
  <c r="Q9" i="7"/>
  <c r="S9" i="7" s="1"/>
  <c r="I13" i="7"/>
  <c r="I50" i="7"/>
  <c r="I38" i="7"/>
  <c r="I8" i="7"/>
  <c r="I53" i="7"/>
  <c r="I64" i="7"/>
  <c r="T14" i="39"/>
  <c r="T15" i="39" s="1"/>
  <c r="T16" i="39" s="1"/>
  <c r="T17" i="39" s="1"/>
  <c r="W16" i="13"/>
  <c r="X16" i="13" s="1"/>
  <c r="S15" i="39"/>
  <c r="S16" i="39" s="1"/>
  <c r="S17" i="39" s="1"/>
  <c r="S18" i="39" s="1"/>
  <c r="I6" i="7"/>
  <c r="I32" i="7"/>
  <c r="I57" i="7"/>
  <c r="I42" i="7"/>
  <c r="W12" i="37"/>
  <c r="I43" i="7"/>
  <c r="I52" i="7"/>
  <c r="I14" i="7"/>
  <c r="I68" i="7"/>
  <c r="I58" i="7"/>
  <c r="V12" i="37"/>
  <c r="U12" i="37"/>
  <c r="W19" i="13"/>
  <c r="X19" i="13" s="1"/>
  <c r="F40" i="4"/>
  <c r="G40" i="4" s="1"/>
  <c r="H40" i="4" s="1"/>
  <c r="Y14" i="39"/>
  <c r="Y15" i="39" s="1"/>
  <c r="Y16" i="39" s="1"/>
  <c r="Y17" i="39" s="1"/>
  <c r="Y18" i="39" s="1"/>
  <c r="Y19" i="39" s="1"/>
  <c r="Y20" i="39" s="1"/>
  <c r="Y21" i="39" s="1"/>
  <c r="Y22" i="39" s="1"/>
  <c r="Y23" i="39" s="1"/>
  <c r="Y24" i="39" s="1"/>
  <c r="Y25" i="39" s="1"/>
  <c r="Y26" i="39" s="1"/>
  <c r="Y27" i="39" s="1"/>
  <c r="Y28" i="39" s="1"/>
  <c r="Y29" i="39" s="1"/>
  <c r="Y30" i="39" s="1"/>
  <c r="Y31" i="39" s="1"/>
  <c r="Y32" i="39" s="1"/>
  <c r="Y33" i="39" s="1"/>
  <c r="Y34" i="39" s="1"/>
  <c r="Y35" i="39" s="1"/>
  <c r="Y36" i="39" s="1"/>
  <c r="Y37" i="39" s="1"/>
  <c r="Y38" i="39" s="1"/>
  <c r="Y39" i="39" s="1"/>
  <c r="Y40" i="39" s="1"/>
  <c r="Y41" i="39" s="1"/>
  <c r="Y42" i="39" s="1"/>
  <c r="Y43" i="39" s="1"/>
  <c r="Y44" i="39" s="1"/>
  <c r="Y45" i="39" s="1"/>
  <c r="Y46" i="39" s="1"/>
  <c r="Y47" i="39" s="1"/>
  <c r="Y48" i="39" s="1"/>
  <c r="Y49" i="39" s="1"/>
  <c r="Y50" i="39" s="1"/>
  <c r="Y51" i="39" s="1"/>
  <c r="Y52" i="39" s="1"/>
  <c r="Y53" i="39" s="1"/>
  <c r="Y54" i="39" s="1"/>
  <c r="Y55" i="39" s="1"/>
  <c r="Y56" i="39" s="1"/>
  <c r="Y57" i="39" s="1"/>
  <c r="Y58" i="39" s="1"/>
  <c r="Y59" i="39" s="1"/>
  <c r="Y60" i="39" s="1"/>
  <c r="Y61" i="39" s="1"/>
  <c r="Y62" i="39" s="1"/>
  <c r="Y63" i="39" s="1"/>
  <c r="Y64" i="39" s="1"/>
  <c r="Y65" i="39" s="1"/>
  <c r="Y66" i="39" s="1"/>
  <c r="Y67" i="39" s="1"/>
  <c r="Y68" i="39" s="1"/>
  <c r="Y69" i="39" s="1"/>
  <c r="Y70" i="39" s="1"/>
  <c r="Y71" i="39" s="1"/>
  <c r="Y72" i="39" s="1"/>
  <c r="Y73" i="39" s="1"/>
  <c r="Y74" i="39" s="1"/>
  <c r="X14" i="39"/>
  <c r="I28" i="7"/>
  <c r="I18" i="11"/>
  <c r="I12" i="30" s="1"/>
  <c r="G18" i="11"/>
  <c r="H18" i="11" s="1"/>
  <c r="I12" i="22" s="1"/>
  <c r="F38" i="12"/>
  <c r="F39" i="12"/>
  <c r="I39" i="7"/>
  <c r="AC14" i="37"/>
  <c r="AD14" i="37"/>
  <c r="AD31" i="12"/>
  <c r="S14" i="37"/>
  <c r="T14" i="37"/>
  <c r="B33" i="12"/>
  <c r="C33" i="12" s="1"/>
  <c r="D32" i="12"/>
  <c r="I22" i="13"/>
  <c r="J23" i="13" s="1"/>
  <c r="K24" i="13" s="1"/>
  <c r="L25" i="13" s="1"/>
  <c r="M26" i="13" s="1"/>
  <c r="N27" i="13" s="1"/>
  <c r="O28" i="13" s="1"/>
  <c r="P29" i="13" s="1"/>
  <c r="Q30" i="13" s="1"/>
  <c r="I63" i="7"/>
  <c r="I54" i="7"/>
  <c r="I21" i="7"/>
  <c r="I47" i="7"/>
  <c r="L16" i="7"/>
  <c r="I56" i="7"/>
  <c r="I16" i="7"/>
  <c r="Z13" i="37"/>
  <c r="Y13" i="37"/>
  <c r="I18" i="7"/>
  <c r="I36" i="7"/>
  <c r="D31" i="4"/>
  <c r="B32" i="4"/>
  <c r="C32" i="4" s="1"/>
  <c r="I33" i="7"/>
  <c r="AD30" i="4"/>
  <c r="I49" i="7"/>
  <c r="I21" i="13"/>
  <c r="J22" i="13" s="1"/>
  <c r="K23" i="13" s="1"/>
  <c r="L24" i="13" s="1"/>
  <c r="M25" i="13" s="1"/>
  <c r="N26" i="13" s="1"/>
  <c r="O27" i="13" s="1"/>
  <c r="P28" i="13" s="1"/>
  <c r="Q29" i="13" s="1"/>
  <c r="S10" i="4"/>
  <c r="I45" i="7"/>
  <c r="B33" i="16"/>
  <c r="C33" i="16" s="1"/>
  <c r="D32" i="16"/>
  <c r="AD31" i="16"/>
  <c r="I9" i="7"/>
  <c r="I41" i="7"/>
  <c r="I62" i="7"/>
  <c r="J8" i="30"/>
  <c r="I46" i="7"/>
  <c r="I26" i="7"/>
  <c r="I4" i="7"/>
  <c r="F43" i="4" s="1"/>
  <c r="G43" i="4" s="1"/>
  <c r="H43" i="4" s="1"/>
  <c r="I67" i="7"/>
  <c r="V9" i="7"/>
  <c r="I24" i="7"/>
  <c r="I69" i="7"/>
  <c r="I23" i="7"/>
  <c r="I60" i="7"/>
  <c r="I19" i="7"/>
  <c r="I31" i="7"/>
  <c r="I40" i="7"/>
  <c r="K15" i="15"/>
  <c r="J9" i="30" s="1"/>
  <c r="G15" i="15"/>
  <c r="H15" i="15" s="1"/>
  <c r="J9" i="22" s="1"/>
  <c r="AA13" i="7"/>
  <c r="I59" i="7"/>
  <c r="I48" i="7"/>
  <c r="I22" i="7"/>
  <c r="I66" i="7"/>
  <c r="I20" i="7"/>
  <c r="B17" i="15"/>
  <c r="C17" i="15" s="1"/>
  <c r="D16" i="15"/>
  <c r="I51" i="7"/>
  <c r="I34" i="7"/>
  <c r="B20" i="11"/>
  <c r="C20" i="11" s="1"/>
  <c r="D19" i="11"/>
  <c r="B24" i="21"/>
  <c r="E23" i="21"/>
  <c r="F23" i="21" s="1"/>
  <c r="I44" i="7"/>
  <c r="F22" i="13" l="1"/>
  <c r="S23" i="7"/>
  <c r="S68" i="7"/>
  <c r="S47" i="7"/>
  <c r="S66" i="7"/>
  <c r="S49" i="7"/>
  <c r="S14" i="7"/>
  <c r="S28" i="7"/>
  <c r="S22" i="7"/>
  <c r="S13" i="7"/>
  <c r="S19" i="7"/>
  <c r="S70" i="7"/>
  <c r="S36" i="7"/>
  <c r="S39" i="7"/>
  <c r="S15" i="7"/>
  <c r="S31" i="7"/>
  <c r="U13" i="37"/>
  <c r="V13" i="37"/>
  <c r="S21" i="7"/>
  <c r="S27" i="7"/>
  <c r="AA13" i="37"/>
  <c r="AB13" i="37"/>
  <c r="S24" i="7"/>
  <c r="S32" i="7"/>
  <c r="B22" i="13"/>
  <c r="C22" i="13" s="1"/>
  <c r="D21" i="13"/>
  <c r="T21" i="13" s="1"/>
  <c r="S44" i="7"/>
  <c r="S16" i="7"/>
  <c r="S20" i="7"/>
  <c r="S30" i="7"/>
  <c r="S12" i="7"/>
  <c r="S29" i="7"/>
  <c r="S45" i="7"/>
  <c r="S41" i="7"/>
  <c r="S52" i="7"/>
  <c r="S26" i="7"/>
  <c r="X13" i="37"/>
  <c r="W13" i="37"/>
  <c r="B32" i="17"/>
  <c r="C32" i="17" s="1"/>
  <c r="D31" i="17"/>
  <c r="AD31" i="17" s="1"/>
  <c r="Q10" i="7"/>
  <c r="Q11" i="7" s="1"/>
  <c r="Q12" i="7" s="1"/>
  <c r="Q13" i="7" s="1"/>
  <c r="Q14" i="7" s="1"/>
  <c r="Q15" i="7" s="1"/>
  <c r="Q16" i="7" s="1"/>
  <c r="Q17" i="7" s="1"/>
  <c r="Q18" i="7" s="1"/>
  <c r="Q19" i="7" s="1"/>
  <c r="Q20" i="7" s="1"/>
  <c r="Q21" i="7" s="1"/>
  <c r="Q22" i="7" s="1"/>
  <c r="Q23" i="7" s="1"/>
  <c r="Q24" i="7" s="1"/>
  <c r="Q25" i="7" s="1"/>
  <c r="Q26" i="7" s="1"/>
  <c r="Q27" i="7" s="1"/>
  <c r="Q28" i="7" s="1"/>
  <c r="Q29" i="7" s="1"/>
  <c r="Q30" i="7" s="1"/>
  <c r="Q31" i="7" s="1"/>
  <c r="Q32" i="7" s="1"/>
  <c r="Q33" i="7" s="1"/>
  <c r="Q34" i="7" s="1"/>
  <c r="Q35" i="7" s="1"/>
  <c r="Q36" i="7" s="1"/>
  <c r="Q37" i="7" s="1"/>
  <c r="Q38" i="7" s="1"/>
  <c r="Q39" i="7" s="1"/>
  <c r="Q40" i="7" s="1"/>
  <c r="Q41" i="7" s="1"/>
  <c r="Q42" i="7" s="1"/>
  <c r="Q43" i="7" s="1"/>
  <c r="Q44" i="7" s="1"/>
  <c r="Q45" i="7" s="1"/>
  <c r="Q46" i="7" s="1"/>
  <c r="Q47" i="7" s="1"/>
  <c r="Q48" i="7" s="1"/>
  <c r="Q49" i="7" s="1"/>
  <c r="Q50" i="7" s="1"/>
  <c r="Q51" i="7" s="1"/>
  <c r="Q52" i="7" s="1"/>
  <c r="Q53" i="7" s="1"/>
  <c r="Q54" i="7" s="1"/>
  <c r="Q55" i="7" s="1"/>
  <c r="Q56" i="7" s="1"/>
  <c r="Q57" i="7" s="1"/>
  <c r="Q58" i="7" s="1"/>
  <c r="Q59" i="7" s="1"/>
  <c r="Q60" i="7" s="1"/>
  <c r="Q61" i="7" s="1"/>
  <c r="Q62" i="7" s="1"/>
  <c r="Q63" i="7" s="1"/>
  <c r="Q64" i="7" s="1"/>
  <c r="Q65" i="7" s="1"/>
  <c r="Q66" i="7" s="1"/>
  <c r="Q67" i="7" s="1"/>
  <c r="Q68" i="7" s="1"/>
  <c r="Q69" i="7" s="1"/>
  <c r="Q70" i="7" s="1"/>
  <c r="S62" i="7"/>
  <c r="S61" i="7"/>
  <c r="S17" i="7"/>
  <c r="S64" i="7"/>
  <c r="S25" i="7"/>
  <c r="S43" i="7"/>
  <c r="S67" i="7"/>
  <c r="S10" i="7"/>
  <c r="I44" i="4"/>
  <c r="J45" i="4" s="1"/>
  <c r="K46" i="4" s="1"/>
  <c r="L47" i="4" s="1"/>
  <c r="M48" i="4" s="1"/>
  <c r="N49" i="4" s="1"/>
  <c r="O50" i="4" s="1"/>
  <c r="P51" i="4" s="1"/>
  <c r="Q52" i="4" s="1"/>
  <c r="R53" i="4" s="1"/>
  <c r="S54" i="4" s="1"/>
  <c r="T55" i="4" s="1"/>
  <c r="U56" i="4" s="1"/>
  <c r="V57" i="4" s="1"/>
  <c r="W58" i="4" s="1"/>
  <c r="X59" i="4" s="1"/>
  <c r="Y60" i="4" s="1"/>
  <c r="Z61" i="4" s="1"/>
  <c r="AA62" i="4" s="1"/>
  <c r="T15" i="37"/>
  <c r="S15" i="37"/>
  <c r="F61" i="4"/>
  <c r="G61" i="4" s="1"/>
  <c r="H61" i="4" s="1"/>
  <c r="F42" i="4"/>
  <c r="G42" i="4" s="1"/>
  <c r="H42" i="4" s="1"/>
  <c r="F67" i="4"/>
  <c r="G67" i="4" s="1"/>
  <c r="H67" i="4" s="1"/>
  <c r="D32" i="4"/>
  <c r="B33" i="4"/>
  <c r="C33" i="4" s="1"/>
  <c r="F31" i="4"/>
  <c r="G31" i="4" s="1"/>
  <c r="H31" i="4" s="1"/>
  <c r="F70" i="4"/>
  <c r="G70" i="4" s="1"/>
  <c r="H70" i="4" s="1"/>
  <c r="F66" i="4"/>
  <c r="G66" i="4" s="1"/>
  <c r="H66" i="4" s="1"/>
  <c r="AD31" i="4"/>
  <c r="F54" i="4"/>
  <c r="G54" i="4" s="1"/>
  <c r="H54" i="4" s="1"/>
  <c r="F30" i="4"/>
  <c r="G30" i="4" s="1"/>
  <c r="H30" i="4" s="1"/>
  <c r="F73" i="4"/>
  <c r="G73" i="4" s="1"/>
  <c r="H73" i="4" s="1"/>
  <c r="F36" i="4"/>
  <c r="G36" i="4" s="1"/>
  <c r="H36" i="4" s="1"/>
  <c r="G39" i="12"/>
  <c r="H39" i="12" s="1"/>
  <c r="F51" i="4"/>
  <c r="G51" i="4" s="1"/>
  <c r="H51" i="4" s="1"/>
  <c r="F55" i="4"/>
  <c r="G55" i="4" s="1"/>
  <c r="H55" i="4" s="1"/>
  <c r="F44" i="4"/>
  <c r="G44" i="4" s="1"/>
  <c r="H44" i="4" s="1"/>
  <c r="F34" i="4"/>
  <c r="G34" i="4" s="1"/>
  <c r="H34" i="4" s="1"/>
  <c r="V10" i="7"/>
  <c r="F65" i="4"/>
  <c r="G65" i="4" s="1"/>
  <c r="H65" i="4" s="1"/>
  <c r="F75" i="4"/>
  <c r="G75" i="4" s="1"/>
  <c r="H75" i="4" s="1"/>
  <c r="F48" i="4"/>
  <c r="G48" i="4" s="1"/>
  <c r="H48" i="4" s="1"/>
  <c r="F39" i="4"/>
  <c r="G39" i="4" s="1"/>
  <c r="H39" i="4" s="1"/>
  <c r="G38" i="12"/>
  <c r="H38" i="12" s="1"/>
  <c r="AG38" i="12" s="1"/>
  <c r="AH38" i="12" s="1"/>
  <c r="F64" i="4"/>
  <c r="G64" i="4" s="1"/>
  <c r="H64" i="4" s="1"/>
  <c r="F76" i="4"/>
  <c r="G76" i="4" s="1"/>
  <c r="H76" i="4" s="1"/>
  <c r="F32" i="4"/>
  <c r="G32" i="4" s="1"/>
  <c r="H32" i="4" s="1"/>
  <c r="F37" i="4"/>
  <c r="G37" i="4" s="1"/>
  <c r="H37" i="4" s="1"/>
  <c r="D20" i="11"/>
  <c r="B21" i="11"/>
  <c r="C21" i="11" s="1"/>
  <c r="L17" i="7"/>
  <c r="N57" i="7"/>
  <c r="N5" i="7"/>
  <c r="AD32" i="12"/>
  <c r="AD15" i="37"/>
  <c r="AC15" i="37"/>
  <c r="F52" i="4"/>
  <c r="G52" i="4" s="1"/>
  <c r="H52" i="4" s="1"/>
  <c r="F57" i="4"/>
  <c r="G57" i="4" s="1"/>
  <c r="H57" i="4" s="1"/>
  <c r="F63" i="4"/>
  <c r="G63" i="4" s="1"/>
  <c r="H63" i="4" s="1"/>
  <c r="F60" i="4"/>
  <c r="G60" i="4" s="1"/>
  <c r="H60" i="4" s="1"/>
  <c r="B25" i="21"/>
  <c r="E24" i="21"/>
  <c r="F24" i="21" s="1"/>
  <c r="AA14" i="7"/>
  <c r="D33" i="12"/>
  <c r="B34" i="12"/>
  <c r="C34" i="12" s="1"/>
  <c r="F46" i="4"/>
  <c r="G46" i="4" s="1"/>
  <c r="H46" i="4" s="1"/>
  <c r="F77" i="4"/>
  <c r="G77" i="4" s="1"/>
  <c r="H77" i="4" s="1"/>
  <c r="F50" i="4"/>
  <c r="G50" i="4" s="1"/>
  <c r="H50" i="4" s="1"/>
  <c r="F56" i="4"/>
  <c r="G56" i="4" s="1"/>
  <c r="H56" i="4" s="1"/>
  <c r="I19" i="11"/>
  <c r="G19" i="11"/>
  <c r="H19" i="11" s="1"/>
  <c r="G16" i="15"/>
  <c r="H16" i="15" s="1"/>
  <c r="J10" i="22" s="1"/>
  <c r="K16" i="15"/>
  <c r="F41" i="4"/>
  <c r="G41" i="4" s="1"/>
  <c r="H41" i="4" s="1"/>
  <c r="F38" i="4"/>
  <c r="G38" i="4" s="1"/>
  <c r="H38" i="4" s="1"/>
  <c r="F68" i="4"/>
  <c r="G68" i="4" s="1"/>
  <c r="H68" i="4" s="1"/>
  <c r="F69" i="4"/>
  <c r="G69" i="4" s="1"/>
  <c r="H69" i="4" s="1"/>
  <c r="F45" i="4"/>
  <c r="G45" i="4" s="1"/>
  <c r="H45" i="4" s="1"/>
  <c r="F49" i="4"/>
  <c r="G49" i="4" s="1"/>
  <c r="H49" i="4" s="1"/>
  <c r="F27" i="4"/>
  <c r="G27" i="4" s="1"/>
  <c r="H27" i="4" s="1"/>
  <c r="F29" i="4"/>
  <c r="G29" i="4" s="1"/>
  <c r="H29" i="4" s="1"/>
  <c r="X15" i="39"/>
  <c r="X16" i="39" s="1"/>
  <c r="X17" i="39" s="1"/>
  <c r="X18" i="39" s="1"/>
  <c r="X19" i="39" s="1"/>
  <c r="X20" i="39" s="1"/>
  <c r="X21" i="39" s="1"/>
  <c r="X22" i="39" s="1"/>
  <c r="X23" i="39" s="1"/>
  <c r="X24" i="39" s="1"/>
  <c r="X25" i="39" s="1"/>
  <c r="X26" i="39" s="1"/>
  <c r="X27" i="39" s="1"/>
  <c r="X28" i="39" s="1"/>
  <c r="X29" i="39" s="1"/>
  <c r="X30" i="39" s="1"/>
  <c r="X31" i="39" s="1"/>
  <c r="X32" i="39" s="1"/>
  <c r="X33" i="39" s="1"/>
  <c r="X34" i="39" s="1"/>
  <c r="X35" i="39" s="1"/>
  <c r="X36" i="39" s="1"/>
  <c r="X37" i="39" s="1"/>
  <c r="X38" i="39" s="1"/>
  <c r="X39" i="39" s="1"/>
  <c r="X40" i="39" s="1"/>
  <c r="X41" i="39" s="1"/>
  <c r="X42" i="39" s="1"/>
  <c r="X43" i="39" s="1"/>
  <c r="X44" i="39" s="1"/>
  <c r="X45" i="39" s="1"/>
  <c r="X46" i="39" s="1"/>
  <c r="X47" i="39" s="1"/>
  <c r="X48" i="39" s="1"/>
  <c r="X49" i="39" s="1"/>
  <c r="X50" i="39" s="1"/>
  <c r="X51" i="39" s="1"/>
  <c r="X52" i="39" s="1"/>
  <c r="X53" i="39" s="1"/>
  <c r="X54" i="39" s="1"/>
  <c r="X55" i="39" s="1"/>
  <c r="X56" i="39" s="1"/>
  <c r="X57" i="39" s="1"/>
  <c r="X58" i="39" s="1"/>
  <c r="X59" i="39" s="1"/>
  <c r="X60" i="39" s="1"/>
  <c r="X61" i="39" s="1"/>
  <c r="X62" i="39" s="1"/>
  <c r="X63" i="39" s="1"/>
  <c r="X64" i="39" s="1"/>
  <c r="X65" i="39" s="1"/>
  <c r="X66" i="39" s="1"/>
  <c r="X67" i="39" s="1"/>
  <c r="X68" i="39" s="1"/>
  <c r="X69" i="39" s="1"/>
  <c r="X70" i="39" s="1"/>
  <c r="X71" i="39" s="1"/>
  <c r="X72" i="39" s="1"/>
  <c r="X73" i="39" s="1"/>
  <c r="X74" i="39" s="1"/>
  <c r="W15" i="39"/>
  <c r="F78" i="4"/>
  <c r="G78" i="4" s="1"/>
  <c r="H78" i="4" s="1"/>
  <c r="F35" i="4"/>
  <c r="G35" i="4" s="1"/>
  <c r="H35" i="4" s="1"/>
  <c r="F59" i="4"/>
  <c r="G59" i="4" s="1"/>
  <c r="H59" i="4" s="1"/>
  <c r="F62" i="4"/>
  <c r="G62" i="4" s="1"/>
  <c r="H62" i="4" s="1"/>
  <c r="AD12" i="16"/>
  <c r="AD32" i="16"/>
  <c r="F33" i="4"/>
  <c r="G33" i="4" s="1"/>
  <c r="H33" i="4" s="1"/>
  <c r="F72" i="4"/>
  <c r="G72" i="4" s="1"/>
  <c r="H72" i="4" s="1"/>
  <c r="F74" i="4"/>
  <c r="G74" i="4" s="1"/>
  <c r="H74" i="4" s="1"/>
  <c r="F71" i="4"/>
  <c r="G71" i="4" s="1"/>
  <c r="H71" i="4" s="1"/>
  <c r="I41" i="4"/>
  <c r="AG40" i="4"/>
  <c r="AH40" i="4" s="1"/>
  <c r="F28" i="4"/>
  <c r="G28" i="4" s="1"/>
  <c r="H28" i="4" s="1"/>
  <c r="F47" i="4"/>
  <c r="G47" i="4" s="1"/>
  <c r="H47" i="4" s="1"/>
  <c r="D17" i="15"/>
  <c r="B18" i="15"/>
  <c r="C18" i="15" s="1"/>
  <c r="B34" i="16"/>
  <c r="C34" i="16" s="1"/>
  <c r="D33" i="16"/>
  <c r="S11" i="4"/>
  <c r="Y14" i="37"/>
  <c r="Z14" i="37"/>
  <c r="F53" i="4"/>
  <c r="G53" i="4" s="1"/>
  <c r="H53" i="4" s="1"/>
  <c r="F58" i="4"/>
  <c r="G58" i="4" s="1"/>
  <c r="H58" i="4" s="1"/>
  <c r="U14" i="37" l="1"/>
  <c r="V14" i="37"/>
  <c r="B23" i="13"/>
  <c r="C23" i="13" s="1"/>
  <c r="D22" i="13"/>
  <c r="T22" i="13" s="1"/>
  <c r="AB14" i="37"/>
  <c r="AA14" i="37"/>
  <c r="F30" i="13"/>
  <c r="S51" i="7"/>
  <c r="F29" i="13"/>
  <c r="S50" i="7"/>
  <c r="S18" i="7"/>
  <c r="F54" i="13" s="1"/>
  <c r="S34" i="7"/>
  <c r="S11" i="7"/>
  <c r="F64" i="13" s="1"/>
  <c r="S42" i="7"/>
  <c r="S38" i="7"/>
  <c r="S40" i="7"/>
  <c r="S54" i="7"/>
  <c r="S37" i="7"/>
  <c r="S65" i="7"/>
  <c r="S35" i="7"/>
  <c r="S33" i="7"/>
  <c r="F62" i="13"/>
  <c r="B33" i="17"/>
  <c r="C33" i="17" s="1"/>
  <c r="D32" i="17"/>
  <c r="AD32" i="17" s="1"/>
  <c r="S53" i="7"/>
  <c r="S48" i="7"/>
  <c r="F23" i="13"/>
  <c r="X14" i="37"/>
  <c r="W14" i="37"/>
  <c r="S46" i="7"/>
  <c r="S69" i="7"/>
  <c r="S63" i="7"/>
  <c r="W22" i="13"/>
  <c r="X22" i="13" s="1"/>
  <c r="G22" i="13"/>
  <c r="H22" i="13" s="1"/>
  <c r="I23" i="13" s="1"/>
  <c r="J24" i="13" s="1"/>
  <c r="K25" i="13" s="1"/>
  <c r="L26" i="13" s="1"/>
  <c r="M27" i="13" s="1"/>
  <c r="N28" i="13" s="1"/>
  <c r="O29" i="13" s="1"/>
  <c r="P30" i="13" s="1"/>
  <c r="Q31" i="13" s="1"/>
  <c r="I57" i="4"/>
  <c r="J58" i="4" s="1"/>
  <c r="K59" i="4" s="1"/>
  <c r="L60" i="4" s="1"/>
  <c r="M61" i="4" s="1"/>
  <c r="N62" i="4" s="1"/>
  <c r="O63" i="4" s="1"/>
  <c r="P64" i="4" s="1"/>
  <c r="Q65" i="4" s="1"/>
  <c r="R66" i="4" s="1"/>
  <c r="S67" i="4" s="1"/>
  <c r="T68" i="4" s="1"/>
  <c r="U69" i="4" s="1"/>
  <c r="V70" i="4" s="1"/>
  <c r="W71" i="4" s="1"/>
  <c r="X72" i="4" s="1"/>
  <c r="Y73" i="4" s="1"/>
  <c r="Z74" i="4" s="1"/>
  <c r="AA75" i="4" s="1"/>
  <c r="I36" i="4"/>
  <c r="J37" i="4" s="1"/>
  <c r="K38" i="4" s="1"/>
  <c r="L39" i="4" s="1"/>
  <c r="M40" i="4" s="1"/>
  <c r="N41" i="4" s="1"/>
  <c r="O42" i="4" s="1"/>
  <c r="P43" i="4" s="1"/>
  <c r="Q44" i="4" s="1"/>
  <c r="R45" i="4" s="1"/>
  <c r="S46" i="4" s="1"/>
  <c r="T47" i="4" s="1"/>
  <c r="U48" i="4" s="1"/>
  <c r="V49" i="4" s="1"/>
  <c r="W50" i="4" s="1"/>
  <c r="X51" i="4" s="1"/>
  <c r="Y52" i="4" s="1"/>
  <c r="Z53" i="4" s="1"/>
  <c r="AA54" i="4" s="1"/>
  <c r="I78" i="4"/>
  <c r="J27" i="4" s="1"/>
  <c r="K28" i="4" s="1"/>
  <c r="L29" i="4" s="1"/>
  <c r="M30" i="4" s="1"/>
  <c r="N31" i="4" s="1"/>
  <c r="O32" i="4" s="1"/>
  <c r="P33" i="4" s="1"/>
  <c r="Q34" i="4" s="1"/>
  <c r="R35" i="4" s="1"/>
  <c r="S36" i="4" s="1"/>
  <c r="T37" i="4" s="1"/>
  <c r="U38" i="4" s="1"/>
  <c r="V39" i="4" s="1"/>
  <c r="W40" i="4" s="1"/>
  <c r="X41" i="4" s="1"/>
  <c r="Y42" i="4" s="1"/>
  <c r="Z43" i="4" s="1"/>
  <c r="AA44" i="4" s="1"/>
  <c r="I40" i="12"/>
  <c r="J41" i="12" s="1"/>
  <c r="K42" i="12" s="1"/>
  <c r="L43" i="12" s="1"/>
  <c r="M44" i="12" s="1"/>
  <c r="N45" i="12" s="1"/>
  <c r="O46" i="12" s="1"/>
  <c r="P47" i="12" s="1"/>
  <c r="Q48" i="12" s="1"/>
  <c r="R49" i="12" s="1"/>
  <c r="S50" i="12" s="1"/>
  <c r="T51" i="12" s="1"/>
  <c r="U52" i="12" s="1"/>
  <c r="V53" i="12" s="1"/>
  <c r="W54" i="12" s="1"/>
  <c r="X55" i="12" s="1"/>
  <c r="Y56" i="12" s="1"/>
  <c r="Z57" i="12" s="1"/>
  <c r="AA58" i="12" s="1"/>
  <c r="I27" i="4"/>
  <c r="J28" i="4" s="1"/>
  <c r="K29" i="4" s="1"/>
  <c r="L30" i="4" s="1"/>
  <c r="M31" i="4" s="1"/>
  <c r="N32" i="4" s="1"/>
  <c r="O33" i="4" s="1"/>
  <c r="P34" i="4" s="1"/>
  <c r="Q35" i="4" s="1"/>
  <c r="R36" i="4" s="1"/>
  <c r="S37" i="4" s="1"/>
  <c r="T38" i="4" s="1"/>
  <c r="U39" i="4" s="1"/>
  <c r="V40" i="4" s="1"/>
  <c r="W41" i="4" s="1"/>
  <c r="X42" i="4" s="1"/>
  <c r="Y43" i="4" s="1"/>
  <c r="Z44" i="4" s="1"/>
  <c r="AA45" i="4" s="1"/>
  <c r="I47" i="4"/>
  <c r="J48" i="4" s="1"/>
  <c r="K49" i="4" s="1"/>
  <c r="L50" i="4" s="1"/>
  <c r="M51" i="4" s="1"/>
  <c r="N52" i="4" s="1"/>
  <c r="O53" i="4" s="1"/>
  <c r="P54" i="4" s="1"/>
  <c r="Q55" i="4" s="1"/>
  <c r="R56" i="4" s="1"/>
  <c r="S57" i="4" s="1"/>
  <c r="T58" i="4" s="1"/>
  <c r="U59" i="4" s="1"/>
  <c r="V60" i="4" s="1"/>
  <c r="W61" i="4" s="1"/>
  <c r="X62" i="4" s="1"/>
  <c r="Y63" i="4" s="1"/>
  <c r="Z64" i="4" s="1"/>
  <c r="AA65" i="4" s="1"/>
  <c r="I58" i="4"/>
  <c r="J59" i="4" s="1"/>
  <c r="K60" i="4" s="1"/>
  <c r="L61" i="4" s="1"/>
  <c r="M62" i="4" s="1"/>
  <c r="N63" i="4" s="1"/>
  <c r="O64" i="4" s="1"/>
  <c r="P65" i="4" s="1"/>
  <c r="Q66" i="4" s="1"/>
  <c r="R67" i="4" s="1"/>
  <c r="S68" i="4" s="1"/>
  <c r="T69" i="4" s="1"/>
  <c r="U70" i="4" s="1"/>
  <c r="V71" i="4" s="1"/>
  <c r="W72" i="4" s="1"/>
  <c r="X73" i="4" s="1"/>
  <c r="Y74" i="4" s="1"/>
  <c r="Z75" i="4" s="1"/>
  <c r="AA76" i="4" s="1"/>
  <c r="L18" i="7"/>
  <c r="N6" i="7"/>
  <c r="N58" i="7"/>
  <c r="D33" i="4"/>
  <c r="B34" i="4"/>
  <c r="C34" i="4" s="1"/>
  <c r="D18" i="15"/>
  <c r="B19" i="15"/>
  <c r="C19" i="15" s="1"/>
  <c r="I29" i="4"/>
  <c r="J30" i="4" s="1"/>
  <c r="K31" i="4" s="1"/>
  <c r="L32" i="4" s="1"/>
  <c r="M33" i="4" s="1"/>
  <c r="N34" i="4" s="1"/>
  <c r="O35" i="4" s="1"/>
  <c r="P36" i="4" s="1"/>
  <c r="Q37" i="4" s="1"/>
  <c r="R38" i="4" s="1"/>
  <c r="S39" i="4" s="1"/>
  <c r="T40" i="4" s="1"/>
  <c r="U41" i="4" s="1"/>
  <c r="V42" i="4" s="1"/>
  <c r="W43" i="4" s="1"/>
  <c r="X44" i="4" s="1"/>
  <c r="Y45" i="4" s="1"/>
  <c r="Z46" i="4" s="1"/>
  <c r="AA47" i="4" s="1"/>
  <c r="I46" i="4"/>
  <c r="J47" i="4" s="1"/>
  <c r="K48" i="4" s="1"/>
  <c r="L49" i="4" s="1"/>
  <c r="M50" i="4" s="1"/>
  <c r="N51" i="4" s="1"/>
  <c r="O52" i="4" s="1"/>
  <c r="P53" i="4" s="1"/>
  <c r="Q54" i="4" s="1"/>
  <c r="R55" i="4" s="1"/>
  <c r="S56" i="4" s="1"/>
  <c r="T57" i="4" s="1"/>
  <c r="U58" i="4" s="1"/>
  <c r="V59" i="4" s="1"/>
  <c r="W60" i="4" s="1"/>
  <c r="X61" i="4" s="1"/>
  <c r="Y62" i="4" s="1"/>
  <c r="Z63" i="4" s="1"/>
  <c r="AA64" i="4" s="1"/>
  <c r="I64" i="4"/>
  <c r="J65" i="4" s="1"/>
  <c r="K66" i="4" s="1"/>
  <c r="L67" i="4" s="1"/>
  <c r="M68" i="4" s="1"/>
  <c r="N69" i="4" s="1"/>
  <c r="O70" i="4" s="1"/>
  <c r="P71" i="4" s="1"/>
  <c r="Q72" i="4" s="1"/>
  <c r="R73" i="4" s="1"/>
  <c r="S74" i="4" s="1"/>
  <c r="T75" i="4" s="1"/>
  <c r="U76" i="4" s="1"/>
  <c r="V77" i="4" s="1"/>
  <c r="W78" i="4" s="1"/>
  <c r="X27" i="4" s="1"/>
  <c r="Y28" i="4" s="1"/>
  <c r="Z29" i="4" s="1"/>
  <c r="AA30" i="4" s="1"/>
  <c r="I54" i="4"/>
  <c r="J55" i="4" s="1"/>
  <c r="K56" i="4" s="1"/>
  <c r="L57" i="4" s="1"/>
  <c r="M58" i="4" s="1"/>
  <c r="N59" i="4" s="1"/>
  <c r="O60" i="4" s="1"/>
  <c r="P61" i="4" s="1"/>
  <c r="Q62" i="4" s="1"/>
  <c r="R63" i="4" s="1"/>
  <c r="S64" i="4" s="1"/>
  <c r="T65" i="4" s="1"/>
  <c r="U66" i="4" s="1"/>
  <c r="V67" i="4" s="1"/>
  <c r="W68" i="4" s="1"/>
  <c r="X69" i="4" s="1"/>
  <c r="Y70" i="4" s="1"/>
  <c r="Z71" i="4" s="1"/>
  <c r="AA72" i="4" s="1"/>
  <c r="W16" i="39"/>
  <c r="W17" i="39" s="1"/>
  <c r="W18" i="39" s="1"/>
  <c r="W19" i="39" s="1"/>
  <c r="W20" i="39" s="1"/>
  <c r="W21" i="39" s="1"/>
  <c r="W22" i="39" s="1"/>
  <c r="W23" i="39" s="1"/>
  <c r="W24" i="39" s="1"/>
  <c r="W25" i="39" s="1"/>
  <c r="W26" i="39" s="1"/>
  <c r="W27" i="39" s="1"/>
  <c r="W28" i="39" s="1"/>
  <c r="W29" i="39" s="1"/>
  <c r="W30" i="39" s="1"/>
  <c r="W31" i="39" s="1"/>
  <c r="W32" i="39" s="1"/>
  <c r="W33" i="39" s="1"/>
  <c r="W34" i="39" s="1"/>
  <c r="W35" i="39" s="1"/>
  <c r="W36" i="39" s="1"/>
  <c r="W37" i="39" s="1"/>
  <c r="W38" i="39" s="1"/>
  <c r="W39" i="39" s="1"/>
  <c r="W40" i="39" s="1"/>
  <c r="W41" i="39" s="1"/>
  <c r="W42" i="39" s="1"/>
  <c r="W43" i="39" s="1"/>
  <c r="W44" i="39" s="1"/>
  <c r="W45" i="39" s="1"/>
  <c r="W46" i="39" s="1"/>
  <c r="W47" i="39" s="1"/>
  <c r="W48" i="39" s="1"/>
  <c r="W49" i="39" s="1"/>
  <c r="W50" i="39" s="1"/>
  <c r="W51" i="39" s="1"/>
  <c r="W52" i="39" s="1"/>
  <c r="W53" i="39" s="1"/>
  <c r="W54" i="39" s="1"/>
  <c r="W55" i="39" s="1"/>
  <c r="W56" i="39" s="1"/>
  <c r="W57" i="39" s="1"/>
  <c r="W58" i="39" s="1"/>
  <c r="W59" i="39" s="1"/>
  <c r="W60" i="39" s="1"/>
  <c r="W61" i="39" s="1"/>
  <c r="W62" i="39" s="1"/>
  <c r="W63" i="39" s="1"/>
  <c r="W64" i="39" s="1"/>
  <c r="W65" i="39" s="1"/>
  <c r="W66" i="39" s="1"/>
  <c r="W67" i="39" s="1"/>
  <c r="W68" i="39" s="1"/>
  <c r="W69" i="39" s="1"/>
  <c r="W70" i="39" s="1"/>
  <c r="W71" i="39" s="1"/>
  <c r="W72" i="39" s="1"/>
  <c r="W73" i="39" s="1"/>
  <c r="W74" i="39" s="1"/>
  <c r="V16" i="39"/>
  <c r="J10" i="30"/>
  <c r="I53" i="4"/>
  <c r="J54" i="4" s="1"/>
  <c r="K55" i="4" s="1"/>
  <c r="L56" i="4" s="1"/>
  <c r="M57" i="4" s="1"/>
  <c r="N58" i="4" s="1"/>
  <c r="O59" i="4" s="1"/>
  <c r="P60" i="4" s="1"/>
  <c r="Q61" i="4" s="1"/>
  <c r="R62" i="4" s="1"/>
  <c r="S63" i="4" s="1"/>
  <c r="T64" i="4" s="1"/>
  <c r="U65" i="4" s="1"/>
  <c r="V66" i="4" s="1"/>
  <c r="W67" i="4" s="1"/>
  <c r="X68" i="4" s="1"/>
  <c r="Y69" i="4" s="1"/>
  <c r="Z70" i="4" s="1"/>
  <c r="AA71" i="4" s="1"/>
  <c r="D21" i="11"/>
  <c r="B22" i="11"/>
  <c r="C22" i="11" s="1"/>
  <c r="G30" i="13"/>
  <c r="H30" i="13" s="1"/>
  <c r="W30" i="13"/>
  <c r="X30" i="13" s="1"/>
  <c r="AD32" i="4"/>
  <c r="I72" i="4"/>
  <c r="J73" i="4" s="1"/>
  <c r="K74" i="4" s="1"/>
  <c r="L75" i="4" s="1"/>
  <c r="M76" i="4" s="1"/>
  <c r="N77" i="4" s="1"/>
  <c r="O78" i="4" s="1"/>
  <c r="P27" i="4" s="1"/>
  <c r="Q28" i="4" s="1"/>
  <c r="R29" i="4" s="1"/>
  <c r="S30" i="4" s="1"/>
  <c r="T31" i="4" s="1"/>
  <c r="U32" i="4" s="1"/>
  <c r="V33" i="4" s="1"/>
  <c r="W34" i="4" s="1"/>
  <c r="X35" i="4" s="1"/>
  <c r="Y36" i="4" s="1"/>
  <c r="Z37" i="4" s="1"/>
  <c r="AA38" i="4" s="1"/>
  <c r="I34" i="4"/>
  <c r="J35" i="4" s="1"/>
  <c r="K36" i="4" s="1"/>
  <c r="L37" i="4" s="1"/>
  <c r="M38" i="4" s="1"/>
  <c r="N39" i="4" s="1"/>
  <c r="O40" i="4" s="1"/>
  <c r="P41" i="4" s="1"/>
  <c r="Q42" i="4" s="1"/>
  <c r="R43" i="4" s="1"/>
  <c r="S44" i="4" s="1"/>
  <c r="T45" i="4" s="1"/>
  <c r="U46" i="4" s="1"/>
  <c r="V47" i="4" s="1"/>
  <c r="W48" i="4" s="1"/>
  <c r="X49" i="4" s="1"/>
  <c r="Y50" i="4" s="1"/>
  <c r="Z51" i="4" s="1"/>
  <c r="AA52" i="4" s="1"/>
  <c r="G20" i="11"/>
  <c r="H20" i="11" s="1"/>
  <c r="I14" i="22" s="1"/>
  <c r="I20" i="11"/>
  <c r="I14" i="30" s="1"/>
  <c r="I37" i="4"/>
  <c r="J38" i="4" s="1"/>
  <c r="K39" i="4" s="1"/>
  <c r="L40" i="4" s="1"/>
  <c r="M41" i="4" s="1"/>
  <c r="N42" i="4" s="1"/>
  <c r="O43" i="4" s="1"/>
  <c r="P44" i="4" s="1"/>
  <c r="Q45" i="4" s="1"/>
  <c r="R46" i="4" s="1"/>
  <c r="S47" i="4" s="1"/>
  <c r="T48" i="4" s="1"/>
  <c r="U49" i="4" s="1"/>
  <c r="V50" i="4" s="1"/>
  <c r="W51" i="4" s="1"/>
  <c r="X52" i="4" s="1"/>
  <c r="Y53" i="4" s="1"/>
  <c r="Z54" i="4" s="1"/>
  <c r="AA55" i="4" s="1"/>
  <c r="J42" i="4"/>
  <c r="AG41" i="4"/>
  <c r="AH41" i="4" s="1"/>
  <c r="I69" i="4"/>
  <c r="J70" i="4" s="1"/>
  <c r="K71" i="4" s="1"/>
  <c r="L72" i="4" s="1"/>
  <c r="M73" i="4" s="1"/>
  <c r="N74" i="4" s="1"/>
  <c r="O75" i="4" s="1"/>
  <c r="P76" i="4" s="1"/>
  <c r="Q77" i="4" s="1"/>
  <c r="R78" i="4" s="1"/>
  <c r="S27" i="4" s="1"/>
  <c r="T28" i="4" s="1"/>
  <c r="U29" i="4" s="1"/>
  <c r="V30" i="4" s="1"/>
  <c r="W31" i="4" s="1"/>
  <c r="X32" i="4" s="1"/>
  <c r="Y33" i="4" s="1"/>
  <c r="Z34" i="4" s="1"/>
  <c r="AA35" i="4" s="1"/>
  <c r="D34" i="12"/>
  <c r="B35" i="12"/>
  <c r="C35" i="12" s="1"/>
  <c r="AD16" i="37"/>
  <c r="AC16" i="37"/>
  <c r="F40" i="12"/>
  <c r="F41" i="12"/>
  <c r="I38" i="4"/>
  <c r="J39" i="4" s="1"/>
  <c r="K40" i="4" s="1"/>
  <c r="L41" i="4" s="1"/>
  <c r="M42" i="4" s="1"/>
  <c r="N43" i="4" s="1"/>
  <c r="O44" i="4" s="1"/>
  <c r="P45" i="4" s="1"/>
  <c r="Q46" i="4" s="1"/>
  <c r="R47" i="4" s="1"/>
  <c r="S48" i="4" s="1"/>
  <c r="T49" i="4" s="1"/>
  <c r="U50" i="4" s="1"/>
  <c r="V51" i="4" s="1"/>
  <c r="W52" i="4" s="1"/>
  <c r="X53" i="4" s="1"/>
  <c r="Y54" i="4" s="1"/>
  <c r="Z55" i="4" s="1"/>
  <c r="AA56" i="4" s="1"/>
  <c r="I74" i="4"/>
  <c r="J75" i="4" s="1"/>
  <c r="K76" i="4" s="1"/>
  <c r="L77" i="4" s="1"/>
  <c r="M78" i="4" s="1"/>
  <c r="N27" i="4" s="1"/>
  <c r="O28" i="4" s="1"/>
  <c r="P29" i="4" s="1"/>
  <c r="Q30" i="4" s="1"/>
  <c r="R31" i="4" s="1"/>
  <c r="S32" i="4" s="1"/>
  <c r="T33" i="4" s="1"/>
  <c r="U34" i="4" s="1"/>
  <c r="V35" i="4" s="1"/>
  <c r="W36" i="4" s="1"/>
  <c r="X37" i="4" s="1"/>
  <c r="Y38" i="4" s="1"/>
  <c r="Z39" i="4" s="1"/>
  <c r="AA40" i="4" s="1"/>
  <c r="I68" i="4"/>
  <c r="J69" i="4" s="1"/>
  <c r="K70" i="4" s="1"/>
  <c r="L71" i="4" s="1"/>
  <c r="M72" i="4" s="1"/>
  <c r="N73" i="4" s="1"/>
  <c r="O74" i="4" s="1"/>
  <c r="P75" i="4" s="1"/>
  <c r="Q76" i="4" s="1"/>
  <c r="R77" i="4" s="1"/>
  <c r="S78" i="4" s="1"/>
  <c r="T27" i="4" s="1"/>
  <c r="U28" i="4" s="1"/>
  <c r="V29" i="4" s="1"/>
  <c r="W30" i="4" s="1"/>
  <c r="X31" i="4" s="1"/>
  <c r="Y32" i="4" s="1"/>
  <c r="Z33" i="4" s="1"/>
  <c r="AA34" i="4" s="1"/>
  <c r="I39" i="4"/>
  <c r="J40" i="4" s="1"/>
  <c r="K41" i="4" s="1"/>
  <c r="L42" i="4" s="1"/>
  <c r="M43" i="4" s="1"/>
  <c r="N44" i="4" s="1"/>
  <c r="O45" i="4" s="1"/>
  <c r="P46" i="4" s="1"/>
  <c r="Q47" i="4" s="1"/>
  <c r="R48" i="4" s="1"/>
  <c r="S49" i="4" s="1"/>
  <c r="T50" i="4" s="1"/>
  <c r="U51" i="4" s="1"/>
  <c r="V52" i="4" s="1"/>
  <c r="W53" i="4" s="1"/>
  <c r="X54" i="4" s="1"/>
  <c r="Y55" i="4" s="1"/>
  <c r="Z56" i="4" s="1"/>
  <c r="AA57" i="4" s="1"/>
  <c r="AD33" i="12"/>
  <c r="I33" i="4"/>
  <c r="J34" i="4" s="1"/>
  <c r="K35" i="4" s="1"/>
  <c r="L36" i="4" s="1"/>
  <c r="M37" i="4" s="1"/>
  <c r="N38" i="4" s="1"/>
  <c r="O39" i="4" s="1"/>
  <c r="P40" i="4" s="1"/>
  <c r="Q41" i="4" s="1"/>
  <c r="R42" i="4" s="1"/>
  <c r="S43" i="4" s="1"/>
  <c r="T44" i="4" s="1"/>
  <c r="U45" i="4" s="1"/>
  <c r="V46" i="4" s="1"/>
  <c r="W47" i="4" s="1"/>
  <c r="X48" i="4" s="1"/>
  <c r="Y49" i="4" s="1"/>
  <c r="Z50" i="4" s="1"/>
  <c r="AA51" i="4" s="1"/>
  <c r="I31" i="4"/>
  <c r="J32" i="4" s="1"/>
  <c r="K33" i="4" s="1"/>
  <c r="L34" i="4" s="1"/>
  <c r="M35" i="4" s="1"/>
  <c r="N36" i="4" s="1"/>
  <c r="O37" i="4" s="1"/>
  <c r="P38" i="4" s="1"/>
  <c r="Q39" i="4" s="1"/>
  <c r="R40" i="4" s="1"/>
  <c r="S41" i="4" s="1"/>
  <c r="T42" i="4" s="1"/>
  <c r="U43" i="4" s="1"/>
  <c r="V44" i="4" s="1"/>
  <c r="W45" i="4" s="1"/>
  <c r="X46" i="4" s="1"/>
  <c r="Y47" i="4" s="1"/>
  <c r="Z48" i="4" s="1"/>
  <c r="AA49" i="4" s="1"/>
  <c r="I43" i="4"/>
  <c r="I75" i="4"/>
  <c r="J76" i="4" s="1"/>
  <c r="K77" i="4" s="1"/>
  <c r="L78" i="4" s="1"/>
  <c r="M27" i="4" s="1"/>
  <c r="N28" i="4" s="1"/>
  <c r="O29" i="4" s="1"/>
  <c r="P30" i="4" s="1"/>
  <c r="Q31" i="4" s="1"/>
  <c r="R32" i="4" s="1"/>
  <c r="S33" i="4" s="1"/>
  <c r="T34" i="4" s="1"/>
  <c r="U35" i="4" s="1"/>
  <c r="V36" i="4" s="1"/>
  <c r="W37" i="4" s="1"/>
  <c r="X38" i="4" s="1"/>
  <c r="Y39" i="4" s="1"/>
  <c r="Z40" i="4" s="1"/>
  <c r="AA41" i="4" s="1"/>
  <c r="K17" i="15"/>
  <c r="J11" i="30" s="1"/>
  <c r="G17" i="15"/>
  <c r="H17" i="15" s="1"/>
  <c r="I59" i="4"/>
  <c r="J60" i="4" s="1"/>
  <c r="K61" i="4" s="1"/>
  <c r="L62" i="4" s="1"/>
  <c r="M63" i="4" s="1"/>
  <c r="N64" i="4" s="1"/>
  <c r="O65" i="4" s="1"/>
  <c r="P66" i="4" s="1"/>
  <c r="Q67" i="4" s="1"/>
  <c r="R68" i="4" s="1"/>
  <c r="S69" i="4" s="1"/>
  <c r="T70" i="4" s="1"/>
  <c r="U71" i="4" s="1"/>
  <c r="V72" i="4" s="1"/>
  <c r="W73" i="4" s="1"/>
  <c r="X74" i="4" s="1"/>
  <c r="Y75" i="4" s="1"/>
  <c r="Z76" i="4" s="1"/>
  <c r="AA77" i="4" s="1"/>
  <c r="Z15" i="37"/>
  <c r="Y15" i="37"/>
  <c r="I77" i="4"/>
  <c r="J78" i="4" s="1"/>
  <c r="K27" i="4" s="1"/>
  <c r="L28" i="4" s="1"/>
  <c r="M29" i="4" s="1"/>
  <c r="N30" i="4" s="1"/>
  <c r="O31" i="4" s="1"/>
  <c r="P32" i="4" s="1"/>
  <c r="Q33" i="4" s="1"/>
  <c r="R34" i="4" s="1"/>
  <c r="S35" i="4" s="1"/>
  <c r="T36" i="4" s="1"/>
  <c r="U37" i="4" s="1"/>
  <c r="V38" i="4" s="1"/>
  <c r="W39" i="4" s="1"/>
  <c r="X40" i="4" s="1"/>
  <c r="Y41" i="4" s="1"/>
  <c r="Z42" i="4" s="1"/>
  <c r="AA43" i="4" s="1"/>
  <c r="I55" i="4"/>
  <c r="J56" i="4" s="1"/>
  <c r="K57" i="4" s="1"/>
  <c r="L58" i="4" s="1"/>
  <c r="M59" i="4" s="1"/>
  <c r="N60" i="4" s="1"/>
  <c r="O61" i="4" s="1"/>
  <c r="P62" i="4" s="1"/>
  <c r="Q63" i="4" s="1"/>
  <c r="R64" i="4" s="1"/>
  <c r="S65" i="4" s="1"/>
  <c r="T66" i="4" s="1"/>
  <c r="U67" i="4" s="1"/>
  <c r="V68" i="4" s="1"/>
  <c r="W69" i="4" s="1"/>
  <c r="X70" i="4" s="1"/>
  <c r="Y71" i="4" s="1"/>
  <c r="Z72" i="4" s="1"/>
  <c r="AA73" i="4" s="1"/>
  <c r="I62" i="4"/>
  <c r="J63" i="4" s="1"/>
  <c r="K64" i="4" s="1"/>
  <c r="L65" i="4" s="1"/>
  <c r="M66" i="4" s="1"/>
  <c r="N67" i="4" s="1"/>
  <c r="O68" i="4" s="1"/>
  <c r="P69" i="4" s="1"/>
  <c r="Q70" i="4" s="1"/>
  <c r="R71" i="4" s="1"/>
  <c r="S72" i="4" s="1"/>
  <c r="T73" i="4" s="1"/>
  <c r="U74" i="4" s="1"/>
  <c r="V75" i="4" s="1"/>
  <c r="W76" i="4" s="1"/>
  <c r="X77" i="4" s="1"/>
  <c r="Y78" i="4" s="1"/>
  <c r="Z27" i="4" s="1"/>
  <c r="AA28" i="4" s="1"/>
  <c r="I70" i="4"/>
  <c r="J71" i="4" s="1"/>
  <c r="K72" i="4" s="1"/>
  <c r="L73" i="4" s="1"/>
  <c r="M74" i="4" s="1"/>
  <c r="N75" i="4" s="1"/>
  <c r="O76" i="4" s="1"/>
  <c r="P77" i="4" s="1"/>
  <c r="Q78" i="4" s="1"/>
  <c r="R27" i="4" s="1"/>
  <c r="S28" i="4" s="1"/>
  <c r="T29" i="4" s="1"/>
  <c r="U30" i="4" s="1"/>
  <c r="V31" i="4" s="1"/>
  <c r="W32" i="4" s="1"/>
  <c r="X33" i="4" s="1"/>
  <c r="Y34" i="4" s="1"/>
  <c r="Z35" i="4" s="1"/>
  <c r="AA36" i="4" s="1"/>
  <c r="I42" i="4"/>
  <c r="J43" i="4" s="1"/>
  <c r="K44" i="4" s="1"/>
  <c r="L45" i="4" s="1"/>
  <c r="M46" i="4" s="1"/>
  <c r="N47" i="4" s="1"/>
  <c r="O48" i="4" s="1"/>
  <c r="P49" i="4" s="1"/>
  <c r="Q50" i="4" s="1"/>
  <c r="R51" i="4" s="1"/>
  <c r="S52" i="4" s="1"/>
  <c r="T53" i="4" s="1"/>
  <c r="U54" i="4" s="1"/>
  <c r="V55" i="4" s="1"/>
  <c r="W56" i="4" s="1"/>
  <c r="X57" i="4" s="1"/>
  <c r="Y58" i="4" s="1"/>
  <c r="Z59" i="4" s="1"/>
  <c r="AA60" i="4" s="1"/>
  <c r="AD33" i="16"/>
  <c r="I65" i="4"/>
  <c r="J66" i="4" s="1"/>
  <c r="K67" i="4" s="1"/>
  <c r="L68" i="4" s="1"/>
  <c r="M69" i="4" s="1"/>
  <c r="N70" i="4" s="1"/>
  <c r="O71" i="4" s="1"/>
  <c r="P72" i="4" s="1"/>
  <c r="Q73" i="4" s="1"/>
  <c r="R74" i="4" s="1"/>
  <c r="S75" i="4" s="1"/>
  <c r="T76" i="4" s="1"/>
  <c r="U77" i="4" s="1"/>
  <c r="V78" i="4" s="1"/>
  <c r="W27" i="4" s="1"/>
  <c r="X28" i="4" s="1"/>
  <c r="Y29" i="4" s="1"/>
  <c r="Z30" i="4" s="1"/>
  <c r="AA31" i="4" s="1"/>
  <c r="V11" i="7"/>
  <c r="T16" i="37"/>
  <c r="S16" i="37"/>
  <c r="I63" i="4"/>
  <c r="J64" i="4" s="1"/>
  <c r="K65" i="4" s="1"/>
  <c r="L66" i="4" s="1"/>
  <c r="M67" i="4" s="1"/>
  <c r="N68" i="4" s="1"/>
  <c r="O69" i="4" s="1"/>
  <c r="P70" i="4" s="1"/>
  <c r="Q71" i="4" s="1"/>
  <c r="R72" i="4" s="1"/>
  <c r="S73" i="4" s="1"/>
  <c r="T74" i="4" s="1"/>
  <c r="U75" i="4" s="1"/>
  <c r="V76" i="4" s="1"/>
  <c r="W77" i="4" s="1"/>
  <c r="X78" i="4" s="1"/>
  <c r="Y27" i="4" s="1"/>
  <c r="Z28" i="4" s="1"/>
  <c r="AA29" i="4" s="1"/>
  <c r="D34" i="16"/>
  <c r="B35" i="16"/>
  <c r="C35" i="16" s="1"/>
  <c r="W29" i="13"/>
  <c r="X29" i="13" s="1"/>
  <c r="G29" i="13"/>
  <c r="H29" i="13" s="1"/>
  <c r="I35" i="4"/>
  <c r="J36" i="4" s="1"/>
  <c r="K37" i="4" s="1"/>
  <c r="L38" i="4" s="1"/>
  <c r="M39" i="4" s="1"/>
  <c r="N40" i="4" s="1"/>
  <c r="O41" i="4" s="1"/>
  <c r="P42" i="4" s="1"/>
  <c r="Q43" i="4" s="1"/>
  <c r="R44" i="4" s="1"/>
  <c r="S45" i="4" s="1"/>
  <c r="T46" i="4" s="1"/>
  <c r="U47" i="4" s="1"/>
  <c r="V48" i="4" s="1"/>
  <c r="W49" i="4" s="1"/>
  <c r="X50" i="4" s="1"/>
  <c r="Y51" i="4" s="1"/>
  <c r="Z52" i="4" s="1"/>
  <c r="AA53" i="4" s="1"/>
  <c r="I39" i="12"/>
  <c r="I45" i="4"/>
  <c r="J46" i="4" s="1"/>
  <c r="K47" i="4" s="1"/>
  <c r="L48" i="4" s="1"/>
  <c r="M49" i="4" s="1"/>
  <c r="N50" i="4" s="1"/>
  <c r="O51" i="4" s="1"/>
  <c r="P52" i="4" s="1"/>
  <c r="Q53" i="4" s="1"/>
  <c r="R54" i="4" s="1"/>
  <c r="S55" i="4" s="1"/>
  <c r="T56" i="4" s="1"/>
  <c r="U57" i="4" s="1"/>
  <c r="V58" i="4" s="1"/>
  <c r="W59" i="4" s="1"/>
  <c r="X60" i="4" s="1"/>
  <c r="Y61" i="4" s="1"/>
  <c r="Z62" i="4" s="1"/>
  <c r="AA63" i="4" s="1"/>
  <c r="I13" i="22"/>
  <c r="I40" i="4"/>
  <c r="I56" i="4"/>
  <c r="J57" i="4" s="1"/>
  <c r="K58" i="4" s="1"/>
  <c r="L59" i="4" s="1"/>
  <c r="M60" i="4" s="1"/>
  <c r="N61" i="4" s="1"/>
  <c r="O62" i="4" s="1"/>
  <c r="P63" i="4" s="1"/>
  <c r="Q64" i="4" s="1"/>
  <c r="R65" i="4" s="1"/>
  <c r="S66" i="4" s="1"/>
  <c r="T67" i="4" s="1"/>
  <c r="U68" i="4" s="1"/>
  <c r="V69" i="4" s="1"/>
  <c r="W70" i="4" s="1"/>
  <c r="X71" i="4" s="1"/>
  <c r="Y72" i="4" s="1"/>
  <c r="Z73" i="4" s="1"/>
  <c r="AA74" i="4" s="1"/>
  <c r="I73" i="4"/>
  <c r="J74" i="4" s="1"/>
  <c r="K75" i="4" s="1"/>
  <c r="L76" i="4" s="1"/>
  <c r="M77" i="4" s="1"/>
  <c r="N78" i="4" s="1"/>
  <c r="O27" i="4" s="1"/>
  <c r="P28" i="4" s="1"/>
  <c r="Q29" i="4" s="1"/>
  <c r="R30" i="4" s="1"/>
  <c r="S31" i="4" s="1"/>
  <c r="T32" i="4" s="1"/>
  <c r="U33" i="4" s="1"/>
  <c r="V34" i="4" s="1"/>
  <c r="W35" i="4" s="1"/>
  <c r="X36" i="4" s="1"/>
  <c r="Y37" i="4" s="1"/>
  <c r="Z38" i="4" s="1"/>
  <c r="AA39" i="4" s="1"/>
  <c r="I30" i="4"/>
  <c r="J31" i="4" s="1"/>
  <c r="K32" i="4" s="1"/>
  <c r="L33" i="4" s="1"/>
  <c r="M34" i="4" s="1"/>
  <c r="N35" i="4" s="1"/>
  <c r="O36" i="4" s="1"/>
  <c r="P37" i="4" s="1"/>
  <c r="Q38" i="4" s="1"/>
  <c r="R39" i="4" s="1"/>
  <c r="S40" i="4" s="1"/>
  <c r="T41" i="4" s="1"/>
  <c r="U42" i="4" s="1"/>
  <c r="V43" i="4" s="1"/>
  <c r="W44" i="4" s="1"/>
  <c r="X45" i="4" s="1"/>
  <c r="Y46" i="4" s="1"/>
  <c r="Z47" i="4" s="1"/>
  <c r="AA48" i="4" s="1"/>
  <c r="I13" i="30"/>
  <c r="AA15" i="7"/>
  <c r="G62" i="13"/>
  <c r="H62" i="13" s="1"/>
  <c r="W62" i="13"/>
  <c r="X62" i="13" s="1"/>
  <c r="I49" i="4"/>
  <c r="J50" i="4" s="1"/>
  <c r="K51" i="4" s="1"/>
  <c r="L52" i="4" s="1"/>
  <c r="M53" i="4" s="1"/>
  <c r="N54" i="4" s="1"/>
  <c r="O55" i="4" s="1"/>
  <c r="P56" i="4" s="1"/>
  <c r="Q57" i="4" s="1"/>
  <c r="R58" i="4" s="1"/>
  <c r="S59" i="4" s="1"/>
  <c r="T60" i="4" s="1"/>
  <c r="U61" i="4" s="1"/>
  <c r="V62" i="4" s="1"/>
  <c r="W63" i="4" s="1"/>
  <c r="X64" i="4" s="1"/>
  <c r="Y65" i="4" s="1"/>
  <c r="Z66" i="4" s="1"/>
  <c r="AA67" i="4" s="1"/>
  <c r="I52" i="4"/>
  <c r="J53" i="4" s="1"/>
  <c r="K54" i="4" s="1"/>
  <c r="L55" i="4" s="1"/>
  <c r="M56" i="4" s="1"/>
  <c r="N57" i="4" s="1"/>
  <c r="O58" i="4" s="1"/>
  <c r="P59" i="4" s="1"/>
  <c r="Q60" i="4" s="1"/>
  <c r="R61" i="4" s="1"/>
  <c r="S62" i="4" s="1"/>
  <c r="T63" i="4" s="1"/>
  <c r="U64" i="4" s="1"/>
  <c r="V65" i="4" s="1"/>
  <c r="W66" i="4" s="1"/>
  <c r="X67" i="4" s="1"/>
  <c r="Y68" i="4" s="1"/>
  <c r="Z69" i="4" s="1"/>
  <c r="AA70" i="4" s="1"/>
  <c r="I67" i="4"/>
  <c r="J68" i="4" s="1"/>
  <c r="K69" i="4" s="1"/>
  <c r="L70" i="4" s="1"/>
  <c r="M71" i="4" s="1"/>
  <c r="N72" i="4" s="1"/>
  <c r="O73" i="4" s="1"/>
  <c r="P74" i="4" s="1"/>
  <c r="Q75" i="4" s="1"/>
  <c r="R76" i="4" s="1"/>
  <c r="S77" i="4" s="1"/>
  <c r="T78" i="4" s="1"/>
  <c r="U27" i="4" s="1"/>
  <c r="V28" i="4" s="1"/>
  <c r="W29" i="4" s="1"/>
  <c r="X30" i="4" s="1"/>
  <c r="Y31" i="4" s="1"/>
  <c r="Z32" i="4" s="1"/>
  <c r="AA33" i="4" s="1"/>
  <c r="E25" i="21"/>
  <c r="F25" i="21" s="1"/>
  <c r="B26" i="21"/>
  <c r="I76" i="4"/>
  <c r="J77" i="4" s="1"/>
  <c r="K78" i="4" s="1"/>
  <c r="L27" i="4" s="1"/>
  <c r="M28" i="4" s="1"/>
  <c r="N29" i="4" s="1"/>
  <c r="O30" i="4" s="1"/>
  <c r="P31" i="4" s="1"/>
  <c r="Q32" i="4" s="1"/>
  <c r="R33" i="4" s="1"/>
  <c r="S34" i="4" s="1"/>
  <c r="T35" i="4" s="1"/>
  <c r="U36" i="4" s="1"/>
  <c r="V37" i="4" s="1"/>
  <c r="W38" i="4" s="1"/>
  <c r="X39" i="4" s="1"/>
  <c r="Y40" i="4" s="1"/>
  <c r="Z41" i="4" s="1"/>
  <c r="AA42" i="4" s="1"/>
  <c r="I71" i="4"/>
  <c r="J72" i="4" s="1"/>
  <c r="K73" i="4" s="1"/>
  <c r="L74" i="4" s="1"/>
  <c r="M75" i="4" s="1"/>
  <c r="N76" i="4" s="1"/>
  <c r="O77" i="4" s="1"/>
  <c r="P78" i="4" s="1"/>
  <c r="Q27" i="4" s="1"/>
  <c r="R28" i="4" s="1"/>
  <c r="S29" i="4" s="1"/>
  <c r="T30" i="4" s="1"/>
  <c r="U31" i="4" s="1"/>
  <c r="V32" i="4" s="1"/>
  <c r="W33" i="4" s="1"/>
  <c r="X34" i="4" s="1"/>
  <c r="Y35" i="4" s="1"/>
  <c r="Z36" i="4" s="1"/>
  <c r="AA37" i="4" s="1"/>
  <c r="I28" i="4"/>
  <c r="J29" i="4" s="1"/>
  <c r="K30" i="4" s="1"/>
  <c r="L31" i="4" s="1"/>
  <c r="M32" i="4" s="1"/>
  <c r="N33" i="4" s="1"/>
  <c r="O34" i="4" s="1"/>
  <c r="P35" i="4" s="1"/>
  <c r="Q36" i="4" s="1"/>
  <c r="R37" i="4" s="1"/>
  <c r="S38" i="4" s="1"/>
  <c r="T39" i="4" s="1"/>
  <c r="U40" i="4" s="1"/>
  <c r="V41" i="4" s="1"/>
  <c r="W42" i="4" s="1"/>
  <c r="X43" i="4" s="1"/>
  <c r="Y44" i="4" s="1"/>
  <c r="Z45" i="4" s="1"/>
  <c r="AA46" i="4" s="1"/>
  <c r="S12" i="4"/>
  <c r="I48" i="4"/>
  <c r="J49" i="4" s="1"/>
  <c r="K50" i="4" s="1"/>
  <c r="L51" i="4" s="1"/>
  <c r="M52" i="4" s="1"/>
  <c r="N53" i="4" s="1"/>
  <c r="O54" i="4" s="1"/>
  <c r="P55" i="4" s="1"/>
  <c r="Q56" i="4" s="1"/>
  <c r="R57" i="4" s="1"/>
  <c r="S58" i="4" s="1"/>
  <c r="T59" i="4" s="1"/>
  <c r="U60" i="4" s="1"/>
  <c r="V61" i="4" s="1"/>
  <c r="W62" i="4" s="1"/>
  <c r="X63" i="4" s="1"/>
  <c r="Y64" i="4" s="1"/>
  <c r="Z65" i="4" s="1"/>
  <c r="AA66" i="4" s="1"/>
  <c r="I60" i="4"/>
  <c r="J61" i="4" s="1"/>
  <c r="K62" i="4" s="1"/>
  <c r="L63" i="4" s="1"/>
  <c r="M64" i="4" s="1"/>
  <c r="N65" i="4" s="1"/>
  <c r="O66" i="4" s="1"/>
  <c r="P67" i="4" s="1"/>
  <c r="Q68" i="4" s="1"/>
  <c r="R69" i="4" s="1"/>
  <c r="S70" i="4" s="1"/>
  <c r="T71" i="4" s="1"/>
  <c r="U72" i="4" s="1"/>
  <c r="V73" i="4" s="1"/>
  <c r="W74" i="4" s="1"/>
  <c r="X75" i="4" s="1"/>
  <c r="Y76" i="4" s="1"/>
  <c r="Z77" i="4" s="1"/>
  <c r="AA78" i="4" s="1"/>
  <c r="I50" i="4"/>
  <c r="J51" i="4" s="1"/>
  <c r="K52" i="4" s="1"/>
  <c r="L53" i="4" s="1"/>
  <c r="M54" i="4" s="1"/>
  <c r="N55" i="4" s="1"/>
  <c r="O56" i="4" s="1"/>
  <c r="P57" i="4" s="1"/>
  <c r="Q58" i="4" s="1"/>
  <c r="R59" i="4" s="1"/>
  <c r="S60" i="4" s="1"/>
  <c r="T61" i="4" s="1"/>
  <c r="U62" i="4" s="1"/>
  <c r="V63" i="4" s="1"/>
  <c r="W64" i="4" s="1"/>
  <c r="X65" i="4" s="1"/>
  <c r="Y66" i="4" s="1"/>
  <c r="Z67" i="4" s="1"/>
  <c r="AA68" i="4" s="1"/>
  <c r="I51" i="4"/>
  <c r="J52" i="4" s="1"/>
  <c r="K53" i="4" s="1"/>
  <c r="L54" i="4" s="1"/>
  <c r="M55" i="4" s="1"/>
  <c r="N56" i="4" s="1"/>
  <c r="O57" i="4" s="1"/>
  <c r="P58" i="4" s="1"/>
  <c r="Q59" i="4" s="1"/>
  <c r="R60" i="4" s="1"/>
  <c r="S61" i="4" s="1"/>
  <c r="T62" i="4" s="1"/>
  <c r="U63" i="4" s="1"/>
  <c r="V64" i="4" s="1"/>
  <c r="W65" i="4" s="1"/>
  <c r="X66" i="4" s="1"/>
  <c r="Y67" i="4" s="1"/>
  <c r="Z68" i="4" s="1"/>
  <c r="AA69" i="4" s="1"/>
  <c r="I61" i="4"/>
  <c r="J62" i="4" s="1"/>
  <c r="K63" i="4" s="1"/>
  <c r="L64" i="4" s="1"/>
  <c r="M65" i="4" s="1"/>
  <c r="N66" i="4" s="1"/>
  <c r="O67" i="4" s="1"/>
  <c r="P68" i="4" s="1"/>
  <c r="Q69" i="4" s="1"/>
  <c r="R70" i="4" s="1"/>
  <c r="S71" i="4" s="1"/>
  <c r="T72" i="4" s="1"/>
  <c r="U73" i="4" s="1"/>
  <c r="V74" i="4" s="1"/>
  <c r="W75" i="4" s="1"/>
  <c r="X76" i="4" s="1"/>
  <c r="Y77" i="4" s="1"/>
  <c r="Z78" i="4" s="1"/>
  <c r="AA27" i="4" s="1"/>
  <c r="I66" i="4"/>
  <c r="J67" i="4" s="1"/>
  <c r="K68" i="4" s="1"/>
  <c r="L69" i="4" s="1"/>
  <c r="M70" i="4" s="1"/>
  <c r="N71" i="4" s="1"/>
  <c r="O72" i="4" s="1"/>
  <c r="P73" i="4" s="1"/>
  <c r="Q74" i="4" s="1"/>
  <c r="R75" i="4" s="1"/>
  <c r="S76" i="4" s="1"/>
  <c r="T77" i="4" s="1"/>
  <c r="U78" i="4" s="1"/>
  <c r="V27" i="4" s="1"/>
  <c r="W28" i="4" s="1"/>
  <c r="X29" i="4" s="1"/>
  <c r="Y30" i="4" s="1"/>
  <c r="Z31" i="4" s="1"/>
  <c r="AA32" i="4" s="1"/>
  <c r="I32" i="4"/>
  <c r="J33" i="4" s="1"/>
  <c r="K34" i="4" s="1"/>
  <c r="L35" i="4" s="1"/>
  <c r="M36" i="4" s="1"/>
  <c r="N37" i="4" s="1"/>
  <c r="O38" i="4" s="1"/>
  <c r="P39" i="4" s="1"/>
  <c r="Q40" i="4" s="1"/>
  <c r="R41" i="4" s="1"/>
  <c r="S42" i="4" s="1"/>
  <c r="T43" i="4" s="1"/>
  <c r="U44" i="4" s="1"/>
  <c r="V45" i="4" s="1"/>
  <c r="W46" i="4" s="1"/>
  <c r="X47" i="4" s="1"/>
  <c r="Y48" i="4" s="1"/>
  <c r="Z49" i="4" s="1"/>
  <c r="AA50" i="4" s="1"/>
  <c r="W54" i="13" l="1"/>
  <c r="X54" i="13" s="1"/>
  <c r="G54" i="13"/>
  <c r="H54" i="13" s="1"/>
  <c r="W64" i="13"/>
  <c r="X64" i="13" s="1"/>
  <c r="G64" i="13"/>
  <c r="H64" i="13" s="1"/>
  <c r="AB70" i="4"/>
  <c r="N51" i="33" s="1"/>
  <c r="B34" i="17"/>
  <c r="C34" i="17" s="1"/>
  <c r="D33" i="17"/>
  <c r="AD33" i="17" s="1"/>
  <c r="F67" i="13"/>
  <c r="F41" i="13"/>
  <c r="F59" i="13"/>
  <c r="F36" i="13"/>
  <c r="F43" i="13"/>
  <c r="F58" i="13"/>
  <c r="F35" i="13"/>
  <c r="F60" i="13"/>
  <c r="F49" i="13"/>
  <c r="X15" i="37"/>
  <c r="W15" i="37"/>
  <c r="F65" i="13"/>
  <c r="B24" i="13"/>
  <c r="C24" i="13" s="1"/>
  <c r="D23" i="13"/>
  <c r="T23" i="13" s="1"/>
  <c r="F45" i="13"/>
  <c r="F25" i="13"/>
  <c r="W23" i="13"/>
  <c r="X23" i="13" s="1"/>
  <c r="G23" i="13"/>
  <c r="H23" i="13" s="1"/>
  <c r="I24" i="13" s="1"/>
  <c r="J25" i="13" s="1"/>
  <c r="K26" i="13" s="1"/>
  <c r="L27" i="13" s="1"/>
  <c r="M28" i="13" s="1"/>
  <c r="N29" i="13" s="1"/>
  <c r="O30" i="13" s="1"/>
  <c r="P31" i="13" s="1"/>
  <c r="Q32" i="13" s="1"/>
  <c r="F46" i="13"/>
  <c r="F44" i="13"/>
  <c r="U15" i="37"/>
  <c r="V16" i="37" s="1"/>
  <c r="V15" i="37"/>
  <c r="AB15" i="37"/>
  <c r="AA15" i="37"/>
  <c r="F57" i="13"/>
  <c r="F37" i="13"/>
  <c r="F56" i="13"/>
  <c r="F33" i="13"/>
  <c r="F34" i="13"/>
  <c r="F66" i="13"/>
  <c r="F27" i="13"/>
  <c r="F42" i="13"/>
  <c r="F51" i="13"/>
  <c r="F31" i="13"/>
  <c r="F38" i="13"/>
  <c r="F52" i="13"/>
  <c r="F63" i="13"/>
  <c r="F61" i="13"/>
  <c r="F24" i="13"/>
  <c r="F26" i="13"/>
  <c r="F47" i="13"/>
  <c r="F39" i="13"/>
  <c r="F48" i="13"/>
  <c r="F50" i="13"/>
  <c r="F40" i="13"/>
  <c r="F55" i="13"/>
  <c r="F32" i="13"/>
  <c r="F53" i="13"/>
  <c r="F28" i="13"/>
  <c r="AB64" i="4"/>
  <c r="N45" i="33" s="1"/>
  <c r="Z16" i="37"/>
  <c r="Y16" i="37"/>
  <c r="AD34" i="12"/>
  <c r="AB78" i="4"/>
  <c r="N59" i="33" s="1"/>
  <c r="AB77" i="4"/>
  <c r="N58" i="33" s="1"/>
  <c r="AB30" i="4"/>
  <c r="AB72" i="4"/>
  <c r="N53" i="33" s="1"/>
  <c r="T17" i="37"/>
  <c r="S17" i="37"/>
  <c r="AC32" i="4"/>
  <c r="AE32" i="4" s="1"/>
  <c r="AF32" i="4" s="1"/>
  <c r="AI32" i="4" s="1"/>
  <c r="D10" i="22" s="1"/>
  <c r="AB38" i="4"/>
  <c r="N19" i="33" s="1"/>
  <c r="G40" i="12"/>
  <c r="H40" i="12" s="1"/>
  <c r="AB63" i="4"/>
  <c r="N44" i="33" s="1"/>
  <c r="AB35" i="4"/>
  <c r="AB34" i="4"/>
  <c r="N15" i="33" s="1"/>
  <c r="AB32" i="4"/>
  <c r="AB68" i="4"/>
  <c r="N49" i="33" s="1"/>
  <c r="I30" i="13"/>
  <c r="J31" i="13" s="1"/>
  <c r="K32" i="13" s="1"/>
  <c r="L33" i="13" s="1"/>
  <c r="M34" i="13" s="1"/>
  <c r="N35" i="13" s="1"/>
  <c r="O36" i="13" s="1"/>
  <c r="P37" i="13" s="1"/>
  <c r="Q38" i="13" s="1"/>
  <c r="G41" i="12"/>
  <c r="H41" i="12" s="1"/>
  <c r="J11" i="22"/>
  <c r="AB67" i="4"/>
  <c r="N48" i="33" s="1"/>
  <c r="I55" i="13"/>
  <c r="J56" i="13" s="1"/>
  <c r="K57" i="13" s="1"/>
  <c r="L58" i="13" s="1"/>
  <c r="M59" i="13" s="1"/>
  <c r="N60" i="13" s="1"/>
  <c r="O61" i="13" s="1"/>
  <c r="P62" i="13" s="1"/>
  <c r="Q63" i="13" s="1"/>
  <c r="I31" i="13"/>
  <c r="J32" i="13" s="1"/>
  <c r="K33" i="13" s="1"/>
  <c r="L34" i="13" s="1"/>
  <c r="M35" i="13" s="1"/>
  <c r="N36" i="13" s="1"/>
  <c r="O37" i="13" s="1"/>
  <c r="P38" i="13" s="1"/>
  <c r="Q39" i="13" s="1"/>
  <c r="AB75" i="4"/>
  <c r="AA16" i="7"/>
  <c r="AB39" i="4"/>
  <c r="N20" i="33" s="1"/>
  <c r="AC74" i="4"/>
  <c r="AC73" i="4"/>
  <c r="D22" i="11"/>
  <c r="B23" i="11"/>
  <c r="C23" i="11" s="1"/>
  <c r="AB76" i="4"/>
  <c r="AC31" i="4"/>
  <c r="AE31" i="4" s="1"/>
  <c r="AF31" i="4" s="1"/>
  <c r="AI31" i="4" s="1"/>
  <c r="D9" i="22" s="1"/>
  <c r="AB31" i="4"/>
  <c r="AG71" i="4"/>
  <c r="AH71" i="4" s="1"/>
  <c r="AG65" i="4"/>
  <c r="AH65" i="4" s="1"/>
  <c r="J41" i="4"/>
  <c r="AB40" i="4"/>
  <c r="AB69" i="4"/>
  <c r="N50" i="33" s="1"/>
  <c r="AB74" i="4"/>
  <c r="AB73" i="4"/>
  <c r="N54" i="33" s="1"/>
  <c r="I21" i="11"/>
  <c r="G21" i="11"/>
  <c r="H21" i="11" s="1"/>
  <c r="V17" i="39"/>
  <c r="V18" i="39" s="1"/>
  <c r="V19" i="39" s="1"/>
  <c r="V20" i="39" s="1"/>
  <c r="V21" i="39" s="1"/>
  <c r="V22" i="39" s="1"/>
  <c r="V23" i="39" s="1"/>
  <c r="V24" i="39" s="1"/>
  <c r="V25" i="39" s="1"/>
  <c r="V26" i="39" s="1"/>
  <c r="V27" i="39" s="1"/>
  <c r="V28" i="39" s="1"/>
  <c r="V29" i="39" s="1"/>
  <c r="V30" i="39" s="1"/>
  <c r="V31" i="39" s="1"/>
  <c r="V32" i="39" s="1"/>
  <c r="V33" i="39" s="1"/>
  <c r="V34" i="39" s="1"/>
  <c r="V35" i="39" s="1"/>
  <c r="V36" i="39" s="1"/>
  <c r="V37" i="39" s="1"/>
  <c r="V38" i="39" s="1"/>
  <c r="V39" i="39" s="1"/>
  <c r="V40" i="39" s="1"/>
  <c r="V41" i="39" s="1"/>
  <c r="V42" i="39" s="1"/>
  <c r="V43" i="39" s="1"/>
  <c r="V44" i="39" s="1"/>
  <c r="V45" i="39" s="1"/>
  <c r="V46" i="39" s="1"/>
  <c r="V47" i="39" s="1"/>
  <c r="V48" i="39" s="1"/>
  <c r="V49" i="39" s="1"/>
  <c r="V50" i="39" s="1"/>
  <c r="V51" i="39" s="1"/>
  <c r="V52" i="39" s="1"/>
  <c r="V53" i="39" s="1"/>
  <c r="V54" i="39" s="1"/>
  <c r="V55" i="39" s="1"/>
  <c r="V56" i="39" s="1"/>
  <c r="V57" i="39" s="1"/>
  <c r="V58" i="39" s="1"/>
  <c r="V59" i="39" s="1"/>
  <c r="V60" i="39" s="1"/>
  <c r="V61" i="39" s="1"/>
  <c r="V62" i="39" s="1"/>
  <c r="V63" i="39" s="1"/>
  <c r="V64" i="39" s="1"/>
  <c r="V65" i="39" s="1"/>
  <c r="V66" i="39" s="1"/>
  <c r="V67" i="39" s="1"/>
  <c r="V68" i="39" s="1"/>
  <c r="V69" i="39" s="1"/>
  <c r="V70" i="39" s="1"/>
  <c r="V71" i="39" s="1"/>
  <c r="V72" i="39" s="1"/>
  <c r="V73" i="39" s="1"/>
  <c r="V74" i="39" s="1"/>
  <c r="U17" i="39"/>
  <c r="AB28" i="4"/>
  <c r="I63" i="13"/>
  <c r="J64" i="13" s="1"/>
  <c r="K65" i="13" s="1"/>
  <c r="L66" i="13" s="1"/>
  <c r="M67" i="13" s="1"/>
  <c r="N16" i="13" s="1"/>
  <c r="O17" i="13" s="1"/>
  <c r="P18" i="13" s="1"/>
  <c r="Q19" i="13" s="1"/>
  <c r="AG42" i="4"/>
  <c r="AH42" i="4" s="1"/>
  <c r="K43" i="4"/>
  <c r="AB33" i="4"/>
  <c r="N14" i="33" s="1"/>
  <c r="B27" i="21"/>
  <c r="E26" i="21"/>
  <c r="F26" i="21" s="1"/>
  <c r="B36" i="16"/>
  <c r="C36" i="16" s="1"/>
  <c r="D35" i="16"/>
  <c r="AC37" i="4"/>
  <c r="AB36" i="4"/>
  <c r="N17" i="33" s="1"/>
  <c r="D19" i="15"/>
  <c r="B20" i="15"/>
  <c r="C20" i="15" s="1"/>
  <c r="AD34" i="16"/>
  <c r="AB37" i="4"/>
  <c r="N18" i="33" s="1"/>
  <c r="AD17" i="37"/>
  <c r="AC17" i="37"/>
  <c r="G18" i="15"/>
  <c r="H18" i="15" s="1"/>
  <c r="J12" i="22" s="1"/>
  <c r="K18" i="15"/>
  <c r="J12" i="30" s="1"/>
  <c r="S13" i="4"/>
  <c r="S14" i="4" s="1"/>
  <c r="S15" i="4" s="1"/>
  <c r="S16" i="4" s="1"/>
  <c r="S17" i="4" s="1"/>
  <c r="S18" i="4" s="1"/>
  <c r="S19" i="4" s="1"/>
  <c r="S20" i="4" s="1"/>
  <c r="S21" i="4" s="1"/>
  <c r="S22" i="4" s="1"/>
  <c r="AG62" i="4" s="1"/>
  <c r="AH62" i="4" s="1"/>
  <c r="AG78" i="4"/>
  <c r="AH78" i="4" s="1"/>
  <c r="AG70" i="4"/>
  <c r="AH70" i="4" s="1"/>
  <c r="AB27" i="4"/>
  <c r="J40" i="12"/>
  <c r="K41" i="12" s="1"/>
  <c r="L42" i="12" s="1"/>
  <c r="M43" i="12" s="1"/>
  <c r="N44" i="12" s="1"/>
  <c r="O45" i="12" s="1"/>
  <c r="P46" i="12" s="1"/>
  <c r="Q47" i="12" s="1"/>
  <c r="R48" i="12" s="1"/>
  <c r="S49" i="12" s="1"/>
  <c r="T50" i="12" s="1"/>
  <c r="U51" i="12" s="1"/>
  <c r="V52" i="12" s="1"/>
  <c r="W53" i="12" s="1"/>
  <c r="X54" i="12" s="1"/>
  <c r="Y55" i="12" s="1"/>
  <c r="Z56" i="12" s="1"/>
  <c r="AA57" i="12" s="1"/>
  <c r="AG39" i="12"/>
  <c r="AH39" i="12" s="1"/>
  <c r="V12" i="7"/>
  <c r="J44" i="4"/>
  <c r="B35" i="4"/>
  <c r="C35" i="4" s="1"/>
  <c r="D34" i="4"/>
  <c r="AB65" i="4"/>
  <c r="N46" i="33" s="1"/>
  <c r="AB29" i="4"/>
  <c r="AC29" i="4" s="1"/>
  <c r="AE29" i="4" s="1"/>
  <c r="AF29" i="4" s="1"/>
  <c r="AI29" i="4" s="1"/>
  <c r="D7" i="22" s="1"/>
  <c r="I65" i="13"/>
  <c r="J66" i="13" s="1"/>
  <c r="K67" i="13" s="1"/>
  <c r="L16" i="13" s="1"/>
  <c r="M17" i="13" s="1"/>
  <c r="N18" i="13" s="1"/>
  <c r="O19" i="13" s="1"/>
  <c r="P20" i="13" s="1"/>
  <c r="Q21" i="13" s="1"/>
  <c r="AG75" i="4"/>
  <c r="AH75" i="4" s="1"/>
  <c r="AC70" i="4"/>
  <c r="AB66" i="4"/>
  <c r="AC66" i="4" s="1"/>
  <c r="AC72" i="4"/>
  <c r="AB62" i="4"/>
  <c r="N43" i="33" s="1"/>
  <c r="AC64" i="4"/>
  <c r="B36" i="12"/>
  <c r="C36" i="12" s="1"/>
  <c r="D35" i="12"/>
  <c r="AB71" i="4"/>
  <c r="N52" i="33" s="1"/>
  <c r="AD33" i="4"/>
  <c r="L19" i="7"/>
  <c r="N7" i="7"/>
  <c r="N8" i="7"/>
  <c r="AC78" i="4"/>
  <c r="AC77" i="4"/>
  <c r="G28" i="13" l="1"/>
  <c r="H28" i="13" s="1"/>
  <c r="I29" i="13" s="1"/>
  <c r="J30" i="13" s="1"/>
  <c r="K31" i="13" s="1"/>
  <c r="L32" i="13" s="1"/>
  <c r="M33" i="13" s="1"/>
  <c r="N34" i="13" s="1"/>
  <c r="O35" i="13" s="1"/>
  <c r="P36" i="13" s="1"/>
  <c r="Q37" i="13" s="1"/>
  <c r="W28" i="13"/>
  <c r="X28" i="13" s="1"/>
  <c r="G38" i="13"/>
  <c r="H38" i="13" s="1"/>
  <c r="I39" i="13" s="1"/>
  <c r="J40" i="13" s="1"/>
  <c r="K41" i="13" s="1"/>
  <c r="L42" i="13" s="1"/>
  <c r="M43" i="13" s="1"/>
  <c r="N44" i="13" s="1"/>
  <c r="O45" i="13" s="1"/>
  <c r="P46" i="13" s="1"/>
  <c r="Q47" i="13" s="1"/>
  <c r="W38" i="13"/>
  <c r="X38" i="13" s="1"/>
  <c r="W35" i="13"/>
  <c r="X35" i="13" s="1"/>
  <c r="G35" i="13"/>
  <c r="H35" i="13" s="1"/>
  <c r="I36" i="13" s="1"/>
  <c r="J37" i="13" s="1"/>
  <c r="K38" i="13" s="1"/>
  <c r="L39" i="13" s="1"/>
  <c r="M40" i="13" s="1"/>
  <c r="N41" i="13" s="1"/>
  <c r="O42" i="13" s="1"/>
  <c r="P43" i="13" s="1"/>
  <c r="Q44" i="13" s="1"/>
  <c r="AG67" i="4"/>
  <c r="AH67" i="4" s="1"/>
  <c r="AC63" i="4"/>
  <c r="W53" i="13"/>
  <c r="X53" i="13" s="1"/>
  <c r="G53" i="13"/>
  <c r="H53" i="13" s="1"/>
  <c r="I54" i="13" s="1"/>
  <c r="J55" i="13" s="1"/>
  <c r="K56" i="13" s="1"/>
  <c r="L57" i="13" s="1"/>
  <c r="M58" i="13" s="1"/>
  <c r="N59" i="13" s="1"/>
  <c r="O60" i="13" s="1"/>
  <c r="P61" i="13" s="1"/>
  <c r="Q62" i="13" s="1"/>
  <c r="G31" i="13"/>
  <c r="H31" i="13" s="1"/>
  <c r="W31" i="13"/>
  <c r="X31" i="13" s="1"/>
  <c r="W44" i="13"/>
  <c r="X44" i="13" s="1"/>
  <c r="G44" i="13"/>
  <c r="H44" i="13" s="1"/>
  <c r="I45" i="13" s="1"/>
  <c r="J46" i="13" s="1"/>
  <c r="K47" i="13" s="1"/>
  <c r="L48" i="13" s="1"/>
  <c r="M49" i="13" s="1"/>
  <c r="N50" i="13" s="1"/>
  <c r="O51" i="13" s="1"/>
  <c r="P52" i="13" s="1"/>
  <c r="Q53" i="13" s="1"/>
  <c r="G58" i="13"/>
  <c r="H58" i="13" s="1"/>
  <c r="I59" i="13" s="1"/>
  <c r="W58" i="13"/>
  <c r="X58" i="13" s="1"/>
  <c r="G32" i="13"/>
  <c r="H32" i="13" s="1"/>
  <c r="W32" i="13"/>
  <c r="X32" i="13" s="1"/>
  <c r="W51" i="13"/>
  <c r="X51" i="13" s="1"/>
  <c r="G51" i="13"/>
  <c r="H51" i="13" s="1"/>
  <c r="I52" i="13" s="1"/>
  <c r="J53" i="13" s="1"/>
  <c r="K54" i="13" s="1"/>
  <c r="L55" i="13" s="1"/>
  <c r="M56" i="13" s="1"/>
  <c r="N57" i="13" s="1"/>
  <c r="O58" i="13" s="1"/>
  <c r="P59" i="13" s="1"/>
  <c r="Q60" i="13" s="1"/>
  <c r="G46" i="13"/>
  <c r="H46" i="13" s="1"/>
  <c r="I47" i="13" s="1"/>
  <c r="J48" i="13" s="1"/>
  <c r="K49" i="13" s="1"/>
  <c r="L50" i="13" s="1"/>
  <c r="M51" i="13" s="1"/>
  <c r="N52" i="13" s="1"/>
  <c r="O53" i="13" s="1"/>
  <c r="P54" i="13" s="1"/>
  <c r="Q55" i="13" s="1"/>
  <c r="W46" i="13"/>
  <c r="X46" i="13" s="1"/>
  <c r="G43" i="13"/>
  <c r="H43" i="13" s="1"/>
  <c r="I44" i="13" s="1"/>
  <c r="J45" i="13" s="1"/>
  <c r="K46" i="13" s="1"/>
  <c r="L47" i="13" s="1"/>
  <c r="M48" i="13" s="1"/>
  <c r="N49" i="13" s="1"/>
  <c r="O50" i="13" s="1"/>
  <c r="P51" i="13" s="1"/>
  <c r="Q52" i="13" s="1"/>
  <c r="W43" i="13"/>
  <c r="X43" i="13" s="1"/>
  <c r="G55" i="13"/>
  <c r="H55" i="13" s="1"/>
  <c r="I56" i="13" s="1"/>
  <c r="J57" i="13" s="1"/>
  <c r="W55" i="13"/>
  <c r="X55" i="13" s="1"/>
  <c r="W42" i="13"/>
  <c r="X42" i="13" s="1"/>
  <c r="G42" i="13"/>
  <c r="H42" i="13" s="1"/>
  <c r="I43" i="13" s="1"/>
  <c r="J44" i="13" s="1"/>
  <c r="K45" i="13" s="1"/>
  <c r="L46" i="13" s="1"/>
  <c r="M47" i="13" s="1"/>
  <c r="N48" i="13" s="1"/>
  <c r="O49" i="13" s="1"/>
  <c r="P50" i="13" s="1"/>
  <c r="Q51" i="13" s="1"/>
  <c r="W36" i="13"/>
  <c r="X36" i="13" s="1"/>
  <c r="G36" i="13"/>
  <c r="H36" i="13" s="1"/>
  <c r="G40" i="13"/>
  <c r="H40" i="13" s="1"/>
  <c r="I41" i="13" s="1"/>
  <c r="J42" i="13" s="1"/>
  <c r="K43" i="13" s="1"/>
  <c r="L44" i="13" s="1"/>
  <c r="M45" i="13" s="1"/>
  <c r="N46" i="13" s="1"/>
  <c r="O47" i="13" s="1"/>
  <c r="P48" i="13" s="1"/>
  <c r="Q49" i="13" s="1"/>
  <c r="W40" i="13"/>
  <c r="X40" i="13" s="1"/>
  <c r="G27" i="13"/>
  <c r="H27" i="13" s="1"/>
  <c r="I28" i="13" s="1"/>
  <c r="J29" i="13" s="1"/>
  <c r="K30" i="13" s="1"/>
  <c r="L31" i="13" s="1"/>
  <c r="M32" i="13" s="1"/>
  <c r="N33" i="13" s="1"/>
  <c r="O34" i="13" s="1"/>
  <c r="P35" i="13" s="1"/>
  <c r="Q36" i="13" s="1"/>
  <c r="W27" i="13"/>
  <c r="X27" i="13" s="1"/>
  <c r="W59" i="13"/>
  <c r="X59" i="13" s="1"/>
  <c r="G59" i="13"/>
  <c r="H59" i="13" s="1"/>
  <c r="I60" i="13" s="1"/>
  <c r="J61" i="13" s="1"/>
  <c r="K62" i="13" s="1"/>
  <c r="L63" i="13" s="1"/>
  <c r="M64" i="13" s="1"/>
  <c r="N65" i="13" s="1"/>
  <c r="O66" i="13" s="1"/>
  <c r="P67" i="13" s="1"/>
  <c r="Q16" i="13" s="1"/>
  <c r="G50" i="13"/>
  <c r="H50" i="13" s="1"/>
  <c r="I51" i="13" s="1"/>
  <c r="J52" i="13" s="1"/>
  <c r="K53" i="13" s="1"/>
  <c r="L54" i="13" s="1"/>
  <c r="M55" i="13" s="1"/>
  <c r="N56" i="13" s="1"/>
  <c r="O57" i="13" s="1"/>
  <c r="P58" i="13" s="1"/>
  <c r="Q59" i="13" s="1"/>
  <c r="W50" i="13"/>
  <c r="X50" i="13" s="1"/>
  <c r="W66" i="13"/>
  <c r="X66" i="13" s="1"/>
  <c r="G66" i="13"/>
  <c r="H66" i="13" s="1"/>
  <c r="I67" i="13" s="1"/>
  <c r="J16" i="13" s="1"/>
  <c r="K17" i="13" s="1"/>
  <c r="L18" i="13" s="1"/>
  <c r="M19" i="13" s="1"/>
  <c r="N20" i="13" s="1"/>
  <c r="O21" i="13" s="1"/>
  <c r="P22" i="13" s="1"/>
  <c r="Q23" i="13" s="1"/>
  <c r="G25" i="13"/>
  <c r="H25" i="13" s="1"/>
  <c r="I26" i="13" s="1"/>
  <c r="J27" i="13" s="1"/>
  <c r="K28" i="13" s="1"/>
  <c r="L29" i="13" s="1"/>
  <c r="M30" i="13" s="1"/>
  <c r="N31" i="13" s="1"/>
  <c r="O32" i="13" s="1"/>
  <c r="P33" i="13" s="1"/>
  <c r="Q34" i="13" s="1"/>
  <c r="W25" i="13"/>
  <c r="X25" i="13" s="1"/>
  <c r="G41" i="13"/>
  <c r="H41" i="13" s="1"/>
  <c r="I42" i="13" s="1"/>
  <c r="J43" i="13" s="1"/>
  <c r="K44" i="13" s="1"/>
  <c r="L45" i="13" s="1"/>
  <c r="M46" i="13" s="1"/>
  <c r="N47" i="13" s="1"/>
  <c r="O48" i="13" s="1"/>
  <c r="P49" i="13" s="1"/>
  <c r="Q50" i="13" s="1"/>
  <c r="W41" i="13"/>
  <c r="X41" i="13" s="1"/>
  <c r="AJ33" i="4"/>
  <c r="D11" i="30" s="1"/>
  <c r="AC71" i="4"/>
  <c r="G48" i="13"/>
  <c r="H48" i="13" s="1"/>
  <c r="I49" i="13" s="1"/>
  <c r="W48" i="13"/>
  <c r="X48" i="13" s="1"/>
  <c r="G34" i="13"/>
  <c r="H34" i="13" s="1"/>
  <c r="I35" i="13" s="1"/>
  <c r="J36" i="13" s="1"/>
  <c r="K37" i="13" s="1"/>
  <c r="L38" i="13" s="1"/>
  <c r="M39" i="13" s="1"/>
  <c r="N40" i="13" s="1"/>
  <c r="O41" i="13" s="1"/>
  <c r="P42" i="13" s="1"/>
  <c r="Q43" i="13" s="1"/>
  <c r="W34" i="13"/>
  <c r="X34" i="13" s="1"/>
  <c r="W45" i="13"/>
  <c r="X45" i="13" s="1"/>
  <c r="G45" i="13"/>
  <c r="H45" i="13" s="1"/>
  <c r="I46" i="13" s="1"/>
  <c r="J47" i="13" s="1"/>
  <c r="K48" i="13" s="1"/>
  <c r="L49" i="13" s="1"/>
  <c r="M50" i="13" s="1"/>
  <c r="N51" i="13" s="1"/>
  <c r="O52" i="13" s="1"/>
  <c r="P53" i="13" s="1"/>
  <c r="Q54" i="13" s="1"/>
  <c r="W67" i="13"/>
  <c r="X67" i="13" s="1"/>
  <c r="G67" i="13"/>
  <c r="H67" i="13" s="1"/>
  <c r="I16" i="13" s="1"/>
  <c r="W39" i="13"/>
  <c r="X39" i="13" s="1"/>
  <c r="G39" i="13"/>
  <c r="H39" i="13" s="1"/>
  <c r="I40" i="13" s="1"/>
  <c r="J41" i="13" s="1"/>
  <c r="K42" i="13" s="1"/>
  <c r="L43" i="13" s="1"/>
  <c r="M44" i="13" s="1"/>
  <c r="N45" i="13" s="1"/>
  <c r="O46" i="13" s="1"/>
  <c r="P47" i="13" s="1"/>
  <c r="Q48" i="13" s="1"/>
  <c r="G33" i="13"/>
  <c r="H33" i="13" s="1"/>
  <c r="I34" i="13" s="1"/>
  <c r="J35" i="13" s="1"/>
  <c r="K36" i="13" s="1"/>
  <c r="L37" i="13" s="1"/>
  <c r="M38" i="13" s="1"/>
  <c r="N39" i="13" s="1"/>
  <c r="O40" i="13" s="1"/>
  <c r="P41" i="13" s="1"/>
  <c r="Q42" i="13" s="1"/>
  <c r="W33" i="13"/>
  <c r="X33" i="13" s="1"/>
  <c r="G47" i="13"/>
  <c r="H47" i="13" s="1"/>
  <c r="I48" i="13" s="1"/>
  <c r="J49" i="13" s="1"/>
  <c r="K50" i="13" s="1"/>
  <c r="L51" i="13" s="1"/>
  <c r="M52" i="13" s="1"/>
  <c r="N53" i="13" s="1"/>
  <c r="O54" i="13" s="1"/>
  <c r="P55" i="13" s="1"/>
  <c r="Q56" i="13" s="1"/>
  <c r="W47" i="13"/>
  <c r="X47" i="13" s="1"/>
  <c r="W56" i="13"/>
  <c r="X56" i="13" s="1"/>
  <c r="G56" i="13"/>
  <c r="H56" i="13" s="1"/>
  <c r="I57" i="13" s="1"/>
  <c r="J58" i="13" s="1"/>
  <c r="K59" i="13" s="1"/>
  <c r="L60" i="13" s="1"/>
  <c r="M61" i="13" s="1"/>
  <c r="N62" i="13" s="1"/>
  <c r="O63" i="13" s="1"/>
  <c r="P64" i="13" s="1"/>
  <c r="Q65" i="13" s="1"/>
  <c r="D24" i="13"/>
  <c r="T24" i="13" s="1"/>
  <c r="B25" i="13"/>
  <c r="C25" i="13" s="1"/>
  <c r="D34" i="17"/>
  <c r="AD34" i="17" s="1"/>
  <c r="B35" i="17"/>
  <c r="C35" i="17" s="1"/>
  <c r="W26" i="13"/>
  <c r="X26" i="13" s="1"/>
  <c r="G26" i="13"/>
  <c r="H26" i="13" s="1"/>
  <c r="I27" i="13" s="1"/>
  <c r="J28" i="13" s="1"/>
  <c r="K29" i="13" s="1"/>
  <c r="L30" i="13" s="1"/>
  <c r="M31" i="13" s="1"/>
  <c r="N32" i="13" s="1"/>
  <c r="O33" i="13" s="1"/>
  <c r="P34" i="13" s="1"/>
  <c r="Q35" i="13" s="1"/>
  <c r="W37" i="13"/>
  <c r="X37" i="13" s="1"/>
  <c r="G37" i="13"/>
  <c r="H37" i="13" s="1"/>
  <c r="I38" i="13" s="1"/>
  <c r="J39" i="13" s="1"/>
  <c r="K40" i="13" s="1"/>
  <c r="L41" i="13" s="1"/>
  <c r="M42" i="13" s="1"/>
  <c r="N43" i="13" s="1"/>
  <c r="O44" i="13" s="1"/>
  <c r="P45" i="13" s="1"/>
  <c r="Q46" i="13" s="1"/>
  <c r="G65" i="13"/>
  <c r="H65" i="13" s="1"/>
  <c r="I66" i="13" s="1"/>
  <c r="J67" i="13" s="1"/>
  <c r="K16" i="13" s="1"/>
  <c r="L17" i="13" s="1"/>
  <c r="M18" i="13" s="1"/>
  <c r="N19" i="13" s="1"/>
  <c r="O20" i="13" s="1"/>
  <c r="P21" i="13" s="1"/>
  <c r="Q22" i="13" s="1"/>
  <c r="W65" i="13"/>
  <c r="X65" i="13" s="1"/>
  <c r="W24" i="13"/>
  <c r="X24" i="13" s="1"/>
  <c r="G24" i="13"/>
  <c r="H24" i="13" s="1"/>
  <c r="I25" i="13" s="1"/>
  <c r="J26" i="13" s="1"/>
  <c r="K27" i="13" s="1"/>
  <c r="L28" i="13" s="1"/>
  <c r="M29" i="13" s="1"/>
  <c r="N30" i="13" s="1"/>
  <c r="O31" i="13" s="1"/>
  <c r="P32" i="13" s="1"/>
  <c r="Q33" i="13" s="1"/>
  <c r="G57" i="13"/>
  <c r="H57" i="13" s="1"/>
  <c r="I58" i="13" s="1"/>
  <c r="J59" i="13" s="1"/>
  <c r="K60" i="13" s="1"/>
  <c r="L61" i="13" s="1"/>
  <c r="M62" i="13" s="1"/>
  <c r="N63" i="13" s="1"/>
  <c r="O64" i="13" s="1"/>
  <c r="P65" i="13" s="1"/>
  <c r="Q66" i="13" s="1"/>
  <c r="W57" i="13"/>
  <c r="X57" i="13" s="1"/>
  <c r="X16" i="37"/>
  <c r="W16" i="37"/>
  <c r="W61" i="13"/>
  <c r="X61" i="13" s="1"/>
  <c r="G61" i="13"/>
  <c r="H61" i="13" s="1"/>
  <c r="I62" i="13" s="1"/>
  <c r="J63" i="13" s="1"/>
  <c r="K64" i="13" s="1"/>
  <c r="L65" i="13" s="1"/>
  <c r="M66" i="13" s="1"/>
  <c r="N67" i="13" s="1"/>
  <c r="O16" i="13" s="1"/>
  <c r="P17" i="13" s="1"/>
  <c r="Q18" i="13" s="1"/>
  <c r="AB16" i="37"/>
  <c r="AA16" i="37"/>
  <c r="AC65" i="4"/>
  <c r="W63" i="13"/>
  <c r="X63" i="13" s="1"/>
  <c r="G63" i="13"/>
  <c r="H63" i="13" s="1"/>
  <c r="I64" i="13" s="1"/>
  <c r="J65" i="13" s="1"/>
  <c r="K66" i="13" s="1"/>
  <c r="L67" i="13" s="1"/>
  <c r="M16" i="13" s="1"/>
  <c r="N17" i="13" s="1"/>
  <c r="O18" i="13" s="1"/>
  <c r="P19" i="13" s="1"/>
  <c r="Q20" i="13" s="1"/>
  <c r="W49" i="13"/>
  <c r="X49" i="13" s="1"/>
  <c r="G49" i="13"/>
  <c r="H49" i="13" s="1"/>
  <c r="I50" i="13" s="1"/>
  <c r="J51" i="13" s="1"/>
  <c r="K52" i="13" s="1"/>
  <c r="L53" i="13" s="1"/>
  <c r="M54" i="13" s="1"/>
  <c r="N55" i="13" s="1"/>
  <c r="O56" i="13" s="1"/>
  <c r="P57" i="13" s="1"/>
  <c r="Q58" i="13" s="1"/>
  <c r="AC36" i="4"/>
  <c r="G52" i="13"/>
  <c r="H52" i="13" s="1"/>
  <c r="I53" i="13" s="1"/>
  <c r="J54" i="13" s="1"/>
  <c r="K55" i="13" s="1"/>
  <c r="L56" i="13" s="1"/>
  <c r="M57" i="13" s="1"/>
  <c r="N58" i="13" s="1"/>
  <c r="O59" i="13" s="1"/>
  <c r="P60" i="13" s="1"/>
  <c r="Q61" i="13" s="1"/>
  <c r="W52" i="13"/>
  <c r="X52" i="13" s="1"/>
  <c r="U16" i="37"/>
  <c r="V17" i="37" s="1"/>
  <c r="G60" i="13"/>
  <c r="H60" i="13" s="1"/>
  <c r="I61" i="13" s="1"/>
  <c r="J62" i="13" s="1"/>
  <c r="K63" i="13" s="1"/>
  <c r="L64" i="13" s="1"/>
  <c r="M65" i="13" s="1"/>
  <c r="N66" i="13" s="1"/>
  <c r="O67" i="13" s="1"/>
  <c r="P16" i="13" s="1"/>
  <c r="Q17" i="13" s="1"/>
  <c r="W60" i="13"/>
  <c r="X60" i="13" s="1"/>
  <c r="N21" i="33"/>
  <c r="AC68" i="4"/>
  <c r="N11" i="33"/>
  <c r="AJ30" i="4"/>
  <c r="D8" i="30" s="1"/>
  <c r="K42" i="4"/>
  <c r="AB41" i="4"/>
  <c r="N22" i="33" s="1"/>
  <c r="AG41" i="12"/>
  <c r="AH41" i="12" s="1"/>
  <c r="J60" i="13"/>
  <c r="N18" i="34"/>
  <c r="B21" i="15"/>
  <c r="C21" i="15" s="1"/>
  <c r="D20" i="15"/>
  <c r="AC67" i="4"/>
  <c r="AG72" i="4"/>
  <c r="AH72" i="4" s="1"/>
  <c r="I42" i="12"/>
  <c r="J43" i="12" s="1"/>
  <c r="K44" i="12" s="1"/>
  <c r="L45" i="12" s="1"/>
  <c r="M46" i="12" s="1"/>
  <c r="N47" i="12" s="1"/>
  <c r="O48" i="12" s="1"/>
  <c r="P49" i="12" s="1"/>
  <c r="Q50" i="12" s="1"/>
  <c r="R51" i="12" s="1"/>
  <c r="S52" i="12" s="1"/>
  <c r="T53" i="12" s="1"/>
  <c r="U54" i="12" s="1"/>
  <c r="V55" i="12" s="1"/>
  <c r="W56" i="12" s="1"/>
  <c r="X57" i="12" s="1"/>
  <c r="Y58" i="12" s="1"/>
  <c r="Z59" i="12" s="1"/>
  <c r="AA60" i="12" s="1"/>
  <c r="L20" i="7"/>
  <c r="N60" i="7"/>
  <c r="K19" i="15"/>
  <c r="J13" i="30" s="1"/>
  <c r="G19" i="15"/>
  <c r="H19" i="15" s="1"/>
  <c r="J13" i="22" s="1"/>
  <c r="B28" i="21"/>
  <c r="E27" i="21"/>
  <c r="F27" i="21" s="1"/>
  <c r="N10" i="33"/>
  <c r="AJ29" i="4"/>
  <c r="D7" i="30" s="1"/>
  <c r="AC33" i="4"/>
  <c r="AE33" i="4" s="1"/>
  <c r="AF33" i="4" s="1"/>
  <c r="AI33" i="4" s="1"/>
  <c r="D11" i="22" s="1"/>
  <c r="AG66" i="4"/>
  <c r="AH66" i="4" s="1"/>
  <c r="N19" i="34"/>
  <c r="N55" i="33"/>
  <c r="AC69" i="4"/>
  <c r="R25" i="13"/>
  <c r="K45" i="4"/>
  <c r="N8" i="34"/>
  <c r="N8" i="33"/>
  <c r="AJ27" i="4"/>
  <c r="N9" i="33"/>
  <c r="AJ28" i="4"/>
  <c r="D6" i="30" s="1"/>
  <c r="AC28" i="4"/>
  <c r="AE28" i="4" s="1"/>
  <c r="AF28" i="4" s="1"/>
  <c r="AI28" i="4" s="1"/>
  <c r="D6" i="22" s="1"/>
  <c r="R29" i="13"/>
  <c r="N16" i="33"/>
  <c r="N10" i="34"/>
  <c r="U18" i="39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U32" i="39" s="1"/>
  <c r="U33" i="39" s="1"/>
  <c r="U34" i="39" s="1"/>
  <c r="U35" i="39" s="1"/>
  <c r="U36" i="39" s="1"/>
  <c r="U37" i="39" s="1"/>
  <c r="U38" i="39" s="1"/>
  <c r="U39" i="39" s="1"/>
  <c r="U40" i="39" s="1"/>
  <c r="U41" i="39" s="1"/>
  <c r="U42" i="39" s="1"/>
  <c r="U43" i="39" s="1"/>
  <c r="U44" i="39" s="1"/>
  <c r="U45" i="39" s="1"/>
  <c r="U46" i="39" s="1"/>
  <c r="U47" i="39" s="1"/>
  <c r="U48" i="39" s="1"/>
  <c r="U49" i="39" s="1"/>
  <c r="U50" i="39" s="1"/>
  <c r="U51" i="39" s="1"/>
  <c r="U52" i="39" s="1"/>
  <c r="U53" i="39" s="1"/>
  <c r="U54" i="39" s="1"/>
  <c r="U55" i="39" s="1"/>
  <c r="U56" i="39" s="1"/>
  <c r="U57" i="39" s="1"/>
  <c r="U58" i="39" s="1"/>
  <c r="U59" i="39" s="1"/>
  <c r="U60" i="39" s="1"/>
  <c r="U61" i="39" s="1"/>
  <c r="U62" i="39" s="1"/>
  <c r="U63" i="39" s="1"/>
  <c r="U64" i="39" s="1"/>
  <c r="U65" i="39" s="1"/>
  <c r="U66" i="39" s="1"/>
  <c r="U67" i="39" s="1"/>
  <c r="U68" i="39" s="1"/>
  <c r="U69" i="39" s="1"/>
  <c r="U70" i="39" s="1"/>
  <c r="U71" i="39" s="1"/>
  <c r="U72" i="39" s="1"/>
  <c r="U73" i="39" s="1"/>
  <c r="U74" i="39" s="1"/>
  <c r="T18" i="39"/>
  <c r="J17" i="13"/>
  <c r="AA17" i="7"/>
  <c r="AG63" i="4"/>
  <c r="AH63" i="4" s="1"/>
  <c r="F43" i="12"/>
  <c r="F42" i="12"/>
  <c r="AG74" i="4"/>
  <c r="AH74" i="4" s="1"/>
  <c r="AG68" i="4"/>
  <c r="AH68" i="4" s="1"/>
  <c r="AD35" i="16"/>
  <c r="I15" i="22"/>
  <c r="N12" i="33"/>
  <c r="N9" i="34"/>
  <c r="AJ31" i="4"/>
  <c r="D9" i="30" s="1"/>
  <c r="AC35" i="4"/>
  <c r="J50" i="13"/>
  <c r="I15" i="30"/>
  <c r="AG64" i="4"/>
  <c r="AH64" i="4" s="1"/>
  <c r="D35" i="4"/>
  <c r="B36" i="4"/>
  <c r="C36" i="4" s="1"/>
  <c r="AG69" i="4"/>
  <c r="AH69" i="4" s="1"/>
  <c r="N13" i="33"/>
  <c r="AJ32" i="4"/>
  <c r="D10" i="30" s="1"/>
  <c r="AC30" i="4"/>
  <c r="AE30" i="4" s="1"/>
  <c r="AF30" i="4" s="1"/>
  <c r="AI30" i="4" s="1"/>
  <c r="D8" i="22" s="1"/>
  <c r="AC27" i="4"/>
  <c r="AE27" i="4" s="1"/>
  <c r="AF27" i="4" s="1"/>
  <c r="AI27" i="4" s="1"/>
  <c r="AD34" i="4"/>
  <c r="AJ34" i="4"/>
  <c r="D12" i="30" s="1"/>
  <c r="D36" i="16"/>
  <c r="B37" i="16"/>
  <c r="C37" i="16" s="1"/>
  <c r="N57" i="33"/>
  <c r="AC76" i="4"/>
  <c r="I22" i="11"/>
  <c r="I16" i="30" s="1"/>
  <c r="G22" i="11"/>
  <c r="H22" i="11" s="1"/>
  <c r="I16" i="22" s="1"/>
  <c r="AC18" i="37"/>
  <c r="AD18" i="37"/>
  <c r="AG40" i="12"/>
  <c r="AH40" i="12" s="1"/>
  <c r="S18" i="37"/>
  <c r="T18" i="37"/>
  <c r="Y17" i="37"/>
  <c r="Z17" i="37"/>
  <c r="AD35" i="12"/>
  <c r="D23" i="11"/>
  <c r="B24" i="11"/>
  <c r="C24" i="11" s="1"/>
  <c r="N56" i="33"/>
  <c r="AC75" i="4"/>
  <c r="B37" i="12"/>
  <c r="C37" i="12" s="1"/>
  <c r="D36" i="12"/>
  <c r="N17" i="34"/>
  <c r="N47" i="33"/>
  <c r="N9" i="7"/>
  <c r="V13" i="7"/>
  <c r="AG60" i="4"/>
  <c r="AH60" i="4" s="1"/>
  <c r="AG61" i="4"/>
  <c r="AH61" i="4" s="1"/>
  <c r="AC34" i="4"/>
  <c r="I41" i="12"/>
  <c r="J42" i="12" s="1"/>
  <c r="K43" i="12" s="1"/>
  <c r="L44" i="12" s="1"/>
  <c r="M45" i="12" s="1"/>
  <c r="N46" i="12" s="1"/>
  <c r="O47" i="12" s="1"/>
  <c r="P48" i="12" s="1"/>
  <c r="Q49" i="12" s="1"/>
  <c r="R50" i="12" s="1"/>
  <c r="S51" i="12" s="1"/>
  <c r="T52" i="12" s="1"/>
  <c r="U53" i="12" s="1"/>
  <c r="V54" i="12" s="1"/>
  <c r="W55" i="12" s="1"/>
  <c r="X56" i="12" s="1"/>
  <c r="Y57" i="12" s="1"/>
  <c r="Z58" i="12" s="1"/>
  <c r="AA59" i="12" s="1"/>
  <c r="AG73" i="4"/>
  <c r="AH73" i="4" s="1"/>
  <c r="R26" i="13"/>
  <c r="AC62" i="4"/>
  <c r="AG76" i="4"/>
  <c r="AH76" i="4" s="1"/>
  <c r="AG43" i="4"/>
  <c r="AH43" i="4" s="1"/>
  <c r="L44" i="4"/>
  <c r="AC40" i="4"/>
  <c r="AC39" i="4"/>
  <c r="AG77" i="4"/>
  <c r="AH77" i="4" s="1"/>
  <c r="AC38" i="4"/>
  <c r="AB17" i="37" l="1"/>
  <c r="AA17" i="37"/>
  <c r="I32" i="13"/>
  <c r="R31" i="13"/>
  <c r="Q23" i="33" s="1"/>
  <c r="S31" i="13"/>
  <c r="R46" i="13"/>
  <c r="W17" i="37"/>
  <c r="X17" i="37"/>
  <c r="B26" i="13"/>
  <c r="C26" i="13" s="1"/>
  <c r="D25" i="13"/>
  <c r="T25" i="13" s="1"/>
  <c r="R49" i="13"/>
  <c r="Q41" i="33" s="1"/>
  <c r="S27" i="13"/>
  <c r="R28" i="13"/>
  <c r="Q20" i="33" s="1"/>
  <c r="U17" i="37"/>
  <c r="V18" i="37" s="1"/>
  <c r="I33" i="13"/>
  <c r="R32" i="13"/>
  <c r="Q24" i="33" s="1"/>
  <c r="R47" i="13"/>
  <c r="Q39" i="33" s="1"/>
  <c r="D35" i="17"/>
  <c r="AD35" i="17" s="1"/>
  <c r="B36" i="17"/>
  <c r="C36" i="17" s="1"/>
  <c r="R27" i="13"/>
  <c r="Q19" i="33" s="1"/>
  <c r="I37" i="13"/>
  <c r="R16" i="13"/>
  <c r="S16" i="13" s="1"/>
  <c r="U16" i="13" s="1"/>
  <c r="V16" i="13" s="1"/>
  <c r="Y16" i="13" s="1"/>
  <c r="S46" i="13"/>
  <c r="R48" i="13"/>
  <c r="Q40" i="33" s="1"/>
  <c r="S48" i="13"/>
  <c r="S29" i="13"/>
  <c r="R30" i="13"/>
  <c r="Q22" i="33" s="1"/>
  <c r="K18" i="13"/>
  <c r="R17" i="13"/>
  <c r="S17" i="13"/>
  <c r="U17" i="13" s="1"/>
  <c r="V17" i="13" s="1"/>
  <c r="Y17" i="13" s="1"/>
  <c r="H6" i="22" s="1"/>
  <c r="T19" i="39"/>
  <c r="T20" i="39" s="1"/>
  <c r="T21" i="39" s="1"/>
  <c r="T22" i="39" s="1"/>
  <c r="T23" i="39" s="1"/>
  <c r="T24" i="39" s="1"/>
  <c r="T25" i="39" s="1"/>
  <c r="T26" i="39" s="1"/>
  <c r="T27" i="39" s="1"/>
  <c r="T28" i="39" s="1"/>
  <c r="T29" i="39" s="1"/>
  <c r="T30" i="39" s="1"/>
  <c r="T31" i="39" s="1"/>
  <c r="T32" i="39" s="1"/>
  <c r="T33" i="39" s="1"/>
  <c r="T34" i="39" s="1"/>
  <c r="T35" i="39" s="1"/>
  <c r="T36" i="39" s="1"/>
  <c r="T37" i="39" s="1"/>
  <c r="T38" i="39" s="1"/>
  <c r="T39" i="39" s="1"/>
  <c r="T40" i="39" s="1"/>
  <c r="T41" i="39" s="1"/>
  <c r="T42" i="39" s="1"/>
  <c r="T43" i="39" s="1"/>
  <c r="T44" i="39" s="1"/>
  <c r="T45" i="39" s="1"/>
  <c r="T46" i="39" s="1"/>
  <c r="T47" i="39" s="1"/>
  <c r="T48" i="39" s="1"/>
  <c r="T49" i="39" s="1"/>
  <c r="T50" i="39" s="1"/>
  <c r="T51" i="39" s="1"/>
  <c r="T52" i="39" s="1"/>
  <c r="T53" i="39" s="1"/>
  <c r="T54" i="39" s="1"/>
  <c r="T55" i="39" s="1"/>
  <c r="T56" i="39" s="1"/>
  <c r="T57" i="39" s="1"/>
  <c r="T58" i="39" s="1"/>
  <c r="T59" i="39" s="1"/>
  <c r="T60" i="39" s="1"/>
  <c r="T61" i="39" s="1"/>
  <c r="T62" i="39" s="1"/>
  <c r="T63" i="39" s="1"/>
  <c r="T64" i="39" s="1"/>
  <c r="T65" i="39" s="1"/>
  <c r="T66" i="39" s="1"/>
  <c r="T67" i="39" s="1"/>
  <c r="T68" i="39" s="1"/>
  <c r="T69" i="39" s="1"/>
  <c r="T70" i="39" s="1"/>
  <c r="T71" i="39" s="1"/>
  <c r="T72" i="39" s="1"/>
  <c r="T73" i="39" s="1"/>
  <c r="T74" i="39" s="1"/>
  <c r="S19" i="39"/>
  <c r="Q17" i="33"/>
  <c r="S25" i="13"/>
  <c r="D5" i="22"/>
  <c r="K51" i="13"/>
  <c r="R50" i="13"/>
  <c r="L21" i="7"/>
  <c r="D24" i="11"/>
  <c r="B25" i="11"/>
  <c r="C25" i="11" s="1"/>
  <c r="G42" i="12"/>
  <c r="H42" i="12" s="1"/>
  <c r="AG42" i="12"/>
  <c r="AH42" i="12" s="1"/>
  <c r="K61" i="13"/>
  <c r="S19" i="37"/>
  <c r="T19" i="37"/>
  <c r="M45" i="4"/>
  <c r="AG44" i="4"/>
  <c r="AH44" i="4" s="1"/>
  <c r="G23" i="11"/>
  <c r="H23" i="11" s="1"/>
  <c r="I17" i="22" s="1"/>
  <c r="I23" i="11"/>
  <c r="I17" i="30" s="1"/>
  <c r="D5" i="30"/>
  <c r="Q18" i="33"/>
  <c r="S26" i="13"/>
  <c r="D37" i="12"/>
  <c r="B38" i="12"/>
  <c r="C38" i="12" s="1"/>
  <c r="AD36" i="16"/>
  <c r="AD35" i="4"/>
  <c r="AE35" i="4" s="1"/>
  <c r="AF35" i="4" s="1"/>
  <c r="AI35" i="4" s="1"/>
  <c r="D13" i="22" s="1"/>
  <c r="AJ35" i="4"/>
  <c r="D13" i="30" s="1"/>
  <c r="E28" i="21"/>
  <c r="F28" i="21" s="1"/>
  <c r="B29" i="21"/>
  <c r="K20" i="15"/>
  <c r="J14" i="30" s="1"/>
  <c r="G20" i="15"/>
  <c r="H20" i="15" s="1"/>
  <c r="J14" i="22" s="1"/>
  <c r="K58" i="13"/>
  <c r="B22" i="15"/>
  <c r="C22" i="15" s="1"/>
  <c r="D21" i="15"/>
  <c r="AC41" i="4"/>
  <c r="AE34" i="4"/>
  <c r="AF34" i="4" s="1"/>
  <c r="AI34" i="4" s="1"/>
  <c r="D12" i="22" s="1"/>
  <c r="Y18" i="37"/>
  <c r="Z18" i="37"/>
  <c r="Q38" i="33"/>
  <c r="Q15" i="34"/>
  <c r="AA18" i="7"/>
  <c r="L46" i="4"/>
  <c r="L43" i="4"/>
  <c r="AB42" i="4"/>
  <c r="N23" i="33" s="1"/>
  <c r="V14" i="7"/>
  <c r="AG43" i="12"/>
  <c r="AH43" i="12" s="1"/>
  <c r="G43" i="12"/>
  <c r="H43" i="12" s="1"/>
  <c r="Q21" i="33"/>
  <c r="S28" i="13"/>
  <c r="AD36" i="12"/>
  <c r="AD19" i="37"/>
  <c r="AC19" i="37"/>
  <c r="B38" i="16"/>
  <c r="C38" i="16" s="1"/>
  <c r="D37" i="16"/>
  <c r="B37" i="4"/>
  <c r="C37" i="4" s="1"/>
  <c r="D36" i="4"/>
  <c r="F44" i="12"/>
  <c r="Z16" i="13"/>
  <c r="Q8" i="33"/>
  <c r="H5" i="22"/>
  <c r="N61" i="7"/>
  <c r="D36" i="17" l="1"/>
  <c r="AD36" i="17" s="1"/>
  <c r="B37" i="17"/>
  <c r="C37" i="17" s="1"/>
  <c r="S49" i="13"/>
  <c r="B27" i="13"/>
  <c r="C27" i="13" s="1"/>
  <c r="D26" i="13"/>
  <c r="J34" i="13"/>
  <c r="R33" i="13"/>
  <c r="X18" i="37"/>
  <c r="W18" i="37"/>
  <c r="U18" i="37"/>
  <c r="V19" i="37" s="1"/>
  <c r="S33" i="13"/>
  <c r="Z25" i="13"/>
  <c r="H14" i="30" s="1"/>
  <c r="U25" i="13"/>
  <c r="V25" i="13" s="1"/>
  <c r="Y25" i="13" s="1"/>
  <c r="H14" i="22" s="1"/>
  <c r="J38" i="13"/>
  <c r="S30" i="13"/>
  <c r="J33" i="13"/>
  <c r="K34" i="13" s="1"/>
  <c r="L35" i="13" s="1"/>
  <c r="M36" i="13" s="1"/>
  <c r="N37" i="13" s="1"/>
  <c r="O38" i="13" s="1"/>
  <c r="P39" i="13" s="1"/>
  <c r="Q40" i="13" s="1"/>
  <c r="S32" i="13"/>
  <c r="AA18" i="37"/>
  <c r="AB18" i="37"/>
  <c r="Q11" i="34"/>
  <c r="S47" i="13"/>
  <c r="T20" i="37"/>
  <c r="S20" i="37"/>
  <c r="H5" i="30"/>
  <c r="Z19" i="37"/>
  <c r="Y19" i="37"/>
  <c r="E29" i="21"/>
  <c r="F29" i="21" s="1"/>
  <c r="B30" i="21"/>
  <c r="L22" i="7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N46" i="7"/>
  <c r="N24" i="7"/>
  <c r="N15" i="7"/>
  <c r="S20" i="39"/>
  <c r="S21" i="39" s="1"/>
  <c r="S22" i="39" s="1"/>
  <c r="S23" i="39" s="1"/>
  <c r="S24" i="39" s="1"/>
  <c r="S25" i="39" s="1"/>
  <c r="S26" i="39" s="1"/>
  <c r="S27" i="39" s="1"/>
  <c r="S28" i="39" s="1"/>
  <c r="S29" i="39" s="1"/>
  <c r="S30" i="39" s="1"/>
  <c r="S31" i="39" s="1"/>
  <c r="S32" i="39" s="1"/>
  <c r="S33" i="39" s="1"/>
  <c r="S34" i="39" s="1"/>
  <c r="S35" i="39" s="1"/>
  <c r="S36" i="39" s="1"/>
  <c r="S37" i="39" s="1"/>
  <c r="S38" i="39" s="1"/>
  <c r="S39" i="39" s="1"/>
  <c r="S40" i="39" s="1"/>
  <c r="S41" i="39" s="1"/>
  <c r="S42" i="39" s="1"/>
  <c r="S43" i="39" s="1"/>
  <c r="S44" i="39" s="1"/>
  <c r="S45" i="39" s="1"/>
  <c r="S46" i="39" s="1"/>
  <c r="S47" i="39" s="1"/>
  <c r="S48" i="39" s="1"/>
  <c r="S49" i="39" s="1"/>
  <c r="S50" i="39" s="1"/>
  <c r="S51" i="39" s="1"/>
  <c r="S52" i="39" s="1"/>
  <c r="S53" i="39" s="1"/>
  <c r="S54" i="39" s="1"/>
  <c r="S55" i="39" s="1"/>
  <c r="S56" i="39" s="1"/>
  <c r="S57" i="39" s="1"/>
  <c r="S58" i="39" s="1"/>
  <c r="S59" i="39" s="1"/>
  <c r="S60" i="39" s="1"/>
  <c r="S61" i="39" s="1"/>
  <c r="S62" i="39" s="1"/>
  <c r="S63" i="39" s="1"/>
  <c r="S64" i="39" s="1"/>
  <c r="S65" i="39" s="1"/>
  <c r="S66" i="39" s="1"/>
  <c r="S67" i="39" s="1"/>
  <c r="S68" i="39" s="1"/>
  <c r="S69" i="39" s="1"/>
  <c r="S70" i="39" s="1"/>
  <c r="S71" i="39" s="1"/>
  <c r="S72" i="39" s="1"/>
  <c r="S73" i="39" s="1"/>
  <c r="S74" i="39" s="1"/>
  <c r="V15" i="7"/>
  <c r="V16" i="7" s="1"/>
  <c r="V17" i="7" s="1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V35" i="7" s="1"/>
  <c r="V36" i="7" s="1"/>
  <c r="V37" i="7" s="1"/>
  <c r="V38" i="7" s="1"/>
  <c r="V39" i="7" s="1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V70" i="7" s="1"/>
  <c r="X69" i="7" s="1"/>
  <c r="L62" i="13"/>
  <c r="Q9" i="33"/>
  <c r="Z17" i="13"/>
  <c r="H6" i="30" s="1"/>
  <c r="Q42" i="33"/>
  <c r="L19" i="13"/>
  <c r="R18" i="13"/>
  <c r="S18" i="13"/>
  <c r="U18" i="13" s="1"/>
  <c r="V18" i="13" s="1"/>
  <c r="Y18" i="13" s="1"/>
  <c r="M47" i="4"/>
  <c r="L59" i="13"/>
  <c r="R58" i="13"/>
  <c r="Q50" i="33" s="1"/>
  <c r="D38" i="12"/>
  <c r="B39" i="12"/>
  <c r="C39" i="12" s="1"/>
  <c r="AD37" i="16"/>
  <c r="S50" i="13"/>
  <c r="AG44" i="12"/>
  <c r="AH44" i="12" s="1"/>
  <c r="G44" i="12"/>
  <c r="H44" i="12" s="1"/>
  <c r="I44" i="12"/>
  <c r="J45" i="12" s="1"/>
  <c r="K46" i="12" s="1"/>
  <c r="L47" i="12" s="1"/>
  <c r="M48" i="12" s="1"/>
  <c r="N49" i="12" s="1"/>
  <c r="O50" i="12" s="1"/>
  <c r="P51" i="12" s="1"/>
  <c r="Q52" i="12" s="1"/>
  <c r="R53" i="12" s="1"/>
  <c r="S54" i="12" s="1"/>
  <c r="T55" i="12" s="1"/>
  <c r="U56" i="12" s="1"/>
  <c r="V57" i="12" s="1"/>
  <c r="W58" i="12" s="1"/>
  <c r="X59" i="12" s="1"/>
  <c r="Y60" i="12" s="1"/>
  <c r="Z61" i="12" s="1"/>
  <c r="AA62" i="12" s="1"/>
  <c r="AC42" i="4"/>
  <c r="AD37" i="12"/>
  <c r="B39" i="16"/>
  <c r="C39" i="16" s="1"/>
  <c r="D38" i="16"/>
  <c r="M44" i="4"/>
  <c r="AB43" i="4"/>
  <c r="N24" i="33" s="1"/>
  <c r="AA19" i="7"/>
  <c r="AA20" i="7" s="1"/>
  <c r="AA21" i="7" s="1"/>
  <c r="AA22" i="7" s="1"/>
  <c r="AA23" i="7" s="1"/>
  <c r="AA24" i="7" s="1"/>
  <c r="AA25" i="7" s="1"/>
  <c r="AA26" i="7" s="1"/>
  <c r="AA27" i="7" s="1"/>
  <c r="AA28" i="7" s="1"/>
  <c r="AA29" i="7" s="1"/>
  <c r="AA30" i="7" s="1"/>
  <c r="AA31" i="7" s="1"/>
  <c r="AA32" i="7" s="1"/>
  <c r="AA33" i="7" s="1"/>
  <c r="AA34" i="7" s="1"/>
  <c r="AA35" i="7" s="1"/>
  <c r="AA36" i="7" s="1"/>
  <c r="AA37" i="7" s="1"/>
  <c r="AA38" i="7" s="1"/>
  <c r="AA39" i="7" s="1"/>
  <c r="AA40" i="7" s="1"/>
  <c r="AA41" i="7" s="1"/>
  <c r="AA42" i="7" s="1"/>
  <c r="AA43" i="7" s="1"/>
  <c r="AA44" i="7" s="1"/>
  <c r="AA45" i="7" s="1"/>
  <c r="AA46" i="7" s="1"/>
  <c r="AA47" i="7" s="1"/>
  <c r="AA48" i="7" s="1"/>
  <c r="AA49" i="7" s="1"/>
  <c r="AA50" i="7" s="1"/>
  <c r="AA51" i="7" s="1"/>
  <c r="AA52" i="7" s="1"/>
  <c r="AA53" i="7" s="1"/>
  <c r="AA54" i="7" s="1"/>
  <c r="AA55" i="7" s="1"/>
  <c r="AA56" i="7" s="1"/>
  <c r="AA57" i="7" s="1"/>
  <c r="AA58" i="7" s="1"/>
  <c r="AA59" i="7" s="1"/>
  <c r="AA60" i="7" s="1"/>
  <c r="AA61" i="7" s="1"/>
  <c r="AA62" i="7" s="1"/>
  <c r="AA63" i="7" s="1"/>
  <c r="AA64" i="7" s="1"/>
  <c r="AA65" i="7" s="1"/>
  <c r="AA66" i="7" s="1"/>
  <c r="AA67" i="7" s="1"/>
  <c r="AA68" i="7" s="1"/>
  <c r="AA69" i="7" s="1"/>
  <c r="AA70" i="7" s="1"/>
  <c r="AC15" i="7" s="1"/>
  <c r="AC59" i="7"/>
  <c r="AC49" i="7"/>
  <c r="AC13" i="7"/>
  <c r="G21" i="15"/>
  <c r="H21" i="15" s="1"/>
  <c r="J15" i="22" s="1"/>
  <c r="K21" i="15"/>
  <c r="J15" i="30" s="1"/>
  <c r="L52" i="13"/>
  <c r="R51" i="13"/>
  <c r="Q43" i="33" s="1"/>
  <c r="D37" i="4"/>
  <c r="B38" i="4"/>
  <c r="C38" i="4" s="1"/>
  <c r="N46" i="4"/>
  <c r="AG45" i="4"/>
  <c r="AH45" i="4" s="1"/>
  <c r="I43" i="12"/>
  <c r="J44" i="12" s="1"/>
  <c r="K45" i="12" s="1"/>
  <c r="L46" i="12" s="1"/>
  <c r="M47" i="12" s="1"/>
  <c r="N48" i="12" s="1"/>
  <c r="O49" i="12" s="1"/>
  <c r="P50" i="12" s="1"/>
  <c r="Q51" i="12" s="1"/>
  <c r="R52" i="12" s="1"/>
  <c r="S53" i="12" s="1"/>
  <c r="T54" i="12" s="1"/>
  <c r="U55" i="12" s="1"/>
  <c r="V56" i="12" s="1"/>
  <c r="W57" i="12" s="1"/>
  <c r="X58" i="12" s="1"/>
  <c r="Y59" i="12" s="1"/>
  <c r="Z60" i="12" s="1"/>
  <c r="AA61" i="12" s="1"/>
  <c r="AD36" i="4"/>
  <c r="AE36" i="4" s="1"/>
  <c r="AF36" i="4" s="1"/>
  <c r="AI36" i="4" s="1"/>
  <c r="D14" i="22" s="1"/>
  <c r="AJ36" i="4"/>
  <c r="D14" i="30" s="1"/>
  <c r="N11" i="34"/>
  <c r="AC20" i="37"/>
  <c r="AD20" i="37"/>
  <c r="B26" i="11"/>
  <c r="C26" i="11" s="1"/>
  <c r="D25" i="11"/>
  <c r="D22" i="15"/>
  <c r="B23" i="15"/>
  <c r="C23" i="15" s="1"/>
  <c r="I24" i="11"/>
  <c r="I18" i="30" s="1"/>
  <c r="G24" i="11"/>
  <c r="H24" i="11" s="1"/>
  <c r="I18" i="22" s="1"/>
  <c r="X19" i="37" l="1"/>
  <c r="W19" i="37"/>
  <c r="U19" i="37"/>
  <c r="V20" i="37" s="1"/>
  <c r="N45" i="7"/>
  <c r="AA19" i="37"/>
  <c r="AB19" i="37"/>
  <c r="Q25" i="33"/>
  <c r="N44" i="7"/>
  <c r="K35" i="13"/>
  <c r="R34" i="13"/>
  <c r="Q26" i="33" s="1"/>
  <c r="AC28" i="7"/>
  <c r="T26" i="13"/>
  <c r="U26" i="13" s="1"/>
  <c r="V26" i="13" s="1"/>
  <c r="Y26" i="13" s="1"/>
  <c r="H15" i="22" s="1"/>
  <c r="Z26" i="13"/>
  <c r="H15" i="30" s="1"/>
  <c r="AC36" i="7"/>
  <c r="B28" i="13"/>
  <c r="C28" i="13" s="1"/>
  <c r="D27" i="13"/>
  <c r="S51" i="13"/>
  <c r="AC20" i="7"/>
  <c r="AC16" i="7"/>
  <c r="AC61" i="7"/>
  <c r="K39" i="13"/>
  <c r="B38" i="17"/>
  <c r="C38" i="17" s="1"/>
  <c r="D37" i="17"/>
  <c r="AD37" i="17" s="1"/>
  <c r="AD38" i="16"/>
  <c r="D39" i="16"/>
  <c r="B40" i="16"/>
  <c r="C40" i="16" s="1"/>
  <c r="B40" i="12"/>
  <c r="C40" i="12" s="1"/>
  <c r="D39" i="12"/>
  <c r="X22" i="7"/>
  <c r="X6" i="7"/>
  <c r="X14" i="7"/>
  <c r="X45" i="7"/>
  <c r="X15" i="7"/>
  <c r="X30" i="7"/>
  <c r="X24" i="7"/>
  <c r="X26" i="7"/>
  <c r="X49" i="7"/>
  <c r="X3" i="7"/>
  <c r="X46" i="7"/>
  <c r="X41" i="7"/>
  <c r="X8" i="7"/>
  <c r="X40" i="7"/>
  <c r="X16" i="7"/>
  <c r="X38" i="7"/>
  <c r="X70" i="7"/>
  <c r="X43" i="7"/>
  <c r="X36" i="7"/>
  <c r="X58" i="7"/>
  <c r="X66" i="7"/>
  <c r="X27" i="7"/>
  <c r="X48" i="7"/>
  <c r="X54" i="7"/>
  <c r="X44" i="7"/>
  <c r="X63" i="7"/>
  <c r="X62" i="7"/>
  <c r="X35" i="7"/>
  <c r="X11" i="7"/>
  <c r="X52" i="7"/>
  <c r="X53" i="7"/>
  <c r="X20" i="7"/>
  <c r="X5" i="7"/>
  <c r="X34" i="7"/>
  <c r="X61" i="7"/>
  <c r="X4" i="7"/>
  <c r="X67" i="7"/>
  <c r="X23" i="7"/>
  <c r="X18" i="7"/>
  <c r="X65" i="7"/>
  <c r="X29" i="7"/>
  <c r="X39" i="7"/>
  <c r="X9" i="7"/>
  <c r="X51" i="7"/>
  <c r="X55" i="7"/>
  <c r="X47" i="7"/>
  <c r="X31" i="7"/>
  <c r="X17" i="7"/>
  <c r="X28" i="7"/>
  <c r="X7" i="7"/>
  <c r="X42" i="7"/>
  <c r="X21" i="7"/>
  <c r="X33" i="7"/>
  <c r="X50" i="7"/>
  <c r="X10" i="7"/>
  <c r="X60" i="7"/>
  <c r="X32" i="7"/>
  <c r="X64" i="7"/>
  <c r="X25" i="7"/>
  <c r="X19" i="7"/>
  <c r="X56" i="7"/>
  <c r="X13" i="7"/>
  <c r="X37" i="7"/>
  <c r="X59" i="7"/>
  <c r="N59" i="7"/>
  <c r="N18" i="7"/>
  <c r="N50" i="7"/>
  <c r="N27" i="7"/>
  <c r="N28" i="7"/>
  <c r="N19" i="7"/>
  <c r="N43" i="7"/>
  <c r="N48" i="7"/>
  <c r="N63" i="7"/>
  <c r="N39" i="7"/>
  <c r="N17" i="7"/>
  <c r="N31" i="7"/>
  <c r="N26" i="7"/>
  <c r="N33" i="7"/>
  <c r="N67" i="7"/>
  <c r="N68" i="7"/>
  <c r="N52" i="7"/>
  <c r="N14" i="7"/>
  <c r="N29" i="7"/>
  <c r="N30" i="7"/>
  <c r="N32" i="7"/>
  <c r="N10" i="7"/>
  <c r="N70" i="7"/>
  <c r="N69" i="7"/>
  <c r="N12" i="7"/>
  <c r="N21" i="7"/>
  <c r="N23" i="7"/>
  <c r="N16" i="7"/>
  <c r="N40" i="7"/>
  <c r="N38" i="7"/>
  <c r="N62" i="7"/>
  <c r="N35" i="7"/>
  <c r="N36" i="7"/>
  <c r="N42" i="7"/>
  <c r="N65" i="7"/>
  <c r="N34" i="7"/>
  <c r="N11" i="7"/>
  <c r="N22" i="7"/>
  <c r="N13" i="7"/>
  <c r="N66" i="7"/>
  <c r="N51" i="7"/>
  <c r="N64" i="7"/>
  <c r="N47" i="7"/>
  <c r="N20" i="7"/>
  <c r="N54" i="7"/>
  <c r="B24" i="15"/>
  <c r="C24" i="15" s="1"/>
  <c r="D23" i="15"/>
  <c r="D38" i="4"/>
  <c r="B39" i="4"/>
  <c r="C39" i="4" s="1"/>
  <c r="AC46" i="7"/>
  <c r="AD38" i="12"/>
  <c r="K22" i="15"/>
  <c r="J16" i="30" s="1"/>
  <c r="G22" i="15"/>
  <c r="H22" i="15" s="1"/>
  <c r="J16" i="22" s="1"/>
  <c r="AD37" i="4"/>
  <c r="AE37" i="4" s="1"/>
  <c r="AF37" i="4" s="1"/>
  <c r="AI37" i="4" s="1"/>
  <c r="D15" i="22" s="1"/>
  <c r="AJ37" i="4"/>
  <c r="D15" i="30" s="1"/>
  <c r="S58" i="13"/>
  <c r="E30" i="21"/>
  <c r="F30" i="21" s="1"/>
  <c r="B31" i="21"/>
  <c r="M60" i="13"/>
  <c r="R59" i="13"/>
  <c r="S59" i="13" s="1"/>
  <c r="Y20" i="37"/>
  <c r="Z20" i="37"/>
  <c r="M53" i="13"/>
  <c r="R52" i="13"/>
  <c r="Q44" i="33" s="1"/>
  <c r="S52" i="13"/>
  <c r="I25" i="11"/>
  <c r="I19" i="30" s="1"/>
  <c r="G25" i="11"/>
  <c r="H25" i="11" s="1"/>
  <c r="I19" i="22" s="1"/>
  <c r="N37" i="7"/>
  <c r="N48" i="4"/>
  <c r="M63" i="13"/>
  <c r="H7" i="22"/>
  <c r="D26" i="11"/>
  <c r="B27" i="11"/>
  <c r="C27" i="11" s="1"/>
  <c r="I45" i="12"/>
  <c r="J46" i="12" s="1"/>
  <c r="K47" i="12" s="1"/>
  <c r="L48" i="12" s="1"/>
  <c r="M49" i="12" s="1"/>
  <c r="N50" i="12" s="1"/>
  <c r="O51" i="12" s="1"/>
  <c r="P52" i="12" s="1"/>
  <c r="Q53" i="12" s="1"/>
  <c r="R54" i="12" s="1"/>
  <c r="S55" i="12" s="1"/>
  <c r="T56" i="12" s="1"/>
  <c r="U57" i="12" s="1"/>
  <c r="V58" i="12" s="1"/>
  <c r="W59" i="12" s="1"/>
  <c r="X60" i="12" s="1"/>
  <c r="Y61" i="12" s="1"/>
  <c r="Z62" i="12" s="1"/>
  <c r="AA63" i="12" s="1"/>
  <c r="Q10" i="33"/>
  <c r="Z18" i="13"/>
  <c r="H7" i="30" s="1"/>
  <c r="N25" i="7"/>
  <c r="T21" i="37"/>
  <c r="S21" i="37"/>
  <c r="AC18" i="7"/>
  <c r="AC30" i="7"/>
  <c r="AC24" i="7"/>
  <c r="AC70" i="7"/>
  <c r="AC7" i="7"/>
  <c r="AC27" i="7"/>
  <c r="AC50" i="7"/>
  <c r="AC66" i="7"/>
  <c r="AC62" i="7"/>
  <c r="AC60" i="7"/>
  <c r="AC34" i="7"/>
  <c r="AC55" i="7"/>
  <c r="AC68" i="7"/>
  <c r="AC63" i="7"/>
  <c r="AC43" i="7"/>
  <c r="AC41" i="7"/>
  <c r="AC53" i="7"/>
  <c r="AC14" i="7"/>
  <c r="AC9" i="7"/>
  <c r="AC3" i="7"/>
  <c r="AC19" i="7"/>
  <c r="AC69" i="7"/>
  <c r="AC33" i="7"/>
  <c r="AC31" i="7"/>
  <c r="AC29" i="7"/>
  <c r="AC57" i="7"/>
  <c r="AC47" i="7"/>
  <c r="AC23" i="7"/>
  <c r="AC38" i="7"/>
  <c r="AC5" i="7"/>
  <c r="AC6" i="7"/>
  <c r="AC51" i="7"/>
  <c r="AC44" i="7"/>
  <c r="AC65" i="7"/>
  <c r="AC10" i="7"/>
  <c r="AC37" i="7"/>
  <c r="AC8" i="7"/>
  <c r="AC39" i="7"/>
  <c r="AC25" i="7"/>
  <c r="AC54" i="7"/>
  <c r="AC26" i="7"/>
  <c r="AC52" i="7"/>
  <c r="AC17" i="7"/>
  <c r="AC35" i="7"/>
  <c r="AC11" i="7"/>
  <c r="AC12" i="7"/>
  <c r="AC22" i="7"/>
  <c r="AC58" i="7"/>
  <c r="AC32" i="7"/>
  <c r="AC42" i="7"/>
  <c r="AC4" i="7"/>
  <c r="AC45" i="7"/>
  <c r="AC56" i="7"/>
  <c r="AC48" i="7"/>
  <c r="AC67" i="7"/>
  <c r="AC21" i="37"/>
  <c r="AD21" i="37"/>
  <c r="O47" i="4"/>
  <c r="AG46" i="4"/>
  <c r="AH46" i="4" s="1"/>
  <c r="AC64" i="7"/>
  <c r="AC43" i="4"/>
  <c r="M20" i="13"/>
  <c r="R19" i="13"/>
  <c r="Q8" i="34" s="1"/>
  <c r="X12" i="7"/>
  <c r="N53" i="7"/>
  <c r="X68" i="7"/>
  <c r="N41" i="7"/>
  <c r="AC21" i="7"/>
  <c r="AC40" i="7"/>
  <c r="N45" i="4"/>
  <c r="AB44" i="4"/>
  <c r="AC44" i="4"/>
  <c r="X57" i="7"/>
  <c r="N49" i="7"/>
  <c r="B39" i="17" l="1"/>
  <c r="C39" i="17" s="1"/>
  <c r="D38" i="17"/>
  <c r="AD38" i="17" s="1"/>
  <c r="S34" i="13"/>
  <c r="L36" i="13"/>
  <c r="R35" i="13"/>
  <c r="Q27" i="33" s="1"/>
  <c r="S35" i="13"/>
  <c r="L40" i="13"/>
  <c r="AA20" i="37"/>
  <c r="AB20" i="37"/>
  <c r="Z27" i="13"/>
  <c r="H16" i="30" s="1"/>
  <c r="T27" i="13"/>
  <c r="U27" i="13" s="1"/>
  <c r="V27" i="13" s="1"/>
  <c r="Y27" i="13" s="1"/>
  <c r="H16" i="22" s="1"/>
  <c r="D28" i="13"/>
  <c r="B29" i="13"/>
  <c r="C29" i="13" s="1"/>
  <c r="X20" i="37"/>
  <c r="W20" i="37"/>
  <c r="U20" i="37"/>
  <c r="V21" i="37" s="1"/>
  <c r="N21" i="13"/>
  <c r="R20" i="13"/>
  <c r="S20" i="13" s="1"/>
  <c r="U20" i="13" s="1"/>
  <c r="V20" i="13" s="1"/>
  <c r="Y20" i="13" s="1"/>
  <c r="H9" i="22" s="1"/>
  <c r="F29" i="17"/>
  <c r="F60" i="17"/>
  <c r="F45" i="17"/>
  <c r="F62" i="17"/>
  <c r="F73" i="17"/>
  <c r="F77" i="17"/>
  <c r="F55" i="17"/>
  <c r="F41" i="17"/>
  <c r="F36" i="17"/>
  <c r="F64" i="17"/>
  <c r="F27" i="17"/>
  <c r="F28" i="17"/>
  <c r="F46" i="17"/>
  <c r="F74" i="17"/>
  <c r="F57" i="17"/>
  <c r="F42" i="17"/>
  <c r="F75" i="17"/>
  <c r="F37" i="17"/>
  <c r="F69" i="17"/>
  <c r="F67" i="17"/>
  <c r="F56" i="17"/>
  <c r="F71" i="17"/>
  <c r="F61" i="17"/>
  <c r="F78" i="17"/>
  <c r="F33" i="17"/>
  <c r="F53" i="17"/>
  <c r="F49" i="17"/>
  <c r="F50" i="17"/>
  <c r="F54" i="17"/>
  <c r="F52" i="17"/>
  <c r="F38" i="17"/>
  <c r="F43" i="17"/>
  <c r="F51" i="17"/>
  <c r="F31" i="17"/>
  <c r="F65" i="17"/>
  <c r="F40" i="17"/>
  <c r="F70" i="17"/>
  <c r="F35" i="17"/>
  <c r="F72" i="17"/>
  <c r="F68" i="17"/>
  <c r="F59" i="17"/>
  <c r="F76" i="17"/>
  <c r="F58" i="17"/>
  <c r="F47" i="17"/>
  <c r="F48" i="17"/>
  <c r="F30" i="17"/>
  <c r="F66" i="17"/>
  <c r="F32" i="17"/>
  <c r="F39" i="17"/>
  <c r="F34" i="17"/>
  <c r="F63" i="17"/>
  <c r="F44" i="17"/>
  <c r="I26" i="11"/>
  <c r="I20" i="30" s="1"/>
  <c r="G26" i="11"/>
  <c r="H26" i="11" s="1"/>
  <c r="I20" i="22" s="1"/>
  <c r="AD22" i="37"/>
  <c r="AC22" i="37"/>
  <c r="F73" i="12"/>
  <c r="F33" i="12"/>
  <c r="F66" i="12"/>
  <c r="F78" i="12"/>
  <c r="T22" i="37"/>
  <c r="S22" i="37"/>
  <c r="E31" i="21"/>
  <c r="F31" i="21" s="1"/>
  <c r="B32" i="21"/>
  <c r="B40" i="4"/>
  <c r="C40" i="4" s="1"/>
  <c r="D39" i="4"/>
  <c r="F69" i="12"/>
  <c r="F71" i="12"/>
  <c r="F63" i="12"/>
  <c r="F32" i="12"/>
  <c r="F65" i="12"/>
  <c r="F27" i="12"/>
  <c r="F77" i="12"/>
  <c r="F53" i="12"/>
  <c r="F51" i="12"/>
  <c r="F36" i="12"/>
  <c r="F50" i="12"/>
  <c r="F75" i="12"/>
  <c r="F52" i="12"/>
  <c r="F61" i="12"/>
  <c r="F67" i="12"/>
  <c r="F45" i="12"/>
  <c r="F46" i="12"/>
  <c r="F31" i="12"/>
  <c r="F74" i="12"/>
  <c r="F58" i="12"/>
  <c r="F35" i="12"/>
  <c r="F30" i="12"/>
  <c r="F55" i="12"/>
  <c r="F29" i="12"/>
  <c r="F56" i="12"/>
  <c r="F64" i="12"/>
  <c r="F28" i="12"/>
  <c r="F68" i="12"/>
  <c r="F62" i="12"/>
  <c r="F34" i="12"/>
  <c r="F54" i="12"/>
  <c r="F76" i="12"/>
  <c r="F60" i="12"/>
  <c r="F37" i="12"/>
  <c r="F47" i="12"/>
  <c r="F49" i="12"/>
  <c r="F57" i="12"/>
  <c r="F48" i="12"/>
  <c r="F59" i="12"/>
  <c r="F70" i="12"/>
  <c r="F72" i="12"/>
  <c r="AD38" i="4"/>
  <c r="AE38" i="4" s="1"/>
  <c r="AF38" i="4" s="1"/>
  <c r="AI38" i="4" s="1"/>
  <c r="D16" i="22" s="1"/>
  <c r="AJ38" i="4"/>
  <c r="D16" i="30" s="1"/>
  <c r="AD39" i="12"/>
  <c r="O46" i="4"/>
  <c r="AB45" i="4"/>
  <c r="N26" i="33" s="1"/>
  <c r="AC45" i="4"/>
  <c r="N64" i="13"/>
  <c r="G23" i="15"/>
  <c r="H23" i="15" s="1"/>
  <c r="J17" i="22" s="1"/>
  <c r="K23" i="15"/>
  <c r="J17" i="30" s="1"/>
  <c r="B41" i="12"/>
  <c r="C41" i="12" s="1"/>
  <c r="D40" i="12"/>
  <c r="N54" i="13"/>
  <c r="R53" i="13"/>
  <c r="S53" i="13"/>
  <c r="B25" i="15"/>
  <c r="C25" i="15" s="1"/>
  <c r="D24" i="15"/>
  <c r="B41" i="16"/>
  <c r="C41" i="16" s="1"/>
  <c r="D40" i="16"/>
  <c r="Q11" i="33"/>
  <c r="Z19" i="13"/>
  <c r="H8" i="30" s="1"/>
  <c r="AD39" i="16"/>
  <c r="N25" i="33"/>
  <c r="F61" i="16"/>
  <c r="F48" i="16"/>
  <c r="F64" i="16"/>
  <c r="F51" i="16"/>
  <c r="F77" i="16"/>
  <c r="F36" i="16"/>
  <c r="F47" i="16"/>
  <c r="F58" i="16"/>
  <c r="F53" i="16"/>
  <c r="F56" i="16"/>
  <c r="F71" i="16"/>
  <c r="F55" i="16"/>
  <c r="F72" i="16"/>
  <c r="F49" i="16"/>
  <c r="F60" i="16"/>
  <c r="F70" i="16"/>
  <c r="F33" i="16"/>
  <c r="F67" i="16"/>
  <c r="F65" i="16"/>
  <c r="F63" i="16"/>
  <c r="F28" i="16"/>
  <c r="F30" i="16"/>
  <c r="F44" i="16"/>
  <c r="F75" i="16"/>
  <c r="F59" i="16"/>
  <c r="F27" i="16"/>
  <c r="F43" i="16"/>
  <c r="F39" i="16"/>
  <c r="F54" i="16"/>
  <c r="F41" i="16"/>
  <c r="F78" i="16"/>
  <c r="F73" i="16"/>
  <c r="F76" i="16"/>
  <c r="F52" i="16"/>
  <c r="F32" i="16"/>
  <c r="F50" i="16"/>
  <c r="F62" i="16"/>
  <c r="F29" i="16"/>
  <c r="F69" i="16"/>
  <c r="F46" i="16"/>
  <c r="F57" i="16"/>
  <c r="F38" i="16"/>
  <c r="F35" i="16"/>
  <c r="F34" i="16"/>
  <c r="F66" i="16"/>
  <c r="F68" i="16"/>
  <c r="F45" i="16"/>
  <c r="F40" i="16"/>
  <c r="F37" i="16"/>
  <c r="F31" i="16"/>
  <c r="F42" i="16"/>
  <c r="F74" i="16"/>
  <c r="Q51" i="33"/>
  <c r="O49" i="4"/>
  <c r="S19" i="13"/>
  <c r="U19" i="13" s="1"/>
  <c r="V19" i="13" s="1"/>
  <c r="Y19" i="13" s="1"/>
  <c r="Z21" i="37"/>
  <c r="Y21" i="37"/>
  <c r="N61" i="13"/>
  <c r="R60" i="13"/>
  <c r="Q52" i="33" s="1"/>
  <c r="P48" i="4"/>
  <c r="AG47" i="4"/>
  <c r="AH47" i="4" s="1"/>
  <c r="D27" i="11"/>
  <c r="B28" i="11"/>
  <c r="C28" i="11" s="1"/>
  <c r="AA21" i="37" l="1"/>
  <c r="AB21" i="37"/>
  <c r="M41" i="13"/>
  <c r="X21" i="37"/>
  <c r="W21" i="37"/>
  <c r="M37" i="13"/>
  <c r="R36" i="13"/>
  <c r="G62" i="16"/>
  <c r="H62" i="16" s="1"/>
  <c r="U21" i="37"/>
  <c r="V22" i="37" s="1"/>
  <c r="B30" i="13"/>
  <c r="C30" i="13" s="1"/>
  <c r="D29" i="13"/>
  <c r="Z28" i="13"/>
  <c r="H17" i="30" s="1"/>
  <c r="T28" i="13"/>
  <c r="U28" i="13" s="1"/>
  <c r="V28" i="13" s="1"/>
  <c r="Y28" i="13" s="1"/>
  <c r="H17" i="22" s="1"/>
  <c r="B40" i="17"/>
  <c r="C40" i="17" s="1"/>
  <c r="D39" i="17"/>
  <c r="AD39" i="17" s="1"/>
  <c r="G31" i="16"/>
  <c r="H31" i="16" s="1"/>
  <c r="AG31" i="16"/>
  <c r="AH31" i="16" s="1"/>
  <c r="G50" i="16"/>
  <c r="H50" i="16" s="1"/>
  <c r="AG50" i="16"/>
  <c r="AH50" i="16" s="1"/>
  <c r="G30" i="16"/>
  <c r="H30" i="16" s="1"/>
  <c r="AG30" i="16"/>
  <c r="AH30" i="16" s="1"/>
  <c r="AG58" i="16"/>
  <c r="AH58" i="16" s="1"/>
  <c r="G58" i="16"/>
  <c r="H58" i="16" s="1"/>
  <c r="B42" i="12"/>
  <c r="C42" i="12" s="1"/>
  <c r="D41" i="12"/>
  <c r="AG68" i="12"/>
  <c r="AH68" i="12" s="1"/>
  <c r="G68" i="12"/>
  <c r="H68" i="12" s="1"/>
  <c r="AG61" i="12"/>
  <c r="AH61" i="12" s="1"/>
  <c r="G61" i="12"/>
  <c r="H61" i="12" s="1"/>
  <c r="AD39" i="4"/>
  <c r="AE39" i="4" s="1"/>
  <c r="AF39" i="4" s="1"/>
  <c r="AI39" i="4" s="1"/>
  <c r="AJ39" i="4"/>
  <c r="AG47" i="17"/>
  <c r="AH47" i="17" s="1"/>
  <c r="G47" i="17"/>
  <c r="H47" i="17" s="1"/>
  <c r="G52" i="17"/>
  <c r="H52" i="17" s="1"/>
  <c r="AG52" i="17"/>
  <c r="AH52" i="17" s="1"/>
  <c r="G42" i="17"/>
  <c r="H42" i="17" s="1"/>
  <c r="AG42" i="17"/>
  <c r="AH42" i="17" s="1"/>
  <c r="AG60" i="17"/>
  <c r="AH60" i="17" s="1"/>
  <c r="G60" i="17"/>
  <c r="H60" i="17" s="1"/>
  <c r="AG52" i="12"/>
  <c r="AH52" i="12" s="1"/>
  <c r="G52" i="12"/>
  <c r="H52" i="12" s="1"/>
  <c r="AG54" i="17"/>
  <c r="AH54" i="17" s="1"/>
  <c r="G54" i="17"/>
  <c r="H54" i="17" s="1"/>
  <c r="G57" i="17"/>
  <c r="H57" i="17" s="1"/>
  <c r="AG57" i="17"/>
  <c r="AH57" i="17" s="1"/>
  <c r="AG29" i="17"/>
  <c r="AH29" i="17" s="1"/>
  <c r="G29" i="17"/>
  <c r="H29" i="17" s="1"/>
  <c r="G36" i="16"/>
  <c r="H36" i="16" s="1"/>
  <c r="AG36" i="16"/>
  <c r="AH36" i="16" s="1"/>
  <c r="G70" i="12"/>
  <c r="H70" i="12" s="1"/>
  <c r="AG70" i="12"/>
  <c r="AH70" i="12" s="1"/>
  <c r="G64" i="12"/>
  <c r="H64" i="12" s="1"/>
  <c r="AG64" i="12"/>
  <c r="AH64" i="12" s="1"/>
  <c r="AG75" i="12"/>
  <c r="AH75" i="12" s="1"/>
  <c r="G75" i="12"/>
  <c r="H75" i="12" s="1"/>
  <c r="B33" i="21"/>
  <c r="E32" i="21"/>
  <c r="F32" i="21" s="1"/>
  <c r="AG76" i="17"/>
  <c r="AH76" i="17" s="1"/>
  <c r="G76" i="17"/>
  <c r="H76" i="17" s="1"/>
  <c r="AG50" i="17"/>
  <c r="AH50" i="17" s="1"/>
  <c r="G50" i="17"/>
  <c r="H50" i="17" s="1"/>
  <c r="G74" i="17"/>
  <c r="H74" i="17" s="1"/>
  <c r="AG74" i="17"/>
  <c r="AH74" i="17" s="1"/>
  <c r="AG59" i="12"/>
  <c r="AH59" i="12" s="1"/>
  <c r="G59" i="12"/>
  <c r="H59" i="12" s="1"/>
  <c r="G56" i="12"/>
  <c r="H56" i="12" s="1"/>
  <c r="AG56" i="12"/>
  <c r="AH56" i="12" s="1"/>
  <c r="AG50" i="12"/>
  <c r="AH50" i="12" s="1"/>
  <c r="G50" i="12"/>
  <c r="H50" i="12" s="1"/>
  <c r="G59" i="17"/>
  <c r="H59" i="17" s="1"/>
  <c r="AG59" i="17"/>
  <c r="AH59" i="17" s="1"/>
  <c r="AG49" i="17"/>
  <c r="AH49" i="17" s="1"/>
  <c r="G49" i="17"/>
  <c r="H49" i="17" s="1"/>
  <c r="G46" i="17"/>
  <c r="H46" i="17" s="1"/>
  <c r="AG46" i="17"/>
  <c r="AH46" i="17" s="1"/>
  <c r="AG53" i="17"/>
  <c r="AH53" i="17" s="1"/>
  <c r="G53" i="17"/>
  <c r="H53" i="17" s="1"/>
  <c r="G28" i="17"/>
  <c r="H28" i="17" s="1"/>
  <c r="AG28" i="17"/>
  <c r="AH28" i="17" s="1"/>
  <c r="Q12" i="33"/>
  <c r="Z20" i="13"/>
  <c r="H9" i="30" s="1"/>
  <c r="AG58" i="17"/>
  <c r="AH58" i="17" s="1"/>
  <c r="G58" i="17"/>
  <c r="H58" i="17" s="1"/>
  <c r="AG40" i="16"/>
  <c r="AH40" i="16" s="1"/>
  <c r="G40" i="16"/>
  <c r="H40" i="16" s="1"/>
  <c r="G77" i="16"/>
  <c r="H77" i="16" s="1"/>
  <c r="AG77" i="16"/>
  <c r="AH77" i="16" s="1"/>
  <c r="AG68" i="16"/>
  <c r="AH68" i="16" s="1"/>
  <c r="G68" i="16"/>
  <c r="H68" i="16" s="1"/>
  <c r="G51" i="16"/>
  <c r="H51" i="16" s="1"/>
  <c r="AG51" i="16"/>
  <c r="AH51" i="16" s="1"/>
  <c r="G68" i="17"/>
  <c r="H68" i="17" s="1"/>
  <c r="AG68" i="17"/>
  <c r="AH68" i="17" s="1"/>
  <c r="AD40" i="16"/>
  <c r="AG57" i="12"/>
  <c r="AH57" i="12" s="1"/>
  <c r="G57" i="12"/>
  <c r="H57" i="12" s="1"/>
  <c r="AG55" i="12"/>
  <c r="AH55" i="12" s="1"/>
  <c r="G55" i="12"/>
  <c r="H55" i="12" s="1"/>
  <c r="G51" i="12"/>
  <c r="H51" i="12" s="1"/>
  <c r="AG51" i="12"/>
  <c r="AH51" i="12" s="1"/>
  <c r="AG72" i="17"/>
  <c r="AH72" i="17" s="1"/>
  <c r="G72" i="17"/>
  <c r="H72" i="17" s="1"/>
  <c r="G33" i="17"/>
  <c r="H33" i="17" s="1"/>
  <c r="AG33" i="17"/>
  <c r="AH33" i="17" s="1"/>
  <c r="AG27" i="17"/>
  <c r="AH27" i="17" s="1"/>
  <c r="G27" i="17"/>
  <c r="H27" i="17" s="1"/>
  <c r="O22" i="13"/>
  <c r="R21" i="13"/>
  <c r="S21" i="13"/>
  <c r="U21" i="13" s="1"/>
  <c r="V21" i="13" s="1"/>
  <c r="Y21" i="13" s="1"/>
  <c r="H10" i="22" s="1"/>
  <c r="H8" i="22"/>
  <c r="G37" i="16"/>
  <c r="H37" i="16" s="1"/>
  <c r="AG37" i="16"/>
  <c r="AH37" i="16" s="1"/>
  <c r="G32" i="16"/>
  <c r="H32" i="16" s="1"/>
  <c r="AG32" i="16"/>
  <c r="AH32" i="16" s="1"/>
  <c r="G28" i="16"/>
  <c r="H28" i="16" s="1"/>
  <c r="AG28" i="16"/>
  <c r="AH28" i="16" s="1"/>
  <c r="G47" i="16"/>
  <c r="H47" i="16" s="1"/>
  <c r="AG47" i="16"/>
  <c r="AH47" i="16" s="1"/>
  <c r="G63" i="16"/>
  <c r="H63" i="16" s="1"/>
  <c r="S23" i="37"/>
  <c r="T23" i="37"/>
  <c r="G66" i="16"/>
  <c r="H66" i="16" s="1"/>
  <c r="G78" i="16"/>
  <c r="H78" i="16" s="1"/>
  <c r="AG78" i="16"/>
  <c r="AH78" i="16" s="1"/>
  <c r="AG33" i="16"/>
  <c r="AH33" i="16" s="1"/>
  <c r="G33" i="16"/>
  <c r="H33" i="16" s="1"/>
  <c r="G64" i="16"/>
  <c r="H64" i="16" s="1"/>
  <c r="I27" i="11"/>
  <c r="I21" i="30" s="1"/>
  <c r="G27" i="11"/>
  <c r="H27" i="11" s="1"/>
  <c r="I21" i="22" s="1"/>
  <c r="AG34" i="16"/>
  <c r="AH34" i="16" s="1"/>
  <c r="G34" i="16"/>
  <c r="H34" i="16" s="1"/>
  <c r="AG41" i="16"/>
  <c r="AH41" i="16" s="1"/>
  <c r="G41" i="16"/>
  <c r="H41" i="16" s="1"/>
  <c r="G70" i="16"/>
  <c r="H70" i="16" s="1"/>
  <c r="AG70" i="16"/>
  <c r="AH70" i="16" s="1"/>
  <c r="G48" i="16"/>
  <c r="H48" i="16" s="1"/>
  <c r="AG48" i="16"/>
  <c r="AH48" i="16" s="1"/>
  <c r="B42" i="16"/>
  <c r="C42" i="16" s="1"/>
  <c r="D41" i="16"/>
  <c r="G49" i="12"/>
  <c r="H49" i="12" s="1"/>
  <c r="AG49" i="12"/>
  <c r="AH49" i="12" s="1"/>
  <c r="AG30" i="12"/>
  <c r="AH30" i="12" s="1"/>
  <c r="G30" i="12"/>
  <c r="H30" i="12" s="1"/>
  <c r="AG53" i="12"/>
  <c r="AH53" i="12" s="1"/>
  <c r="G53" i="12"/>
  <c r="H53" i="12" s="1"/>
  <c r="AG78" i="12"/>
  <c r="AH78" i="12" s="1"/>
  <c r="G78" i="12"/>
  <c r="H78" i="12" s="1"/>
  <c r="G44" i="17"/>
  <c r="H44" i="17" s="1"/>
  <c r="AG44" i="17"/>
  <c r="AH44" i="17" s="1"/>
  <c r="G35" i="17"/>
  <c r="H35" i="17" s="1"/>
  <c r="AG35" i="17"/>
  <c r="AH35" i="17" s="1"/>
  <c r="G78" i="17"/>
  <c r="H78" i="17" s="1"/>
  <c r="AG78" i="17"/>
  <c r="AH78" i="17" s="1"/>
  <c r="G64" i="17"/>
  <c r="H64" i="17" s="1"/>
  <c r="G72" i="12"/>
  <c r="H72" i="12" s="1"/>
  <c r="AG72" i="12"/>
  <c r="AH72" i="12" s="1"/>
  <c r="AG52" i="16"/>
  <c r="AH52" i="16" s="1"/>
  <c r="G52" i="16"/>
  <c r="H52" i="16" s="1"/>
  <c r="AG76" i="16"/>
  <c r="AH76" i="16" s="1"/>
  <c r="G76" i="16"/>
  <c r="H76" i="16" s="1"/>
  <c r="O65" i="13"/>
  <c r="AG47" i="12"/>
  <c r="AH47" i="12" s="1"/>
  <c r="G47" i="12"/>
  <c r="H47" i="12" s="1"/>
  <c r="AG35" i="12"/>
  <c r="AH35" i="12" s="1"/>
  <c r="G35" i="12"/>
  <c r="H35" i="12" s="1"/>
  <c r="G77" i="12"/>
  <c r="H77" i="12" s="1"/>
  <c r="AG77" i="12"/>
  <c r="AH77" i="12" s="1"/>
  <c r="AG66" i="12"/>
  <c r="AH66" i="12" s="1"/>
  <c r="G66" i="12"/>
  <c r="H66" i="12" s="1"/>
  <c r="G63" i="17"/>
  <c r="H63" i="17" s="1"/>
  <c r="G70" i="17"/>
  <c r="H70" i="17" s="1"/>
  <c r="AG70" i="17"/>
  <c r="AH70" i="17" s="1"/>
  <c r="AG61" i="17"/>
  <c r="AH61" i="17" s="1"/>
  <c r="G61" i="17"/>
  <c r="H61" i="17" s="1"/>
  <c r="G36" i="17"/>
  <c r="H36" i="17" s="1"/>
  <c r="AG36" i="17"/>
  <c r="AH36" i="17" s="1"/>
  <c r="G28" i="12"/>
  <c r="H28" i="12" s="1"/>
  <c r="AG28" i="12"/>
  <c r="AH28" i="12" s="1"/>
  <c r="G45" i="16"/>
  <c r="H45" i="16" s="1"/>
  <c r="AG45" i="16"/>
  <c r="AH45" i="16" s="1"/>
  <c r="D25" i="15"/>
  <c r="B26" i="15"/>
  <c r="C26" i="15" s="1"/>
  <c r="G37" i="12"/>
  <c r="H37" i="12" s="1"/>
  <c r="AG37" i="12"/>
  <c r="AH37" i="12" s="1"/>
  <c r="AG58" i="12"/>
  <c r="AH58" i="12" s="1"/>
  <c r="G58" i="12"/>
  <c r="H58" i="12" s="1"/>
  <c r="G27" i="12"/>
  <c r="H27" i="12" s="1"/>
  <c r="AG27" i="12"/>
  <c r="AH27" i="12" s="1"/>
  <c r="AG33" i="12"/>
  <c r="AH33" i="12" s="1"/>
  <c r="G33" i="12"/>
  <c r="H33" i="12" s="1"/>
  <c r="G34" i="17"/>
  <c r="H34" i="17" s="1"/>
  <c r="AG34" i="17"/>
  <c r="AH34" i="17" s="1"/>
  <c r="AG40" i="17"/>
  <c r="AH40" i="17" s="1"/>
  <c r="G40" i="17"/>
  <c r="H40" i="17" s="1"/>
  <c r="G71" i="17"/>
  <c r="H71" i="17" s="1"/>
  <c r="AG71" i="17"/>
  <c r="AH71" i="17" s="1"/>
  <c r="G41" i="17"/>
  <c r="H41" i="17" s="1"/>
  <c r="AG41" i="17"/>
  <c r="AH41" i="17" s="1"/>
  <c r="G65" i="16"/>
  <c r="H65" i="16" s="1"/>
  <c r="AG73" i="16"/>
  <c r="AH73" i="16" s="1"/>
  <c r="G73" i="16"/>
  <c r="H73" i="16" s="1"/>
  <c r="AG48" i="12"/>
  <c r="AH48" i="12" s="1"/>
  <c r="G48" i="12"/>
  <c r="H48" i="12" s="1"/>
  <c r="AG29" i="12"/>
  <c r="AH29" i="12" s="1"/>
  <c r="G29" i="12"/>
  <c r="H29" i="12" s="1"/>
  <c r="AG60" i="12"/>
  <c r="AH60" i="12" s="1"/>
  <c r="G60" i="12"/>
  <c r="H60" i="12" s="1"/>
  <c r="AG74" i="12"/>
  <c r="AH74" i="12" s="1"/>
  <c r="G74" i="12"/>
  <c r="H74" i="12" s="1"/>
  <c r="G65" i="12"/>
  <c r="H65" i="12" s="1"/>
  <c r="AG65" i="12"/>
  <c r="AH65" i="12" s="1"/>
  <c r="AG73" i="12"/>
  <c r="AH73" i="12" s="1"/>
  <c r="G73" i="12"/>
  <c r="H73" i="12" s="1"/>
  <c r="AG39" i="17"/>
  <c r="AH39" i="17" s="1"/>
  <c r="G39" i="17"/>
  <c r="H39" i="17" s="1"/>
  <c r="G65" i="17"/>
  <c r="H65" i="17" s="1"/>
  <c r="AG56" i="17"/>
  <c r="AH56" i="17" s="1"/>
  <c r="G56" i="17"/>
  <c r="H56" i="17" s="1"/>
  <c r="AG55" i="17"/>
  <c r="AH55" i="17" s="1"/>
  <c r="G55" i="17"/>
  <c r="H55" i="17" s="1"/>
  <c r="AG32" i="12"/>
  <c r="AH32" i="12" s="1"/>
  <c r="G32" i="12"/>
  <c r="H32" i="12" s="1"/>
  <c r="AG32" i="17"/>
  <c r="AH32" i="17" s="1"/>
  <c r="G32" i="17"/>
  <c r="H32" i="17" s="1"/>
  <c r="G31" i="17"/>
  <c r="H31" i="17" s="1"/>
  <c r="AG31" i="17"/>
  <c r="AH31" i="17" s="1"/>
  <c r="G67" i="17"/>
  <c r="H67" i="17" s="1"/>
  <c r="AG67" i="17"/>
  <c r="AH67" i="17" s="1"/>
  <c r="G77" i="17"/>
  <c r="H77" i="17" s="1"/>
  <c r="AG77" i="17"/>
  <c r="AH77" i="17" s="1"/>
  <c r="D40" i="4"/>
  <c r="B41" i="4"/>
  <c r="C41" i="4" s="1"/>
  <c r="AG46" i="16"/>
  <c r="AH46" i="16" s="1"/>
  <c r="G46" i="16"/>
  <c r="H46" i="16" s="1"/>
  <c r="AG55" i="16"/>
  <c r="AH55" i="16" s="1"/>
  <c r="G55" i="16"/>
  <c r="H55" i="16" s="1"/>
  <c r="AG76" i="12"/>
  <c r="AH76" i="12" s="1"/>
  <c r="G76" i="12"/>
  <c r="H76" i="12" s="1"/>
  <c r="G59" i="16"/>
  <c r="H59" i="16" s="1"/>
  <c r="AG59" i="16"/>
  <c r="AH59" i="16" s="1"/>
  <c r="Q45" i="33"/>
  <c r="G46" i="12"/>
  <c r="H46" i="12" s="1"/>
  <c r="AG46" i="12"/>
  <c r="AH46" i="12" s="1"/>
  <c r="G51" i="17"/>
  <c r="H51" i="17" s="1"/>
  <c r="AG51" i="17"/>
  <c r="AH51" i="17" s="1"/>
  <c r="G69" i="17"/>
  <c r="H69" i="17" s="1"/>
  <c r="AG69" i="17"/>
  <c r="AH69" i="17" s="1"/>
  <c r="G27" i="16"/>
  <c r="H27" i="16" s="1"/>
  <c r="AG27" i="16"/>
  <c r="AH27" i="16" s="1"/>
  <c r="P47" i="4"/>
  <c r="AB46" i="4"/>
  <c r="N27" i="33" s="1"/>
  <c r="AC46" i="4"/>
  <c r="AG34" i="12"/>
  <c r="AH34" i="12" s="1"/>
  <c r="G34" i="12"/>
  <c r="H34" i="12" s="1"/>
  <c r="G45" i="12"/>
  <c r="H45" i="12" s="1"/>
  <c r="AG45" i="12"/>
  <c r="AH45" i="12" s="1"/>
  <c r="AG71" i="12"/>
  <c r="AH71" i="12" s="1"/>
  <c r="G71" i="12"/>
  <c r="H71" i="12" s="1"/>
  <c r="AG30" i="17"/>
  <c r="AH30" i="17" s="1"/>
  <c r="G30" i="17"/>
  <c r="H30" i="17" s="1"/>
  <c r="AG43" i="17"/>
  <c r="AH43" i="17" s="1"/>
  <c r="G43" i="17"/>
  <c r="H43" i="17" s="1"/>
  <c r="AG37" i="17"/>
  <c r="AH37" i="17" s="1"/>
  <c r="G37" i="17"/>
  <c r="H37" i="17" s="1"/>
  <c r="G62" i="17"/>
  <c r="H62" i="17" s="1"/>
  <c r="AG62" i="17" s="1"/>
  <c r="AH62" i="17" s="1"/>
  <c r="G67" i="16"/>
  <c r="H67" i="16" s="1"/>
  <c r="AG67" i="16"/>
  <c r="AH67" i="16" s="1"/>
  <c r="G36" i="12"/>
  <c r="H36" i="12" s="1"/>
  <c r="AG36" i="12"/>
  <c r="AH36" i="12" s="1"/>
  <c r="B29" i="11"/>
  <c r="C29" i="11" s="1"/>
  <c r="D28" i="11"/>
  <c r="P50" i="4"/>
  <c r="G35" i="16"/>
  <c r="H35" i="16" s="1"/>
  <c r="AG35" i="16"/>
  <c r="AH35" i="16" s="1"/>
  <c r="G54" i="16"/>
  <c r="H54" i="16" s="1"/>
  <c r="AG54" i="16"/>
  <c r="AH54" i="16" s="1"/>
  <c r="AG60" i="16"/>
  <c r="AH60" i="16" s="1"/>
  <c r="G60" i="16"/>
  <c r="H60" i="16" s="1"/>
  <c r="G61" i="16"/>
  <c r="H61" i="16" s="1"/>
  <c r="I62" i="16" s="1"/>
  <c r="AG61" i="16"/>
  <c r="AH61" i="16" s="1"/>
  <c r="G24" i="15"/>
  <c r="H24" i="15" s="1"/>
  <c r="J18" i="22" s="1"/>
  <c r="K24" i="15"/>
  <c r="J18" i="30" s="1"/>
  <c r="Q49" i="4"/>
  <c r="AG48" i="4"/>
  <c r="AH48" i="4" s="1"/>
  <c r="AG38" i="16"/>
  <c r="AH38" i="16" s="1"/>
  <c r="G38" i="16"/>
  <c r="H38" i="16" s="1"/>
  <c r="AG39" i="16"/>
  <c r="AH39" i="16" s="1"/>
  <c r="G39" i="16"/>
  <c r="H39" i="16" s="1"/>
  <c r="AG49" i="16"/>
  <c r="AH49" i="16" s="1"/>
  <c r="G49" i="16"/>
  <c r="H49" i="16" s="1"/>
  <c r="G57" i="16"/>
  <c r="H57" i="16" s="1"/>
  <c r="AG57" i="16"/>
  <c r="AH57" i="16" s="1"/>
  <c r="AG43" i="16"/>
  <c r="AH43" i="16" s="1"/>
  <c r="G43" i="16"/>
  <c r="H43" i="16" s="1"/>
  <c r="G72" i="16"/>
  <c r="H72" i="16" s="1"/>
  <c r="AG72" i="16"/>
  <c r="AH72" i="16" s="1"/>
  <c r="S60" i="13"/>
  <c r="AG31" i="12"/>
  <c r="AH31" i="12" s="1"/>
  <c r="G31" i="12"/>
  <c r="H31" i="12" s="1"/>
  <c r="O62" i="13"/>
  <c r="R61" i="13"/>
  <c r="AG69" i="16"/>
  <c r="AH69" i="16" s="1"/>
  <c r="G69" i="16"/>
  <c r="H69" i="16" s="1"/>
  <c r="AG71" i="16"/>
  <c r="AH71" i="16" s="1"/>
  <c r="G71" i="16"/>
  <c r="H71" i="16" s="1"/>
  <c r="G54" i="12"/>
  <c r="H54" i="12" s="1"/>
  <c r="AG54" i="12"/>
  <c r="AH54" i="12" s="1"/>
  <c r="G63" i="12"/>
  <c r="H63" i="12" s="1"/>
  <c r="AG63" i="12"/>
  <c r="AH63" i="12" s="1"/>
  <c r="G66" i="17"/>
  <c r="H66" i="17" s="1"/>
  <c r="G73" i="17"/>
  <c r="H73" i="17" s="1"/>
  <c r="AG73" i="17"/>
  <c r="AH73" i="17" s="1"/>
  <c r="AG74" i="16"/>
  <c r="AH74" i="16" s="1"/>
  <c r="G74" i="16"/>
  <c r="H74" i="16" s="1"/>
  <c r="AG29" i="16"/>
  <c r="AH29" i="16" s="1"/>
  <c r="G29" i="16"/>
  <c r="H29" i="16" s="1"/>
  <c r="AG75" i="16"/>
  <c r="AH75" i="16" s="1"/>
  <c r="G75" i="16"/>
  <c r="H75" i="16" s="1"/>
  <c r="AG56" i="16"/>
  <c r="AH56" i="16" s="1"/>
  <c r="G56" i="16"/>
  <c r="H56" i="16" s="1"/>
  <c r="O55" i="13"/>
  <c r="R54" i="13"/>
  <c r="Q46" i="33" s="1"/>
  <c r="Z22" i="37"/>
  <c r="Y22" i="37"/>
  <c r="G42" i="16"/>
  <c r="H42" i="16" s="1"/>
  <c r="AG42" i="16"/>
  <c r="AH42" i="16" s="1"/>
  <c r="G44" i="16"/>
  <c r="H44" i="16" s="1"/>
  <c r="AG44" i="16"/>
  <c r="AH44" i="16" s="1"/>
  <c r="AG53" i="16"/>
  <c r="AH53" i="16" s="1"/>
  <c r="G53" i="16"/>
  <c r="H53" i="16" s="1"/>
  <c r="AD40" i="12"/>
  <c r="G62" i="12"/>
  <c r="H62" i="12" s="1"/>
  <c r="AG62" i="12"/>
  <c r="AH62" i="12" s="1"/>
  <c r="G67" i="12"/>
  <c r="H67" i="12" s="1"/>
  <c r="AG67" i="12"/>
  <c r="AH67" i="12" s="1"/>
  <c r="AG69" i="12"/>
  <c r="AH69" i="12" s="1"/>
  <c r="G69" i="12"/>
  <c r="H69" i="12" s="1"/>
  <c r="AD23" i="37"/>
  <c r="AC23" i="37"/>
  <c r="AG48" i="17"/>
  <c r="AH48" i="17" s="1"/>
  <c r="G48" i="17"/>
  <c r="H48" i="17" s="1"/>
  <c r="G38" i="17"/>
  <c r="H38" i="17" s="1"/>
  <c r="AG38" i="17"/>
  <c r="AH38" i="17" s="1"/>
  <c r="AG75" i="17"/>
  <c r="AH75" i="17" s="1"/>
  <c r="G75" i="17"/>
  <c r="H75" i="17" s="1"/>
  <c r="AG45" i="17"/>
  <c r="AH45" i="17" s="1"/>
  <c r="G45" i="17"/>
  <c r="H45" i="17" s="1"/>
  <c r="AG62" i="16" l="1"/>
  <c r="AH62" i="16" s="1"/>
  <c r="Q28" i="33"/>
  <c r="Q12" i="34"/>
  <c r="S36" i="13"/>
  <c r="N38" i="13"/>
  <c r="R37" i="13"/>
  <c r="S37" i="13"/>
  <c r="W22" i="37"/>
  <c r="X22" i="37"/>
  <c r="U22" i="37"/>
  <c r="U23" i="37" s="1"/>
  <c r="D40" i="17"/>
  <c r="AD40" i="17" s="1"/>
  <c r="B41" i="17"/>
  <c r="C41" i="17" s="1"/>
  <c r="Q16" i="34"/>
  <c r="N42" i="13"/>
  <c r="Z29" i="13"/>
  <c r="H18" i="30" s="1"/>
  <c r="T29" i="13"/>
  <c r="U29" i="13" s="1"/>
  <c r="V29" i="13" s="1"/>
  <c r="Y29" i="13" s="1"/>
  <c r="H18" i="22" s="1"/>
  <c r="D30" i="13"/>
  <c r="B31" i="13"/>
  <c r="C31" i="13" s="1"/>
  <c r="AA22" i="37"/>
  <c r="AB22" i="37"/>
  <c r="I32" i="12"/>
  <c r="J33" i="12" s="1"/>
  <c r="K34" i="12" s="1"/>
  <c r="L35" i="12" s="1"/>
  <c r="M36" i="12" s="1"/>
  <c r="N37" i="12" s="1"/>
  <c r="O38" i="12" s="1"/>
  <c r="P39" i="12" s="1"/>
  <c r="Q40" i="12" s="1"/>
  <c r="R41" i="12" s="1"/>
  <c r="S42" i="12" s="1"/>
  <c r="T43" i="12" s="1"/>
  <c r="U44" i="12" s="1"/>
  <c r="V45" i="12" s="1"/>
  <c r="W46" i="12" s="1"/>
  <c r="X47" i="12" s="1"/>
  <c r="Y48" i="12" s="1"/>
  <c r="Z49" i="12" s="1"/>
  <c r="AA50" i="12" s="1"/>
  <c r="I31" i="17"/>
  <c r="J32" i="17" s="1"/>
  <c r="K33" i="17" s="1"/>
  <c r="L34" i="17" s="1"/>
  <c r="M35" i="17" s="1"/>
  <c r="N36" i="17" s="1"/>
  <c r="O37" i="17" s="1"/>
  <c r="P38" i="17" s="1"/>
  <c r="Q39" i="17" s="1"/>
  <c r="R40" i="17" s="1"/>
  <c r="S41" i="17" s="1"/>
  <c r="T42" i="17" s="1"/>
  <c r="U43" i="17" s="1"/>
  <c r="V44" i="17" s="1"/>
  <c r="W45" i="17" s="1"/>
  <c r="X46" i="17" s="1"/>
  <c r="Y47" i="17" s="1"/>
  <c r="Z48" i="17" s="1"/>
  <c r="AA49" i="17" s="1"/>
  <c r="I77" i="12"/>
  <c r="J78" i="12" s="1"/>
  <c r="K27" i="12" s="1"/>
  <c r="L28" i="12" s="1"/>
  <c r="M29" i="12" s="1"/>
  <c r="N30" i="12" s="1"/>
  <c r="O31" i="12" s="1"/>
  <c r="P32" i="12" s="1"/>
  <c r="Q33" i="12" s="1"/>
  <c r="R34" i="12" s="1"/>
  <c r="S35" i="12" s="1"/>
  <c r="T36" i="12" s="1"/>
  <c r="U37" i="12" s="1"/>
  <c r="V38" i="12" s="1"/>
  <c r="W39" i="12" s="1"/>
  <c r="X40" i="12" s="1"/>
  <c r="Y41" i="12" s="1"/>
  <c r="Z42" i="12" s="1"/>
  <c r="AA43" i="12" s="1"/>
  <c r="I74" i="12"/>
  <c r="J75" i="12" s="1"/>
  <c r="K76" i="12" s="1"/>
  <c r="L77" i="12" s="1"/>
  <c r="M78" i="12" s="1"/>
  <c r="N27" i="12" s="1"/>
  <c r="O28" i="12" s="1"/>
  <c r="P29" i="12" s="1"/>
  <c r="Q30" i="12" s="1"/>
  <c r="R31" i="12" s="1"/>
  <c r="S32" i="12" s="1"/>
  <c r="T33" i="12" s="1"/>
  <c r="U34" i="12" s="1"/>
  <c r="V35" i="12" s="1"/>
  <c r="W36" i="12" s="1"/>
  <c r="X37" i="12" s="1"/>
  <c r="Y38" i="12" s="1"/>
  <c r="Z39" i="12" s="1"/>
  <c r="AA40" i="12" s="1"/>
  <c r="I74" i="16"/>
  <c r="J75" i="16" s="1"/>
  <c r="K76" i="16" s="1"/>
  <c r="L77" i="16" s="1"/>
  <c r="M78" i="16" s="1"/>
  <c r="N27" i="16" s="1"/>
  <c r="O28" i="16" s="1"/>
  <c r="P29" i="16" s="1"/>
  <c r="Q30" i="16" s="1"/>
  <c r="R31" i="16" s="1"/>
  <c r="S32" i="16" s="1"/>
  <c r="T33" i="16" s="1"/>
  <c r="U34" i="16" s="1"/>
  <c r="V35" i="16" s="1"/>
  <c r="W36" i="16" s="1"/>
  <c r="X37" i="16" s="1"/>
  <c r="Y38" i="16" s="1"/>
  <c r="Z39" i="16" s="1"/>
  <c r="AA40" i="16" s="1"/>
  <c r="I65" i="16"/>
  <c r="J66" i="16" s="1"/>
  <c r="K67" i="16" s="1"/>
  <c r="L68" i="16" s="1"/>
  <c r="M69" i="16" s="1"/>
  <c r="N70" i="16" s="1"/>
  <c r="O71" i="16" s="1"/>
  <c r="P72" i="16" s="1"/>
  <c r="Q73" i="16" s="1"/>
  <c r="R74" i="16" s="1"/>
  <c r="S75" i="16" s="1"/>
  <c r="T76" i="16" s="1"/>
  <c r="U77" i="16" s="1"/>
  <c r="V78" i="16" s="1"/>
  <c r="W27" i="16" s="1"/>
  <c r="X28" i="16" s="1"/>
  <c r="Y29" i="16" s="1"/>
  <c r="Z30" i="16" s="1"/>
  <c r="AA31" i="16" s="1"/>
  <c r="I69" i="17"/>
  <c r="J70" i="17" s="1"/>
  <c r="K71" i="17" s="1"/>
  <c r="L72" i="17" s="1"/>
  <c r="M73" i="17" s="1"/>
  <c r="N74" i="17" s="1"/>
  <c r="O75" i="17" s="1"/>
  <c r="P76" i="17" s="1"/>
  <c r="Q77" i="17" s="1"/>
  <c r="R78" i="17" s="1"/>
  <c r="S27" i="17" s="1"/>
  <c r="T28" i="17" s="1"/>
  <c r="U29" i="17" s="1"/>
  <c r="V30" i="17" s="1"/>
  <c r="W31" i="17" s="1"/>
  <c r="X32" i="17" s="1"/>
  <c r="Y33" i="17" s="1"/>
  <c r="Z34" i="17" s="1"/>
  <c r="AA35" i="17" s="1"/>
  <c r="I57" i="12"/>
  <c r="J58" i="12" s="1"/>
  <c r="K59" i="12" s="1"/>
  <c r="L60" i="12" s="1"/>
  <c r="M61" i="12" s="1"/>
  <c r="N62" i="12" s="1"/>
  <c r="O63" i="12" s="1"/>
  <c r="P64" i="12" s="1"/>
  <c r="Q65" i="12" s="1"/>
  <c r="R66" i="12" s="1"/>
  <c r="S67" i="12" s="1"/>
  <c r="T68" i="12" s="1"/>
  <c r="U69" i="12" s="1"/>
  <c r="V70" i="12" s="1"/>
  <c r="W71" i="12" s="1"/>
  <c r="X72" i="12" s="1"/>
  <c r="Y73" i="12" s="1"/>
  <c r="Z74" i="12" s="1"/>
  <c r="AA75" i="12" s="1"/>
  <c r="Q51" i="4"/>
  <c r="I28" i="16"/>
  <c r="J29" i="16" s="1"/>
  <c r="K30" i="16" s="1"/>
  <c r="L31" i="16" s="1"/>
  <c r="M32" i="16" s="1"/>
  <c r="N33" i="16" s="1"/>
  <c r="O34" i="16" s="1"/>
  <c r="P35" i="16" s="1"/>
  <c r="Q36" i="16" s="1"/>
  <c r="R37" i="16" s="1"/>
  <c r="S38" i="16" s="1"/>
  <c r="T39" i="16" s="1"/>
  <c r="U40" i="16" s="1"/>
  <c r="V41" i="16" s="1"/>
  <c r="W42" i="16" s="1"/>
  <c r="X43" i="16" s="1"/>
  <c r="Y44" i="16" s="1"/>
  <c r="Z45" i="16" s="1"/>
  <c r="AA46" i="16" s="1"/>
  <c r="I32" i="17"/>
  <c r="J33" i="17" s="1"/>
  <c r="K34" i="17" s="1"/>
  <c r="L35" i="17" s="1"/>
  <c r="M36" i="17" s="1"/>
  <c r="N37" i="17" s="1"/>
  <c r="O38" i="17" s="1"/>
  <c r="P39" i="17" s="1"/>
  <c r="Q40" i="17" s="1"/>
  <c r="R41" i="17" s="1"/>
  <c r="S42" i="17" s="1"/>
  <c r="T43" i="17" s="1"/>
  <c r="U44" i="17" s="1"/>
  <c r="V45" i="17" s="1"/>
  <c r="W46" i="17" s="1"/>
  <c r="X47" i="17" s="1"/>
  <c r="Y48" i="17" s="1"/>
  <c r="Z49" i="17" s="1"/>
  <c r="AA50" i="17" s="1"/>
  <c r="I28" i="12"/>
  <c r="J29" i="12" s="1"/>
  <c r="K30" i="12" s="1"/>
  <c r="L31" i="12" s="1"/>
  <c r="M32" i="12" s="1"/>
  <c r="N33" i="12" s="1"/>
  <c r="O34" i="12" s="1"/>
  <c r="P35" i="12" s="1"/>
  <c r="Q36" i="12" s="1"/>
  <c r="R37" i="12" s="1"/>
  <c r="S38" i="12" s="1"/>
  <c r="T39" i="12" s="1"/>
  <c r="U40" i="12" s="1"/>
  <c r="V41" i="12" s="1"/>
  <c r="W42" i="12" s="1"/>
  <c r="X43" i="12" s="1"/>
  <c r="Y44" i="12" s="1"/>
  <c r="Z45" i="12" s="1"/>
  <c r="AA46" i="12" s="1"/>
  <c r="I48" i="12"/>
  <c r="J49" i="12" s="1"/>
  <c r="K50" i="12" s="1"/>
  <c r="L51" i="12" s="1"/>
  <c r="M52" i="12" s="1"/>
  <c r="N53" i="12" s="1"/>
  <c r="O54" i="12" s="1"/>
  <c r="P55" i="12" s="1"/>
  <c r="Q56" i="12" s="1"/>
  <c r="R57" i="12" s="1"/>
  <c r="S58" i="12" s="1"/>
  <c r="T59" i="12" s="1"/>
  <c r="U60" i="12" s="1"/>
  <c r="V61" i="12" s="1"/>
  <c r="W62" i="12" s="1"/>
  <c r="X63" i="12" s="1"/>
  <c r="Y64" i="12" s="1"/>
  <c r="Z65" i="12" s="1"/>
  <c r="AA66" i="12" s="1"/>
  <c r="I65" i="17"/>
  <c r="J66" i="17" s="1"/>
  <c r="K67" i="17" s="1"/>
  <c r="L68" i="17" s="1"/>
  <c r="M69" i="17" s="1"/>
  <c r="N70" i="17" s="1"/>
  <c r="O71" i="17" s="1"/>
  <c r="P72" i="17" s="1"/>
  <c r="Q73" i="17" s="1"/>
  <c r="R74" i="17" s="1"/>
  <c r="S75" i="17" s="1"/>
  <c r="T76" i="17" s="1"/>
  <c r="U77" i="17" s="1"/>
  <c r="V78" i="17" s="1"/>
  <c r="W27" i="17" s="1"/>
  <c r="X28" i="17" s="1"/>
  <c r="Y29" i="17" s="1"/>
  <c r="Z30" i="17" s="1"/>
  <c r="AA31" i="17" s="1"/>
  <c r="I50" i="12"/>
  <c r="J51" i="12" s="1"/>
  <c r="K52" i="12" s="1"/>
  <c r="L53" i="12" s="1"/>
  <c r="M54" i="12" s="1"/>
  <c r="N55" i="12" s="1"/>
  <c r="O56" i="12" s="1"/>
  <c r="P57" i="12" s="1"/>
  <c r="Q58" i="12" s="1"/>
  <c r="R59" i="12" s="1"/>
  <c r="S60" i="12" s="1"/>
  <c r="T61" i="12" s="1"/>
  <c r="U62" i="12" s="1"/>
  <c r="V63" i="12" s="1"/>
  <c r="W64" i="12" s="1"/>
  <c r="X65" i="12" s="1"/>
  <c r="Y66" i="12" s="1"/>
  <c r="Z67" i="12" s="1"/>
  <c r="AA68" i="12" s="1"/>
  <c r="I48" i="16"/>
  <c r="J49" i="16" s="1"/>
  <c r="K50" i="16" s="1"/>
  <c r="L51" i="16" s="1"/>
  <c r="M52" i="16" s="1"/>
  <c r="N53" i="16" s="1"/>
  <c r="O54" i="16" s="1"/>
  <c r="P55" i="16" s="1"/>
  <c r="Q56" i="16" s="1"/>
  <c r="R57" i="16" s="1"/>
  <c r="S58" i="16" s="1"/>
  <c r="T59" i="16" s="1"/>
  <c r="U60" i="16" s="1"/>
  <c r="V61" i="16" s="1"/>
  <c r="W62" i="16" s="1"/>
  <c r="X63" i="16" s="1"/>
  <c r="Y64" i="16" s="1"/>
  <c r="Z65" i="16" s="1"/>
  <c r="AA66" i="16" s="1"/>
  <c r="I29" i="17"/>
  <c r="J30" i="17" s="1"/>
  <c r="K31" i="17" s="1"/>
  <c r="L32" i="17" s="1"/>
  <c r="M33" i="17" s="1"/>
  <c r="N34" i="17" s="1"/>
  <c r="O35" i="17" s="1"/>
  <c r="P36" i="17" s="1"/>
  <c r="Q37" i="17" s="1"/>
  <c r="R38" i="17" s="1"/>
  <c r="S39" i="17" s="1"/>
  <c r="T40" i="17" s="1"/>
  <c r="U41" i="17" s="1"/>
  <c r="V42" i="17" s="1"/>
  <c r="W43" i="17" s="1"/>
  <c r="X44" i="17" s="1"/>
  <c r="Y45" i="17" s="1"/>
  <c r="Z46" i="17" s="1"/>
  <c r="AA47" i="17" s="1"/>
  <c r="I60" i="12"/>
  <c r="J61" i="12" s="1"/>
  <c r="K62" i="12" s="1"/>
  <c r="L63" i="12" s="1"/>
  <c r="M64" i="12" s="1"/>
  <c r="N65" i="12" s="1"/>
  <c r="O66" i="12" s="1"/>
  <c r="P67" i="12" s="1"/>
  <c r="Q68" i="12" s="1"/>
  <c r="R69" i="12" s="1"/>
  <c r="S70" i="12" s="1"/>
  <c r="T71" i="12" s="1"/>
  <c r="U72" i="12" s="1"/>
  <c r="V73" i="12" s="1"/>
  <c r="W74" i="12" s="1"/>
  <c r="X75" i="12" s="1"/>
  <c r="Y76" i="12" s="1"/>
  <c r="Z77" i="12" s="1"/>
  <c r="AA78" i="12" s="1"/>
  <c r="I61" i="17"/>
  <c r="J62" i="17" s="1"/>
  <c r="K63" i="17" s="1"/>
  <c r="L64" i="17" s="1"/>
  <c r="M65" i="17" s="1"/>
  <c r="N66" i="17" s="1"/>
  <c r="O67" i="17" s="1"/>
  <c r="P68" i="17" s="1"/>
  <c r="Q69" i="17" s="1"/>
  <c r="R70" i="17" s="1"/>
  <c r="S71" i="17" s="1"/>
  <c r="T72" i="17" s="1"/>
  <c r="U73" i="17" s="1"/>
  <c r="V74" i="17" s="1"/>
  <c r="W75" i="17" s="1"/>
  <c r="X76" i="17" s="1"/>
  <c r="Y77" i="17" s="1"/>
  <c r="Z78" i="17" s="1"/>
  <c r="AA27" i="17" s="1"/>
  <c r="I74" i="17"/>
  <c r="J75" i="17" s="1"/>
  <c r="K76" i="17" s="1"/>
  <c r="L77" i="17" s="1"/>
  <c r="M78" i="17" s="1"/>
  <c r="N27" i="17" s="1"/>
  <c r="O28" i="17" s="1"/>
  <c r="P29" i="17" s="1"/>
  <c r="Q30" i="17" s="1"/>
  <c r="R31" i="17" s="1"/>
  <c r="S32" i="17" s="1"/>
  <c r="T33" i="17" s="1"/>
  <c r="U34" i="17" s="1"/>
  <c r="V35" i="17" s="1"/>
  <c r="W36" i="17" s="1"/>
  <c r="X37" i="17" s="1"/>
  <c r="Y38" i="17" s="1"/>
  <c r="Z39" i="17" s="1"/>
  <c r="AA40" i="17" s="1"/>
  <c r="I76" i="17"/>
  <c r="J77" i="17" s="1"/>
  <c r="K78" i="17" s="1"/>
  <c r="L27" i="17" s="1"/>
  <c r="M28" i="17" s="1"/>
  <c r="N29" i="17" s="1"/>
  <c r="O30" i="17" s="1"/>
  <c r="P31" i="17" s="1"/>
  <c r="Q32" i="17" s="1"/>
  <c r="R33" i="17" s="1"/>
  <c r="S34" i="17" s="1"/>
  <c r="T35" i="17" s="1"/>
  <c r="U36" i="17" s="1"/>
  <c r="V37" i="17" s="1"/>
  <c r="W38" i="17" s="1"/>
  <c r="X39" i="17" s="1"/>
  <c r="Y40" i="17" s="1"/>
  <c r="Z41" i="17" s="1"/>
  <c r="AA42" i="17" s="1"/>
  <c r="I67" i="17"/>
  <c r="J68" i="17" s="1"/>
  <c r="K69" i="17" s="1"/>
  <c r="L70" i="17" s="1"/>
  <c r="M71" i="17" s="1"/>
  <c r="N72" i="17" s="1"/>
  <c r="O73" i="17" s="1"/>
  <c r="P74" i="17" s="1"/>
  <c r="Q75" i="17" s="1"/>
  <c r="R76" i="17" s="1"/>
  <c r="S77" i="17" s="1"/>
  <c r="T78" i="17" s="1"/>
  <c r="U27" i="17" s="1"/>
  <c r="V28" i="17" s="1"/>
  <c r="W29" i="17" s="1"/>
  <c r="X30" i="17" s="1"/>
  <c r="Y31" i="17" s="1"/>
  <c r="Z32" i="17" s="1"/>
  <c r="AA33" i="17" s="1"/>
  <c r="R50" i="4"/>
  <c r="AG49" i="4"/>
  <c r="AH49" i="4" s="1"/>
  <c r="I28" i="11"/>
  <c r="I22" i="30" s="1"/>
  <c r="G28" i="11"/>
  <c r="H28" i="11" s="1"/>
  <c r="I22" i="22" s="1"/>
  <c r="I59" i="12"/>
  <c r="J60" i="12" s="1"/>
  <c r="K61" i="12" s="1"/>
  <c r="L62" i="12" s="1"/>
  <c r="M63" i="12" s="1"/>
  <c r="N64" i="12" s="1"/>
  <c r="O65" i="12" s="1"/>
  <c r="P66" i="12" s="1"/>
  <c r="Q67" i="12" s="1"/>
  <c r="R68" i="12" s="1"/>
  <c r="S69" i="12" s="1"/>
  <c r="T70" i="12" s="1"/>
  <c r="U71" i="12" s="1"/>
  <c r="V72" i="12" s="1"/>
  <c r="W73" i="12" s="1"/>
  <c r="X74" i="12" s="1"/>
  <c r="Y75" i="12" s="1"/>
  <c r="Z76" i="12" s="1"/>
  <c r="AA77" i="12" s="1"/>
  <c r="I34" i="17"/>
  <c r="J35" i="17" s="1"/>
  <c r="K36" i="17" s="1"/>
  <c r="L37" i="17" s="1"/>
  <c r="M38" i="17" s="1"/>
  <c r="N39" i="17" s="1"/>
  <c r="O40" i="17" s="1"/>
  <c r="P41" i="17" s="1"/>
  <c r="Q42" i="17" s="1"/>
  <c r="R43" i="17" s="1"/>
  <c r="S44" i="17" s="1"/>
  <c r="T45" i="17" s="1"/>
  <c r="U46" i="17" s="1"/>
  <c r="V47" i="17" s="1"/>
  <c r="W48" i="17" s="1"/>
  <c r="X49" i="17" s="1"/>
  <c r="Y50" i="17" s="1"/>
  <c r="Z51" i="17" s="1"/>
  <c r="AA52" i="17" s="1"/>
  <c r="I54" i="17"/>
  <c r="J55" i="17" s="1"/>
  <c r="K56" i="17" s="1"/>
  <c r="L57" i="17" s="1"/>
  <c r="M58" i="17" s="1"/>
  <c r="N59" i="17" s="1"/>
  <c r="O60" i="17" s="1"/>
  <c r="P61" i="17" s="1"/>
  <c r="Q62" i="17" s="1"/>
  <c r="R63" i="17" s="1"/>
  <c r="S64" i="17" s="1"/>
  <c r="T65" i="17" s="1"/>
  <c r="U66" i="17" s="1"/>
  <c r="V67" i="17" s="1"/>
  <c r="W68" i="17" s="1"/>
  <c r="X69" i="17" s="1"/>
  <c r="Y70" i="17" s="1"/>
  <c r="Z71" i="17" s="1"/>
  <c r="AA72" i="17" s="1"/>
  <c r="I65" i="12"/>
  <c r="J66" i="12" s="1"/>
  <c r="K67" i="12" s="1"/>
  <c r="L68" i="12" s="1"/>
  <c r="M69" i="12" s="1"/>
  <c r="N70" i="12" s="1"/>
  <c r="O71" i="12" s="1"/>
  <c r="P72" i="12" s="1"/>
  <c r="Q73" i="12" s="1"/>
  <c r="R74" i="12" s="1"/>
  <c r="S75" i="12" s="1"/>
  <c r="T76" i="12" s="1"/>
  <c r="U77" i="12" s="1"/>
  <c r="V78" i="12" s="1"/>
  <c r="W27" i="12" s="1"/>
  <c r="X28" i="12" s="1"/>
  <c r="Y29" i="12" s="1"/>
  <c r="Z30" i="12" s="1"/>
  <c r="AA31" i="12" s="1"/>
  <c r="AD41" i="12"/>
  <c r="I70" i="12"/>
  <c r="J71" i="12" s="1"/>
  <c r="K72" i="12" s="1"/>
  <c r="L73" i="12" s="1"/>
  <c r="M74" i="12" s="1"/>
  <c r="N75" i="12" s="1"/>
  <c r="O76" i="12" s="1"/>
  <c r="P77" i="12" s="1"/>
  <c r="Q78" i="12" s="1"/>
  <c r="R27" i="12" s="1"/>
  <c r="S28" i="12" s="1"/>
  <c r="T29" i="12" s="1"/>
  <c r="U30" i="12" s="1"/>
  <c r="V31" i="12" s="1"/>
  <c r="W32" i="12" s="1"/>
  <c r="X33" i="12" s="1"/>
  <c r="Y34" i="12" s="1"/>
  <c r="Z35" i="12" s="1"/>
  <c r="AA36" i="12" s="1"/>
  <c r="I33" i="17"/>
  <c r="J34" i="17" s="1"/>
  <c r="K35" i="17" s="1"/>
  <c r="L36" i="17" s="1"/>
  <c r="M37" i="17" s="1"/>
  <c r="N38" i="17" s="1"/>
  <c r="O39" i="17" s="1"/>
  <c r="P40" i="17" s="1"/>
  <c r="Q41" i="17" s="1"/>
  <c r="R42" i="17" s="1"/>
  <c r="S43" i="17" s="1"/>
  <c r="T44" i="17" s="1"/>
  <c r="U45" i="17" s="1"/>
  <c r="V46" i="17" s="1"/>
  <c r="W47" i="17" s="1"/>
  <c r="X48" i="17" s="1"/>
  <c r="Y49" i="17" s="1"/>
  <c r="Z50" i="17" s="1"/>
  <c r="AA51" i="17" s="1"/>
  <c r="I37" i="17"/>
  <c r="J38" i="17" s="1"/>
  <c r="K39" i="17" s="1"/>
  <c r="L40" i="17" s="1"/>
  <c r="M41" i="17" s="1"/>
  <c r="N42" i="17" s="1"/>
  <c r="O43" i="17" s="1"/>
  <c r="P44" i="17" s="1"/>
  <c r="Q45" i="17" s="1"/>
  <c r="R46" i="17" s="1"/>
  <c r="S47" i="17" s="1"/>
  <c r="T48" i="17" s="1"/>
  <c r="U49" i="17" s="1"/>
  <c r="V50" i="17" s="1"/>
  <c r="W51" i="17" s="1"/>
  <c r="X52" i="17" s="1"/>
  <c r="Y53" i="17" s="1"/>
  <c r="Z54" i="17" s="1"/>
  <c r="AA55" i="17" s="1"/>
  <c r="AD41" i="16"/>
  <c r="I34" i="16"/>
  <c r="J35" i="16" s="1"/>
  <c r="K36" i="16" s="1"/>
  <c r="L37" i="16" s="1"/>
  <c r="M38" i="16" s="1"/>
  <c r="N39" i="16" s="1"/>
  <c r="O40" i="16" s="1"/>
  <c r="P41" i="16" s="1"/>
  <c r="Q42" i="16" s="1"/>
  <c r="R43" i="16" s="1"/>
  <c r="S44" i="16" s="1"/>
  <c r="T45" i="16" s="1"/>
  <c r="U46" i="16" s="1"/>
  <c r="V47" i="16" s="1"/>
  <c r="W48" i="16" s="1"/>
  <c r="X49" i="16" s="1"/>
  <c r="Y50" i="16" s="1"/>
  <c r="Z51" i="16" s="1"/>
  <c r="AA52" i="16" s="1"/>
  <c r="I52" i="16"/>
  <c r="J53" i="16" s="1"/>
  <c r="K54" i="16" s="1"/>
  <c r="L55" i="16" s="1"/>
  <c r="M56" i="16" s="1"/>
  <c r="N57" i="16" s="1"/>
  <c r="O58" i="16" s="1"/>
  <c r="P59" i="16" s="1"/>
  <c r="Q60" i="16" s="1"/>
  <c r="R61" i="16" s="1"/>
  <c r="S62" i="16" s="1"/>
  <c r="T63" i="16" s="1"/>
  <c r="U64" i="16" s="1"/>
  <c r="V65" i="16" s="1"/>
  <c r="W66" i="16" s="1"/>
  <c r="X67" i="16" s="1"/>
  <c r="Y68" i="16" s="1"/>
  <c r="Z69" i="16" s="1"/>
  <c r="AA70" i="16" s="1"/>
  <c r="S54" i="13"/>
  <c r="D29" i="11"/>
  <c r="B30" i="11"/>
  <c r="C30" i="11" s="1"/>
  <c r="I56" i="16"/>
  <c r="J57" i="16" s="1"/>
  <c r="K58" i="16" s="1"/>
  <c r="L59" i="16" s="1"/>
  <c r="M60" i="16" s="1"/>
  <c r="N61" i="16" s="1"/>
  <c r="O62" i="16" s="1"/>
  <c r="P63" i="16" s="1"/>
  <c r="Q64" i="16" s="1"/>
  <c r="R65" i="16" s="1"/>
  <c r="S66" i="16" s="1"/>
  <c r="T67" i="16" s="1"/>
  <c r="U68" i="16" s="1"/>
  <c r="V69" i="16" s="1"/>
  <c r="W70" i="16" s="1"/>
  <c r="X71" i="16" s="1"/>
  <c r="Y72" i="16" s="1"/>
  <c r="Z73" i="16" s="1"/>
  <c r="AA74" i="16" s="1"/>
  <c r="I66" i="12"/>
  <c r="J67" i="12" s="1"/>
  <c r="K68" i="12" s="1"/>
  <c r="L69" i="12" s="1"/>
  <c r="M70" i="12" s="1"/>
  <c r="N71" i="12" s="1"/>
  <c r="O72" i="12" s="1"/>
  <c r="P73" i="12" s="1"/>
  <c r="Q74" i="12" s="1"/>
  <c r="R75" i="12" s="1"/>
  <c r="S76" i="12" s="1"/>
  <c r="T77" i="12" s="1"/>
  <c r="U78" i="12" s="1"/>
  <c r="V27" i="12" s="1"/>
  <c r="W28" i="12" s="1"/>
  <c r="X29" i="12" s="1"/>
  <c r="Y30" i="12" s="1"/>
  <c r="Z31" i="12" s="1"/>
  <c r="AA32" i="12" s="1"/>
  <c r="I66" i="16"/>
  <c r="J67" i="16" s="1"/>
  <c r="K68" i="16" s="1"/>
  <c r="L69" i="16" s="1"/>
  <c r="M70" i="16" s="1"/>
  <c r="N71" i="16" s="1"/>
  <c r="O72" i="16" s="1"/>
  <c r="P73" i="16" s="1"/>
  <c r="Q74" i="16" s="1"/>
  <c r="R75" i="16" s="1"/>
  <c r="S76" i="16" s="1"/>
  <c r="T77" i="16" s="1"/>
  <c r="U78" i="16" s="1"/>
  <c r="V27" i="16" s="1"/>
  <c r="W28" i="16" s="1"/>
  <c r="X29" i="16" s="1"/>
  <c r="Y30" i="16" s="1"/>
  <c r="Z31" i="16" s="1"/>
  <c r="AA32" i="16" s="1"/>
  <c r="I62" i="17"/>
  <c r="J63" i="17" s="1"/>
  <c r="K64" i="17" s="1"/>
  <c r="L65" i="17" s="1"/>
  <c r="M66" i="17" s="1"/>
  <c r="N67" i="17" s="1"/>
  <c r="O68" i="17" s="1"/>
  <c r="P69" i="17" s="1"/>
  <c r="Q70" i="17" s="1"/>
  <c r="R71" i="17" s="1"/>
  <c r="S72" i="17" s="1"/>
  <c r="T73" i="17" s="1"/>
  <c r="U74" i="17" s="1"/>
  <c r="V75" i="17" s="1"/>
  <c r="W76" i="17" s="1"/>
  <c r="X77" i="17" s="1"/>
  <c r="Y78" i="17" s="1"/>
  <c r="Z27" i="17" s="1"/>
  <c r="AA28" i="17" s="1"/>
  <c r="I27" i="17"/>
  <c r="J28" i="17" s="1"/>
  <c r="K29" i="17" s="1"/>
  <c r="L30" i="17" s="1"/>
  <c r="M31" i="17" s="1"/>
  <c r="N32" i="17" s="1"/>
  <c r="O33" i="17" s="1"/>
  <c r="P34" i="17" s="1"/>
  <c r="Q35" i="17" s="1"/>
  <c r="R36" i="17" s="1"/>
  <c r="S37" i="17" s="1"/>
  <c r="T38" i="17" s="1"/>
  <c r="U39" i="17" s="1"/>
  <c r="V40" i="17" s="1"/>
  <c r="W41" i="17" s="1"/>
  <c r="X42" i="17" s="1"/>
  <c r="Y43" i="17" s="1"/>
  <c r="Z44" i="17" s="1"/>
  <c r="AA45" i="17" s="1"/>
  <c r="B43" i="16"/>
  <c r="C43" i="16" s="1"/>
  <c r="D42" i="16"/>
  <c r="I29" i="16"/>
  <c r="J30" i="16" s="1"/>
  <c r="K31" i="16" s="1"/>
  <c r="L32" i="16" s="1"/>
  <c r="M33" i="16" s="1"/>
  <c r="N34" i="16" s="1"/>
  <c r="O35" i="16" s="1"/>
  <c r="P36" i="16" s="1"/>
  <c r="Q37" i="16" s="1"/>
  <c r="R38" i="16" s="1"/>
  <c r="S39" i="16" s="1"/>
  <c r="T40" i="16" s="1"/>
  <c r="U41" i="16" s="1"/>
  <c r="V42" i="16" s="1"/>
  <c r="W43" i="16" s="1"/>
  <c r="X44" i="16" s="1"/>
  <c r="Y45" i="16" s="1"/>
  <c r="Z46" i="16" s="1"/>
  <c r="AA47" i="16" s="1"/>
  <c r="I73" i="17"/>
  <c r="J74" i="17" s="1"/>
  <c r="K75" i="17" s="1"/>
  <c r="L76" i="17" s="1"/>
  <c r="M77" i="17" s="1"/>
  <c r="N78" i="17" s="1"/>
  <c r="O27" i="17" s="1"/>
  <c r="P28" i="17" s="1"/>
  <c r="Q29" i="17" s="1"/>
  <c r="R30" i="17" s="1"/>
  <c r="S31" i="17" s="1"/>
  <c r="T32" i="17" s="1"/>
  <c r="U33" i="17" s="1"/>
  <c r="V34" i="17" s="1"/>
  <c r="W35" i="17" s="1"/>
  <c r="X36" i="17" s="1"/>
  <c r="Y37" i="17" s="1"/>
  <c r="Z38" i="17" s="1"/>
  <c r="AA39" i="17" s="1"/>
  <c r="I69" i="16"/>
  <c r="J70" i="16" s="1"/>
  <c r="K71" i="16" s="1"/>
  <c r="L72" i="16" s="1"/>
  <c r="M73" i="16" s="1"/>
  <c r="N74" i="16" s="1"/>
  <c r="O75" i="16" s="1"/>
  <c r="P76" i="16" s="1"/>
  <c r="Q77" i="16" s="1"/>
  <c r="R78" i="16" s="1"/>
  <c r="S27" i="16" s="1"/>
  <c r="T28" i="16" s="1"/>
  <c r="U29" i="16" s="1"/>
  <c r="V30" i="16" s="1"/>
  <c r="W31" i="16" s="1"/>
  <c r="X32" i="16" s="1"/>
  <c r="Y33" i="16" s="1"/>
  <c r="Z34" i="16" s="1"/>
  <c r="AA35" i="16" s="1"/>
  <c r="D42" i="12"/>
  <c r="B43" i="12"/>
  <c r="C43" i="12" s="1"/>
  <c r="I63" i="12"/>
  <c r="J64" i="12" s="1"/>
  <c r="K65" i="12" s="1"/>
  <c r="L66" i="12" s="1"/>
  <c r="M67" i="12" s="1"/>
  <c r="N68" i="12" s="1"/>
  <c r="O69" i="12" s="1"/>
  <c r="P70" i="12" s="1"/>
  <c r="Q71" i="12" s="1"/>
  <c r="R72" i="12" s="1"/>
  <c r="S73" i="12" s="1"/>
  <c r="T74" i="12" s="1"/>
  <c r="U75" i="12" s="1"/>
  <c r="V76" i="12" s="1"/>
  <c r="W77" i="12" s="1"/>
  <c r="X78" i="12" s="1"/>
  <c r="Y27" i="12" s="1"/>
  <c r="Z28" i="12" s="1"/>
  <c r="AA29" i="12" s="1"/>
  <c r="I33" i="12"/>
  <c r="J34" i="12" s="1"/>
  <c r="K35" i="12" s="1"/>
  <c r="L36" i="12" s="1"/>
  <c r="M37" i="12" s="1"/>
  <c r="N38" i="12" s="1"/>
  <c r="O39" i="12" s="1"/>
  <c r="P40" i="12" s="1"/>
  <c r="Q41" i="12" s="1"/>
  <c r="R42" i="12" s="1"/>
  <c r="S43" i="12" s="1"/>
  <c r="T44" i="12" s="1"/>
  <c r="U45" i="12" s="1"/>
  <c r="V46" i="12" s="1"/>
  <c r="W47" i="12" s="1"/>
  <c r="X48" i="12" s="1"/>
  <c r="Y49" i="12" s="1"/>
  <c r="Z50" i="12" s="1"/>
  <c r="AA51" i="12" s="1"/>
  <c r="I75" i="12"/>
  <c r="J76" i="12" s="1"/>
  <c r="K77" i="12" s="1"/>
  <c r="L78" i="12" s="1"/>
  <c r="M27" i="12" s="1"/>
  <c r="N28" i="12" s="1"/>
  <c r="O29" i="12" s="1"/>
  <c r="P30" i="12" s="1"/>
  <c r="Q31" i="12" s="1"/>
  <c r="R32" i="12" s="1"/>
  <c r="S33" i="12" s="1"/>
  <c r="T34" i="12" s="1"/>
  <c r="U35" i="12" s="1"/>
  <c r="V36" i="12" s="1"/>
  <c r="W37" i="12" s="1"/>
  <c r="X38" i="12" s="1"/>
  <c r="Y39" i="12" s="1"/>
  <c r="Z40" i="12" s="1"/>
  <c r="AA41" i="12" s="1"/>
  <c r="I71" i="12"/>
  <c r="J72" i="12" s="1"/>
  <c r="K73" i="12" s="1"/>
  <c r="L74" i="12" s="1"/>
  <c r="M75" i="12" s="1"/>
  <c r="N76" i="12" s="1"/>
  <c r="O77" i="12" s="1"/>
  <c r="P78" i="12" s="1"/>
  <c r="Q27" i="12" s="1"/>
  <c r="R28" i="12" s="1"/>
  <c r="S29" i="12" s="1"/>
  <c r="T30" i="12" s="1"/>
  <c r="U31" i="12" s="1"/>
  <c r="V32" i="12" s="1"/>
  <c r="W33" i="12" s="1"/>
  <c r="X34" i="12" s="1"/>
  <c r="Y35" i="12" s="1"/>
  <c r="Z36" i="12" s="1"/>
  <c r="AA37" i="12" s="1"/>
  <c r="I43" i="17"/>
  <c r="J44" i="17" s="1"/>
  <c r="K45" i="17" s="1"/>
  <c r="L46" i="17" s="1"/>
  <c r="M47" i="17" s="1"/>
  <c r="N48" i="17" s="1"/>
  <c r="O49" i="17" s="1"/>
  <c r="P50" i="17" s="1"/>
  <c r="Q51" i="17" s="1"/>
  <c r="R52" i="17" s="1"/>
  <c r="S53" i="17" s="1"/>
  <c r="T54" i="17" s="1"/>
  <c r="U55" i="17" s="1"/>
  <c r="V56" i="17" s="1"/>
  <c r="W57" i="17" s="1"/>
  <c r="X58" i="17" s="1"/>
  <c r="Y59" i="17" s="1"/>
  <c r="Z60" i="17" s="1"/>
  <c r="AA61" i="17" s="1"/>
  <c r="I59" i="16"/>
  <c r="J60" i="16" s="1"/>
  <c r="K61" i="16" s="1"/>
  <c r="L62" i="16" s="1"/>
  <c r="M63" i="16" s="1"/>
  <c r="N64" i="16" s="1"/>
  <c r="O65" i="16" s="1"/>
  <c r="P66" i="16" s="1"/>
  <c r="Q67" i="16" s="1"/>
  <c r="R68" i="16" s="1"/>
  <c r="S69" i="16" s="1"/>
  <c r="T70" i="16" s="1"/>
  <c r="U71" i="16" s="1"/>
  <c r="V72" i="16" s="1"/>
  <c r="W73" i="16" s="1"/>
  <c r="X74" i="16" s="1"/>
  <c r="Y75" i="16" s="1"/>
  <c r="Z76" i="16" s="1"/>
  <c r="AA77" i="16" s="1"/>
  <c r="I55" i="16"/>
  <c r="J56" i="16" s="1"/>
  <c r="K57" i="16" s="1"/>
  <c r="L58" i="16" s="1"/>
  <c r="M59" i="16" s="1"/>
  <c r="N60" i="16" s="1"/>
  <c r="O61" i="16" s="1"/>
  <c r="P62" i="16" s="1"/>
  <c r="Q63" i="16" s="1"/>
  <c r="R64" i="16" s="1"/>
  <c r="S65" i="16" s="1"/>
  <c r="T66" i="16" s="1"/>
  <c r="U67" i="16" s="1"/>
  <c r="V68" i="16" s="1"/>
  <c r="W69" i="16" s="1"/>
  <c r="X70" i="16" s="1"/>
  <c r="Y71" i="16" s="1"/>
  <c r="Z72" i="16" s="1"/>
  <c r="AA73" i="16" s="1"/>
  <c r="P56" i="13"/>
  <c r="R55" i="13"/>
  <c r="I72" i="12"/>
  <c r="J73" i="12" s="1"/>
  <c r="K74" i="12" s="1"/>
  <c r="L75" i="12" s="1"/>
  <c r="M76" i="12" s="1"/>
  <c r="N77" i="12" s="1"/>
  <c r="O78" i="12" s="1"/>
  <c r="P27" i="12" s="1"/>
  <c r="Q28" i="12" s="1"/>
  <c r="R29" i="12" s="1"/>
  <c r="S30" i="12" s="1"/>
  <c r="T31" i="12" s="1"/>
  <c r="U32" i="12" s="1"/>
  <c r="V33" i="12" s="1"/>
  <c r="W34" i="12" s="1"/>
  <c r="X35" i="12" s="1"/>
  <c r="Y36" i="12" s="1"/>
  <c r="Z37" i="12" s="1"/>
  <c r="AA38" i="12" s="1"/>
  <c r="I39" i="17"/>
  <c r="J40" i="17" s="1"/>
  <c r="K41" i="17" s="1"/>
  <c r="L42" i="17" s="1"/>
  <c r="M43" i="17" s="1"/>
  <c r="N44" i="17" s="1"/>
  <c r="O45" i="17" s="1"/>
  <c r="P46" i="17" s="1"/>
  <c r="Q47" i="17" s="1"/>
  <c r="R48" i="17" s="1"/>
  <c r="S49" i="17" s="1"/>
  <c r="T50" i="17" s="1"/>
  <c r="U51" i="17" s="1"/>
  <c r="V52" i="17" s="1"/>
  <c r="W53" i="17" s="1"/>
  <c r="X54" i="17" s="1"/>
  <c r="Y55" i="17" s="1"/>
  <c r="Z56" i="17" s="1"/>
  <c r="AA57" i="17" s="1"/>
  <c r="I57" i="16"/>
  <c r="J58" i="16" s="1"/>
  <c r="K59" i="16" s="1"/>
  <c r="L60" i="16" s="1"/>
  <c r="M61" i="16" s="1"/>
  <c r="N62" i="16" s="1"/>
  <c r="O63" i="16" s="1"/>
  <c r="P64" i="16" s="1"/>
  <c r="Q65" i="16" s="1"/>
  <c r="R66" i="16" s="1"/>
  <c r="S67" i="16" s="1"/>
  <c r="T68" i="16" s="1"/>
  <c r="U69" i="16" s="1"/>
  <c r="V70" i="16" s="1"/>
  <c r="W71" i="16" s="1"/>
  <c r="X72" i="16" s="1"/>
  <c r="Y73" i="16" s="1"/>
  <c r="Z74" i="16" s="1"/>
  <c r="AA75" i="16" s="1"/>
  <c r="I44" i="16"/>
  <c r="J45" i="16" s="1"/>
  <c r="K46" i="16" s="1"/>
  <c r="L47" i="16" s="1"/>
  <c r="M48" i="16" s="1"/>
  <c r="N49" i="16" s="1"/>
  <c r="O50" i="16" s="1"/>
  <c r="P51" i="16" s="1"/>
  <c r="Q52" i="16" s="1"/>
  <c r="R53" i="16" s="1"/>
  <c r="S54" i="16" s="1"/>
  <c r="T55" i="16" s="1"/>
  <c r="U56" i="16" s="1"/>
  <c r="V57" i="16" s="1"/>
  <c r="W58" i="16" s="1"/>
  <c r="X59" i="16" s="1"/>
  <c r="Y60" i="16" s="1"/>
  <c r="Z61" i="16" s="1"/>
  <c r="AA62" i="16" s="1"/>
  <c r="I37" i="12"/>
  <c r="J38" i="12" s="1"/>
  <c r="K39" i="12" s="1"/>
  <c r="L40" i="12" s="1"/>
  <c r="M41" i="12" s="1"/>
  <c r="N42" i="12" s="1"/>
  <c r="O43" i="12" s="1"/>
  <c r="P44" i="12" s="1"/>
  <c r="Q45" i="12" s="1"/>
  <c r="R46" i="12" s="1"/>
  <c r="S47" i="12" s="1"/>
  <c r="T48" i="12" s="1"/>
  <c r="U49" i="12" s="1"/>
  <c r="V50" i="12" s="1"/>
  <c r="W51" i="12" s="1"/>
  <c r="X52" i="12" s="1"/>
  <c r="Y53" i="12" s="1"/>
  <c r="Z54" i="12" s="1"/>
  <c r="AA55" i="12" s="1"/>
  <c r="I70" i="17"/>
  <c r="J71" i="17" s="1"/>
  <c r="K72" i="17" s="1"/>
  <c r="L73" i="17" s="1"/>
  <c r="M74" i="17" s="1"/>
  <c r="N75" i="17" s="1"/>
  <c r="O76" i="17" s="1"/>
  <c r="P77" i="17" s="1"/>
  <c r="Q78" i="17" s="1"/>
  <c r="R27" i="17" s="1"/>
  <c r="S28" i="17" s="1"/>
  <c r="T29" i="17" s="1"/>
  <c r="U30" i="17" s="1"/>
  <c r="V31" i="17" s="1"/>
  <c r="W32" i="17" s="1"/>
  <c r="X33" i="17" s="1"/>
  <c r="Y34" i="17" s="1"/>
  <c r="Z35" i="17" s="1"/>
  <c r="AA36" i="17" s="1"/>
  <c r="I47" i="16"/>
  <c r="J48" i="16" s="1"/>
  <c r="K49" i="16" s="1"/>
  <c r="L50" i="16" s="1"/>
  <c r="M51" i="16" s="1"/>
  <c r="N52" i="16" s="1"/>
  <c r="O53" i="16" s="1"/>
  <c r="P54" i="16" s="1"/>
  <c r="Q55" i="16" s="1"/>
  <c r="R56" i="16" s="1"/>
  <c r="S57" i="16" s="1"/>
  <c r="T58" i="16" s="1"/>
  <c r="U59" i="16" s="1"/>
  <c r="V60" i="16" s="1"/>
  <c r="W61" i="16" s="1"/>
  <c r="X62" i="16" s="1"/>
  <c r="Y63" i="16" s="1"/>
  <c r="Z64" i="16" s="1"/>
  <c r="AA65" i="16" s="1"/>
  <c r="I42" i="17"/>
  <c r="J43" i="17" s="1"/>
  <c r="K44" i="17" s="1"/>
  <c r="L45" i="17" s="1"/>
  <c r="M46" i="17" s="1"/>
  <c r="N47" i="17" s="1"/>
  <c r="O48" i="17" s="1"/>
  <c r="P49" i="17" s="1"/>
  <c r="Q50" i="17" s="1"/>
  <c r="R51" i="17" s="1"/>
  <c r="S52" i="17" s="1"/>
  <c r="T53" i="17" s="1"/>
  <c r="U54" i="17" s="1"/>
  <c r="V55" i="17" s="1"/>
  <c r="W56" i="17" s="1"/>
  <c r="X57" i="17" s="1"/>
  <c r="Y58" i="17" s="1"/>
  <c r="Z59" i="17" s="1"/>
  <c r="AA60" i="17" s="1"/>
  <c r="I38" i="12"/>
  <c r="P66" i="13"/>
  <c r="R65" i="13"/>
  <c r="Q57" i="33" s="1"/>
  <c r="S65" i="13"/>
  <c r="I36" i="17"/>
  <c r="J37" i="17" s="1"/>
  <c r="K38" i="17" s="1"/>
  <c r="L39" i="17" s="1"/>
  <c r="M40" i="17" s="1"/>
  <c r="N41" i="17" s="1"/>
  <c r="O42" i="17" s="1"/>
  <c r="P43" i="17" s="1"/>
  <c r="Q44" i="17" s="1"/>
  <c r="R45" i="17" s="1"/>
  <c r="S46" i="17" s="1"/>
  <c r="T47" i="17" s="1"/>
  <c r="U48" i="17" s="1"/>
  <c r="V49" i="17" s="1"/>
  <c r="W50" i="17" s="1"/>
  <c r="X51" i="17" s="1"/>
  <c r="Y52" i="17" s="1"/>
  <c r="Z53" i="17" s="1"/>
  <c r="AA54" i="17" s="1"/>
  <c r="I49" i="16"/>
  <c r="J50" i="16" s="1"/>
  <c r="K51" i="16" s="1"/>
  <c r="L52" i="16" s="1"/>
  <c r="M53" i="16" s="1"/>
  <c r="N54" i="16" s="1"/>
  <c r="O55" i="16" s="1"/>
  <c r="P56" i="16" s="1"/>
  <c r="Q57" i="16" s="1"/>
  <c r="R58" i="16" s="1"/>
  <c r="S59" i="16" s="1"/>
  <c r="T60" i="16" s="1"/>
  <c r="U61" i="16" s="1"/>
  <c r="V62" i="16" s="1"/>
  <c r="W63" i="16" s="1"/>
  <c r="X64" i="16" s="1"/>
  <c r="Y65" i="16" s="1"/>
  <c r="Z66" i="16" s="1"/>
  <c r="AA67" i="16" s="1"/>
  <c r="I27" i="16"/>
  <c r="J28" i="16" s="1"/>
  <c r="K29" i="16" s="1"/>
  <c r="L30" i="16" s="1"/>
  <c r="M31" i="16" s="1"/>
  <c r="N32" i="16" s="1"/>
  <c r="O33" i="16" s="1"/>
  <c r="P34" i="16" s="1"/>
  <c r="Q35" i="16" s="1"/>
  <c r="R36" i="16" s="1"/>
  <c r="S37" i="16" s="1"/>
  <c r="T38" i="16" s="1"/>
  <c r="U39" i="16" s="1"/>
  <c r="V40" i="16" s="1"/>
  <c r="W41" i="16" s="1"/>
  <c r="X42" i="16" s="1"/>
  <c r="Y43" i="16" s="1"/>
  <c r="Z44" i="16" s="1"/>
  <c r="AA45" i="16" s="1"/>
  <c r="I33" i="16"/>
  <c r="J34" i="16" s="1"/>
  <c r="K35" i="16" s="1"/>
  <c r="L36" i="16" s="1"/>
  <c r="M37" i="16" s="1"/>
  <c r="N38" i="16" s="1"/>
  <c r="O39" i="16" s="1"/>
  <c r="P40" i="16" s="1"/>
  <c r="Q41" i="16" s="1"/>
  <c r="R42" i="16" s="1"/>
  <c r="S43" i="16" s="1"/>
  <c r="T44" i="16" s="1"/>
  <c r="U45" i="16" s="1"/>
  <c r="V46" i="16" s="1"/>
  <c r="W47" i="16" s="1"/>
  <c r="X48" i="16" s="1"/>
  <c r="Y49" i="16" s="1"/>
  <c r="Z50" i="16" s="1"/>
  <c r="AA51" i="16" s="1"/>
  <c r="I47" i="17"/>
  <c r="J48" i="17" s="1"/>
  <c r="K49" i="17" s="1"/>
  <c r="L50" i="17" s="1"/>
  <c r="M51" i="17" s="1"/>
  <c r="N52" i="17" s="1"/>
  <c r="O53" i="17" s="1"/>
  <c r="P54" i="17" s="1"/>
  <c r="Q55" i="17" s="1"/>
  <c r="R56" i="17" s="1"/>
  <c r="S57" i="17" s="1"/>
  <c r="T58" i="17" s="1"/>
  <c r="U59" i="17" s="1"/>
  <c r="V60" i="17" s="1"/>
  <c r="W61" i="17" s="1"/>
  <c r="X62" i="17" s="1"/>
  <c r="Y63" i="17" s="1"/>
  <c r="Z64" i="17" s="1"/>
  <c r="AA65" i="17" s="1"/>
  <c r="I64" i="12"/>
  <c r="J65" i="12" s="1"/>
  <c r="K66" i="12" s="1"/>
  <c r="L67" i="12" s="1"/>
  <c r="M68" i="12" s="1"/>
  <c r="N69" i="12" s="1"/>
  <c r="O70" i="12" s="1"/>
  <c r="P71" i="12" s="1"/>
  <c r="Q72" i="12" s="1"/>
  <c r="R73" i="12" s="1"/>
  <c r="S74" i="12" s="1"/>
  <c r="T75" i="12" s="1"/>
  <c r="U76" i="12" s="1"/>
  <c r="V77" i="12" s="1"/>
  <c r="W78" i="12" s="1"/>
  <c r="X27" i="12" s="1"/>
  <c r="Y28" i="12" s="1"/>
  <c r="Z29" i="12" s="1"/>
  <c r="AA30" i="12" s="1"/>
  <c r="I73" i="16"/>
  <c r="J74" i="16" s="1"/>
  <c r="K75" i="16" s="1"/>
  <c r="L76" i="16" s="1"/>
  <c r="M77" i="16" s="1"/>
  <c r="N78" i="16" s="1"/>
  <c r="O27" i="16" s="1"/>
  <c r="P28" i="16" s="1"/>
  <c r="Q29" i="16" s="1"/>
  <c r="R30" i="16" s="1"/>
  <c r="S31" i="16" s="1"/>
  <c r="T32" i="16" s="1"/>
  <c r="U33" i="16" s="1"/>
  <c r="V34" i="16" s="1"/>
  <c r="W35" i="16" s="1"/>
  <c r="X36" i="16" s="1"/>
  <c r="Y37" i="16" s="1"/>
  <c r="Z38" i="16" s="1"/>
  <c r="AA39" i="16" s="1"/>
  <c r="I49" i="17"/>
  <c r="J50" i="17" s="1"/>
  <c r="K51" i="17" s="1"/>
  <c r="L52" i="17" s="1"/>
  <c r="M53" i="17" s="1"/>
  <c r="N54" i="17" s="1"/>
  <c r="O55" i="17" s="1"/>
  <c r="P56" i="17" s="1"/>
  <c r="Q57" i="17" s="1"/>
  <c r="R58" i="17" s="1"/>
  <c r="S59" i="17" s="1"/>
  <c r="T60" i="17" s="1"/>
  <c r="U61" i="17" s="1"/>
  <c r="V62" i="17" s="1"/>
  <c r="W63" i="17" s="1"/>
  <c r="X64" i="17" s="1"/>
  <c r="Y65" i="17" s="1"/>
  <c r="Z66" i="17" s="1"/>
  <c r="AA67" i="17" s="1"/>
  <c r="I54" i="16"/>
  <c r="J55" i="16" s="1"/>
  <c r="K56" i="16" s="1"/>
  <c r="L57" i="16" s="1"/>
  <c r="M58" i="16" s="1"/>
  <c r="N59" i="16" s="1"/>
  <c r="O60" i="16" s="1"/>
  <c r="P61" i="16" s="1"/>
  <c r="Q62" i="16" s="1"/>
  <c r="R63" i="16" s="1"/>
  <c r="S64" i="16" s="1"/>
  <c r="T65" i="16" s="1"/>
  <c r="U66" i="16" s="1"/>
  <c r="V67" i="16" s="1"/>
  <c r="W68" i="16" s="1"/>
  <c r="X69" i="16" s="1"/>
  <c r="Y70" i="16" s="1"/>
  <c r="Z71" i="16" s="1"/>
  <c r="AA72" i="16" s="1"/>
  <c r="I55" i="12"/>
  <c r="J56" i="12" s="1"/>
  <c r="K57" i="12" s="1"/>
  <c r="L58" i="12" s="1"/>
  <c r="M59" i="12" s="1"/>
  <c r="N60" i="12" s="1"/>
  <c r="O61" i="12" s="1"/>
  <c r="P62" i="12" s="1"/>
  <c r="Q63" i="12" s="1"/>
  <c r="R64" i="12" s="1"/>
  <c r="S65" i="12" s="1"/>
  <c r="T66" i="12" s="1"/>
  <c r="U67" i="12" s="1"/>
  <c r="V68" i="12" s="1"/>
  <c r="W69" i="12" s="1"/>
  <c r="X70" i="12" s="1"/>
  <c r="Y71" i="12" s="1"/>
  <c r="Z72" i="12" s="1"/>
  <c r="AA73" i="12" s="1"/>
  <c r="J63" i="16"/>
  <c r="K64" i="16" s="1"/>
  <c r="L65" i="16" s="1"/>
  <c r="M66" i="16" s="1"/>
  <c r="N67" i="16" s="1"/>
  <c r="O68" i="16" s="1"/>
  <c r="P69" i="16" s="1"/>
  <c r="Q70" i="16" s="1"/>
  <c r="R71" i="16" s="1"/>
  <c r="S72" i="16" s="1"/>
  <c r="T73" i="16" s="1"/>
  <c r="U74" i="16" s="1"/>
  <c r="V75" i="16" s="1"/>
  <c r="W76" i="16" s="1"/>
  <c r="X77" i="16" s="1"/>
  <c r="Y78" i="16" s="1"/>
  <c r="Z27" i="16" s="1"/>
  <c r="AA28" i="16" s="1"/>
  <c r="I56" i="17"/>
  <c r="J57" i="17" s="1"/>
  <c r="K58" i="17" s="1"/>
  <c r="L59" i="17" s="1"/>
  <c r="M60" i="17" s="1"/>
  <c r="N61" i="17" s="1"/>
  <c r="O62" i="17" s="1"/>
  <c r="P63" i="17" s="1"/>
  <c r="Q64" i="17" s="1"/>
  <c r="R65" i="17" s="1"/>
  <c r="S66" i="17" s="1"/>
  <c r="T67" i="17" s="1"/>
  <c r="U68" i="17" s="1"/>
  <c r="V69" i="17" s="1"/>
  <c r="W70" i="17" s="1"/>
  <c r="X71" i="17" s="1"/>
  <c r="Y72" i="17" s="1"/>
  <c r="Z73" i="17" s="1"/>
  <c r="AA74" i="17" s="1"/>
  <c r="I61" i="12"/>
  <c r="J62" i="12" s="1"/>
  <c r="K63" i="12" s="1"/>
  <c r="L64" i="12" s="1"/>
  <c r="M65" i="12" s="1"/>
  <c r="N66" i="12" s="1"/>
  <c r="O67" i="12" s="1"/>
  <c r="P68" i="12" s="1"/>
  <c r="Q69" i="12" s="1"/>
  <c r="R70" i="12" s="1"/>
  <c r="S71" i="12" s="1"/>
  <c r="T72" i="12" s="1"/>
  <c r="U73" i="12" s="1"/>
  <c r="V74" i="12" s="1"/>
  <c r="W75" i="12" s="1"/>
  <c r="X76" i="12" s="1"/>
  <c r="Y77" i="12" s="1"/>
  <c r="Z78" i="12" s="1"/>
  <c r="AA27" i="12" s="1"/>
  <c r="I71" i="17"/>
  <c r="J72" i="17" s="1"/>
  <c r="K73" i="17" s="1"/>
  <c r="L74" i="17" s="1"/>
  <c r="M75" i="17" s="1"/>
  <c r="N76" i="17" s="1"/>
  <c r="O77" i="17" s="1"/>
  <c r="P78" i="17" s="1"/>
  <c r="Q27" i="17" s="1"/>
  <c r="R28" i="17" s="1"/>
  <c r="S29" i="17" s="1"/>
  <c r="T30" i="17" s="1"/>
  <c r="U31" i="17" s="1"/>
  <c r="V32" i="17" s="1"/>
  <c r="W33" i="17" s="1"/>
  <c r="X34" i="17" s="1"/>
  <c r="Y35" i="17" s="1"/>
  <c r="Z36" i="17" s="1"/>
  <c r="AA37" i="17" s="1"/>
  <c r="I77" i="16"/>
  <c r="J78" i="16" s="1"/>
  <c r="K27" i="16" s="1"/>
  <c r="L28" i="16" s="1"/>
  <c r="M29" i="16" s="1"/>
  <c r="N30" i="16" s="1"/>
  <c r="O31" i="16" s="1"/>
  <c r="P32" i="16" s="1"/>
  <c r="Q33" i="16" s="1"/>
  <c r="R34" i="16" s="1"/>
  <c r="S35" i="16" s="1"/>
  <c r="T36" i="16" s="1"/>
  <c r="U37" i="16" s="1"/>
  <c r="V38" i="16" s="1"/>
  <c r="W39" i="16" s="1"/>
  <c r="X40" i="16" s="1"/>
  <c r="Y41" i="16" s="1"/>
  <c r="Z42" i="16" s="1"/>
  <c r="AA43" i="16" s="1"/>
  <c r="I67" i="16"/>
  <c r="J68" i="16" s="1"/>
  <c r="K69" i="16" s="1"/>
  <c r="L70" i="16" s="1"/>
  <c r="M71" i="16" s="1"/>
  <c r="N72" i="16" s="1"/>
  <c r="O73" i="16" s="1"/>
  <c r="P74" i="16" s="1"/>
  <c r="Q75" i="16" s="1"/>
  <c r="R76" i="16" s="1"/>
  <c r="S77" i="16" s="1"/>
  <c r="T78" i="16" s="1"/>
  <c r="U27" i="16" s="1"/>
  <c r="V28" i="16" s="1"/>
  <c r="W29" i="16" s="1"/>
  <c r="X30" i="16" s="1"/>
  <c r="Y31" i="16" s="1"/>
  <c r="Z32" i="16" s="1"/>
  <c r="AA33" i="16" s="1"/>
  <c r="I52" i="12"/>
  <c r="J53" i="12" s="1"/>
  <c r="K54" i="12" s="1"/>
  <c r="L55" i="12" s="1"/>
  <c r="M56" i="12" s="1"/>
  <c r="N57" i="12" s="1"/>
  <c r="O58" i="12" s="1"/>
  <c r="P59" i="12" s="1"/>
  <c r="Q60" i="12" s="1"/>
  <c r="R61" i="12" s="1"/>
  <c r="S62" i="12" s="1"/>
  <c r="T63" i="12" s="1"/>
  <c r="U64" i="12" s="1"/>
  <c r="V65" i="12" s="1"/>
  <c r="W66" i="12" s="1"/>
  <c r="X67" i="12" s="1"/>
  <c r="Y68" i="12" s="1"/>
  <c r="Z69" i="12" s="1"/>
  <c r="AA70" i="12" s="1"/>
  <c r="I78" i="16"/>
  <c r="J27" i="16" s="1"/>
  <c r="K28" i="16" s="1"/>
  <c r="L29" i="16" s="1"/>
  <c r="M30" i="16" s="1"/>
  <c r="N31" i="16" s="1"/>
  <c r="O32" i="16" s="1"/>
  <c r="P33" i="16" s="1"/>
  <c r="Q34" i="16" s="1"/>
  <c r="R35" i="16" s="1"/>
  <c r="S36" i="16" s="1"/>
  <c r="T37" i="16" s="1"/>
  <c r="U38" i="16" s="1"/>
  <c r="V39" i="16" s="1"/>
  <c r="W40" i="16" s="1"/>
  <c r="X41" i="16" s="1"/>
  <c r="Y42" i="16" s="1"/>
  <c r="Z43" i="16" s="1"/>
  <c r="AA44" i="16" s="1"/>
  <c r="I50" i="17"/>
  <c r="J51" i="17" s="1"/>
  <c r="K52" i="17" s="1"/>
  <c r="L53" i="17" s="1"/>
  <c r="M54" i="17" s="1"/>
  <c r="N55" i="17" s="1"/>
  <c r="O56" i="17" s="1"/>
  <c r="P57" i="17" s="1"/>
  <c r="Q58" i="17" s="1"/>
  <c r="R59" i="17" s="1"/>
  <c r="S60" i="17" s="1"/>
  <c r="T61" i="17" s="1"/>
  <c r="U62" i="17" s="1"/>
  <c r="V63" i="17" s="1"/>
  <c r="W64" i="17" s="1"/>
  <c r="X65" i="17" s="1"/>
  <c r="Y66" i="17" s="1"/>
  <c r="Z67" i="17" s="1"/>
  <c r="AA68" i="17" s="1"/>
  <c r="I75" i="17"/>
  <c r="J76" i="17" s="1"/>
  <c r="K77" i="17" s="1"/>
  <c r="L78" i="17" s="1"/>
  <c r="M27" i="17" s="1"/>
  <c r="N28" i="17" s="1"/>
  <c r="O29" i="17" s="1"/>
  <c r="P30" i="17" s="1"/>
  <c r="Q31" i="17" s="1"/>
  <c r="R32" i="17" s="1"/>
  <c r="S33" i="17" s="1"/>
  <c r="T34" i="17" s="1"/>
  <c r="U35" i="17" s="1"/>
  <c r="V36" i="17" s="1"/>
  <c r="W37" i="17" s="1"/>
  <c r="X38" i="17" s="1"/>
  <c r="Y39" i="17" s="1"/>
  <c r="Z40" i="17" s="1"/>
  <c r="AA41" i="17" s="1"/>
  <c r="I37" i="16"/>
  <c r="J38" i="16" s="1"/>
  <c r="K39" i="16" s="1"/>
  <c r="L40" i="16" s="1"/>
  <c r="M41" i="16" s="1"/>
  <c r="N42" i="16" s="1"/>
  <c r="O43" i="16" s="1"/>
  <c r="P44" i="16" s="1"/>
  <c r="Q45" i="16" s="1"/>
  <c r="R46" i="16" s="1"/>
  <c r="S47" i="16" s="1"/>
  <c r="T48" i="16" s="1"/>
  <c r="U49" i="16" s="1"/>
  <c r="V50" i="16" s="1"/>
  <c r="W51" i="16" s="1"/>
  <c r="X52" i="16" s="1"/>
  <c r="Y53" i="16" s="1"/>
  <c r="Z54" i="16" s="1"/>
  <c r="AA55" i="16" s="1"/>
  <c r="I53" i="17"/>
  <c r="J54" i="17" s="1"/>
  <c r="K55" i="17" s="1"/>
  <c r="L56" i="17" s="1"/>
  <c r="M57" i="17" s="1"/>
  <c r="N58" i="17" s="1"/>
  <c r="O59" i="17" s="1"/>
  <c r="P60" i="17" s="1"/>
  <c r="Q61" i="17" s="1"/>
  <c r="R62" i="17" s="1"/>
  <c r="S63" i="17" s="1"/>
  <c r="T64" i="17" s="1"/>
  <c r="U65" i="17" s="1"/>
  <c r="V66" i="17" s="1"/>
  <c r="W67" i="17" s="1"/>
  <c r="X68" i="17" s="1"/>
  <c r="Y69" i="17" s="1"/>
  <c r="Z70" i="17" s="1"/>
  <c r="AA71" i="17" s="1"/>
  <c r="I76" i="16"/>
  <c r="J77" i="16" s="1"/>
  <c r="K78" i="16" s="1"/>
  <c r="L27" i="16" s="1"/>
  <c r="M28" i="16" s="1"/>
  <c r="N29" i="16" s="1"/>
  <c r="O30" i="16" s="1"/>
  <c r="P31" i="16" s="1"/>
  <c r="Q32" i="16" s="1"/>
  <c r="R33" i="16" s="1"/>
  <c r="S34" i="16" s="1"/>
  <c r="T35" i="16" s="1"/>
  <c r="U36" i="16" s="1"/>
  <c r="V37" i="16" s="1"/>
  <c r="W38" i="16" s="1"/>
  <c r="X39" i="16" s="1"/>
  <c r="Y40" i="16" s="1"/>
  <c r="Z41" i="16" s="1"/>
  <c r="AA42" i="16" s="1"/>
  <c r="I72" i="16"/>
  <c r="J73" i="16" s="1"/>
  <c r="K74" i="16" s="1"/>
  <c r="L75" i="16" s="1"/>
  <c r="M76" i="16" s="1"/>
  <c r="N77" i="16" s="1"/>
  <c r="O78" i="16" s="1"/>
  <c r="P27" i="16" s="1"/>
  <c r="Q28" i="16" s="1"/>
  <c r="R29" i="16" s="1"/>
  <c r="S30" i="16" s="1"/>
  <c r="T31" i="16" s="1"/>
  <c r="U32" i="16" s="1"/>
  <c r="V33" i="16" s="1"/>
  <c r="W34" i="16" s="1"/>
  <c r="X35" i="16" s="1"/>
  <c r="Y36" i="16" s="1"/>
  <c r="Z37" i="16" s="1"/>
  <c r="AA38" i="16" s="1"/>
  <c r="I61" i="16"/>
  <c r="I68" i="16"/>
  <c r="J69" i="16" s="1"/>
  <c r="K70" i="16" s="1"/>
  <c r="L71" i="16" s="1"/>
  <c r="M72" i="16" s="1"/>
  <c r="N73" i="16" s="1"/>
  <c r="O74" i="16" s="1"/>
  <c r="P75" i="16" s="1"/>
  <c r="Q76" i="16" s="1"/>
  <c r="R77" i="16" s="1"/>
  <c r="S78" i="16" s="1"/>
  <c r="T27" i="16" s="1"/>
  <c r="U28" i="16" s="1"/>
  <c r="V29" i="16" s="1"/>
  <c r="W30" i="16" s="1"/>
  <c r="X31" i="16" s="1"/>
  <c r="Y32" i="16" s="1"/>
  <c r="Z33" i="16" s="1"/>
  <c r="AA34" i="16" s="1"/>
  <c r="I45" i="17"/>
  <c r="J46" i="17" s="1"/>
  <c r="K47" i="17" s="1"/>
  <c r="L48" i="17" s="1"/>
  <c r="M49" i="17" s="1"/>
  <c r="N50" i="17" s="1"/>
  <c r="O51" i="17" s="1"/>
  <c r="P52" i="17" s="1"/>
  <c r="Q53" i="17" s="1"/>
  <c r="R54" i="17" s="1"/>
  <c r="S55" i="17" s="1"/>
  <c r="T56" i="17" s="1"/>
  <c r="U57" i="17" s="1"/>
  <c r="V58" i="17" s="1"/>
  <c r="W59" i="17" s="1"/>
  <c r="X60" i="17" s="1"/>
  <c r="Y61" i="17" s="1"/>
  <c r="Z62" i="17" s="1"/>
  <c r="AA63" i="17" s="1"/>
  <c r="I71" i="16"/>
  <c r="J72" i="16" s="1"/>
  <c r="K73" i="16" s="1"/>
  <c r="L74" i="16" s="1"/>
  <c r="M75" i="16" s="1"/>
  <c r="N76" i="16" s="1"/>
  <c r="O77" i="16" s="1"/>
  <c r="P78" i="16" s="1"/>
  <c r="Q27" i="16" s="1"/>
  <c r="R28" i="16" s="1"/>
  <c r="S29" i="16" s="1"/>
  <c r="T30" i="16" s="1"/>
  <c r="U31" i="16" s="1"/>
  <c r="V32" i="16" s="1"/>
  <c r="W33" i="16" s="1"/>
  <c r="X34" i="16" s="1"/>
  <c r="Y35" i="16" s="1"/>
  <c r="Z36" i="16" s="1"/>
  <c r="AA37" i="16" s="1"/>
  <c r="I38" i="16"/>
  <c r="J39" i="16" s="1"/>
  <c r="K40" i="16" s="1"/>
  <c r="L41" i="16" s="1"/>
  <c r="M42" i="16" s="1"/>
  <c r="N43" i="16" s="1"/>
  <c r="O44" i="16" s="1"/>
  <c r="P45" i="16" s="1"/>
  <c r="Q46" i="16" s="1"/>
  <c r="R47" i="16" s="1"/>
  <c r="S48" i="16" s="1"/>
  <c r="T49" i="16" s="1"/>
  <c r="U50" i="16" s="1"/>
  <c r="V51" i="16" s="1"/>
  <c r="W52" i="16" s="1"/>
  <c r="X53" i="16" s="1"/>
  <c r="Y54" i="16" s="1"/>
  <c r="Z55" i="16" s="1"/>
  <c r="AA56" i="16" s="1"/>
  <c r="I56" i="12"/>
  <c r="J57" i="12" s="1"/>
  <c r="K58" i="12" s="1"/>
  <c r="L59" i="12" s="1"/>
  <c r="M60" i="12" s="1"/>
  <c r="N61" i="12" s="1"/>
  <c r="O62" i="12" s="1"/>
  <c r="P63" i="12" s="1"/>
  <c r="Q64" i="12" s="1"/>
  <c r="R65" i="12" s="1"/>
  <c r="S66" i="12" s="1"/>
  <c r="T67" i="12" s="1"/>
  <c r="U68" i="12" s="1"/>
  <c r="V69" i="12" s="1"/>
  <c r="W70" i="12" s="1"/>
  <c r="X71" i="12" s="1"/>
  <c r="Y72" i="12" s="1"/>
  <c r="Z73" i="12" s="1"/>
  <c r="AA74" i="12" s="1"/>
  <c r="I41" i="16"/>
  <c r="J42" i="16" s="1"/>
  <c r="K43" i="16" s="1"/>
  <c r="L44" i="16" s="1"/>
  <c r="M45" i="16" s="1"/>
  <c r="N46" i="16" s="1"/>
  <c r="O47" i="16" s="1"/>
  <c r="P48" i="16" s="1"/>
  <c r="Q49" i="16" s="1"/>
  <c r="R50" i="16" s="1"/>
  <c r="S51" i="16" s="1"/>
  <c r="T52" i="16" s="1"/>
  <c r="U53" i="16" s="1"/>
  <c r="V54" i="16" s="1"/>
  <c r="W55" i="16" s="1"/>
  <c r="X56" i="16" s="1"/>
  <c r="Y57" i="16" s="1"/>
  <c r="Z58" i="16" s="1"/>
  <c r="AA59" i="16" s="1"/>
  <c r="I51" i="17"/>
  <c r="J52" i="17" s="1"/>
  <c r="K53" i="17" s="1"/>
  <c r="L54" i="17" s="1"/>
  <c r="M55" i="17" s="1"/>
  <c r="N56" i="17" s="1"/>
  <c r="O57" i="17" s="1"/>
  <c r="P58" i="17" s="1"/>
  <c r="Q59" i="17" s="1"/>
  <c r="R60" i="17" s="1"/>
  <c r="S61" i="17" s="1"/>
  <c r="T62" i="17" s="1"/>
  <c r="U63" i="17" s="1"/>
  <c r="V64" i="17" s="1"/>
  <c r="W65" i="17" s="1"/>
  <c r="X66" i="17" s="1"/>
  <c r="Y67" i="17" s="1"/>
  <c r="Z68" i="17" s="1"/>
  <c r="AA69" i="17" s="1"/>
  <c r="I30" i="17"/>
  <c r="J31" i="17" s="1"/>
  <c r="K32" i="17" s="1"/>
  <c r="L33" i="17" s="1"/>
  <c r="M34" i="17" s="1"/>
  <c r="N35" i="17" s="1"/>
  <c r="O36" i="17" s="1"/>
  <c r="P37" i="17" s="1"/>
  <c r="Q38" i="17" s="1"/>
  <c r="R39" i="17" s="1"/>
  <c r="S40" i="17" s="1"/>
  <c r="T41" i="17" s="1"/>
  <c r="U42" i="17" s="1"/>
  <c r="V43" i="17" s="1"/>
  <c r="W44" i="17" s="1"/>
  <c r="X45" i="17" s="1"/>
  <c r="Y46" i="17" s="1"/>
  <c r="Z47" i="17" s="1"/>
  <c r="AA48" i="17" s="1"/>
  <c r="I48" i="17"/>
  <c r="J49" i="17" s="1"/>
  <c r="K50" i="17" s="1"/>
  <c r="L51" i="17" s="1"/>
  <c r="M52" i="17" s="1"/>
  <c r="N53" i="17" s="1"/>
  <c r="O54" i="17" s="1"/>
  <c r="P55" i="17" s="1"/>
  <c r="Q56" i="17" s="1"/>
  <c r="R57" i="17" s="1"/>
  <c r="S58" i="17" s="1"/>
  <c r="T59" i="17" s="1"/>
  <c r="U60" i="17" s="1"/>
  <c r="V61" i="17" s="1"/>
  <c r="W62" i="17" s="1"/>
  <c r="X63" i="17" s="1"/>
  <c r="Y64" i="17" s="1"/>
  <c r="Z65" i="17" s="1"/>
  <c r="AA66" i="17" s="1"/>
  <c r="I31" i="16"/>
  <c r="J32" i="16" s="1"/>
  <c r="K33" i="16" s="1"/>
  <c r="L34" i="16" s="1"/>
  <c r="M35" i="16" s="1"/>
  <c r="N36" i="16" s="1"/>
  <c r="O37" i="16" s="1"/>
  <c r="P38" i="16" s="1"/>
  <c r="Q39" i="16" s="1"/>
  <c r="R40" i="16" s="1"/>
  <c r="S41" i="16" s="1"/>
  <c r="T42" i="16" s="1"/>
  <c r="U43" i="16" s="1"/>
  <c r="V44" i="16" s="1"/>
  <c r="W45" i="16" s="1"/>
  <c r="X46" i="16" s="1"/>
  <c r="Y47" i="16" s="1"/>
  <c r="Z48" i="16" s="1"/>
  <c r="AA49" i="16" s="1"/>
  <c r="I46" i="17"/>
  <c r="J47" i="17" s="1"/>
  <c r="K48" i="17" s="1"/>
  <c r="L49" i="17" s="1"/>
  <c r="M50" i="17" s="1"/>
  <c r="N51" i="17" s="1"/>
  <c r="O52" i="17" s="1"/>
  <c r="P53" i="17" s="1"/>
  <c r="Q54" i="17" s="1"/>
  <c r="R55" i="17" s="1"/>
  <c r="S56" i="17" s="1"/>
  <c r="T57" i="17" s="1"/>
  <c r="U58" i="17" s="1"/>
  <c r="V59" i="17" s="1"/>
  <c r="W60" i="17" s="1"/>
  <c r="X61" i="17" s="1"/>
  <c r="Y62" i="17" s="1"/>
  <c r="Z63" i="17" s="1"/>
  <c r="AA64" i="17" s="1"/>
  <c r="I46" i="12"/>
  <c r="J47" i="12" s="1"/>
  <c r="K48" i="12" s="1"/>
  <c r="L49" i="12" s="1"/>
  <c r="M50" i="12" s="1"/>
  <c r="N51" i="12" s="1"/>
  <c r="O52" i="12" s="1"/>
  <c r="P53" i="12" s="1"/>
  <c r="Q54" i="12" s="1"/>
  <c r="R55" i="12" s="1"/>
  <c r="S56" i="12" s="1"/>
  <c r="T57" i="12" s="1"/>
  <c r="U58" i="12" s="1"/>
  <c r="V59" i="12" s="1"/>
  <c r="W60" i="12" s="1"/>
  <c r="X61" i="12" s="1"/>
  <c r="Y62" i="12" s="1"/>
  <c r="Z63" i="12" s="1"/>
  <c r="AA64" i="12" s="1"/>
  <c r="I72" i="17"/>
  <c r="J73" i="17" s="1"/>
  <c r="K74" i="17" s="1"/>
  <c r="L75" i="17" s="1"/>
  <c r="M76" i="17" s="1"/>
  <c r="N77" i="17" s="1"/>
  <c r="O78" i="17" s="1"/>
  <c r="P27" i="17" s="1"/>
  <c r="Q28" i="17" s="1"/>
  <c r="R29" i="17" s="1"/>
  <c r="S30" i="17" s="1"/>
  <c r="T31" i="17" s="1"/>
  <c r="U32" i="17" s="1"/>
  <c r="V33" i="17" s="1"/>
  <c r="W34" i="17" s="1"/>
  <c r="X35" i="17" s="1"/>
  <c r="Y36" i="17" s="1"/>
  <c r="Z37" i="17" s="1"/>
  <c r="AA38" i="17" s="1"/>
  <c r="D26" i="15"/>
  <c r="B27" i="15"/>
  <c r="C27" i="15" s="1"/>
  <c r="AD24" i="37"/>
  <c r="AC24" i="37"/>
  <c r="I58" i="16"/>
  <c r="J59" i="16" s="1"/>
  <c r="K60" i="16" s="1"/>
  <c r="L61" i="16" s="1"/>
  <c r="M62" i="16" s="1"/>
  <c r="N63" i="16" s="1"/>
  <c r="O64" i="16" s="1"/>
  <c r="P65" i="16" s="1"/>
  <c r="Q66" i="16" s="1"/>
  <c r="R67" i="16" s="1"/>
  <c r="S68" i="16" s="1"/>
  <c r="T69" i="16" s="1"/>
  <c r="U70" i="16" s="1"/>
  <c r="V71" i="16" s="1"/>
  <c r="W72" i="16" s="1"/>
  <c r="X73" i="16" s="1"/>
  <c r="Y74" i="16" s="1"/>
  <c r="Z75" i="16" s="1"/>
  <c r="AA76" i="16" s="1"/>
  <c r="I35" i="12"/>
  <c r="J36" i="12" s="1"/>
  <c r="K37" i="12" s="1"/>
  <c r="L38" i="12" s="1"/>
  <c r="M39" i="12" s="1"/>
  <c r="N40" i="12" s="1"/>
  <c r="O41" i="12" s="1"/>
  <c r="P42" i="12" s="1"/>
  <c r="Q43" i="12" s="1"/>
  <c r="R44" i="12" s="1"/>
  <c r="S45" i="12" s="1"/>
  <c r="T46" i="12" s="1"/>
  <c r="U47" i="12" s="1"/>
  <c r="V48" i="12" s="1"/>
  <c r="W49" i="12" s="1"/>
  <c r="X50" i="12" s="1"/>
  <c r="Y51" i="12" s="1"/>
  <c r="Z52" i="12" s="1"/>
  <c r="AA53" i="12" s="1"/>
  <c r="D41" i="4"/>
  <c r="B42" i="4"/>
  <c r="C42" i="4" s="1"/>
  <c r="I57" i="17"/>
  <c r="J58" i="17" s="1"/>
  <c r="K59" i="17" s="1"/>
  <c r="L60" i="17" s="1"/>
  <c r="M61" i="17" s="1"/>
  <c r="N62" i="17" s="1"/>
  <c r="O63" i="17" s="1"/>
  <c r="P64" i="17" s="1"/>
  <c r="Q65" i="17" s="1"/>
  <c r="R66" i="17" s="1"/>
  <c r="S67" i="17" s="1"/>
  <c r="T68" i="17" s="1"/>
  <c r="U69" i="17" s="1"/>
  <c r="V70" i="17" s="1"/>
  <c r="W71" i="17" s="1"/>
  <c r="X72" i="17" s="1"/>
  <c r="Y73" i="17" s="1"/>
  <c r="Z74" i="17" s="1"/>
  <c r="AA75" i="17" s="1"/>
  <c r="I30" i="12"/>
  <c r="J31" i="12" s="1"/>
  <c r="K32" i="12" s="1"/>
  <c r="L33" i="12" s="1"/>
  <c r="M34" i="12" s="1"/>
  <c r="N35" i="12" s="1"/>
  <c r="O36" i="12" s="1"/>
  <c r="P37" i="12" s="1"/>
  <c r="Q38" i="12" s="1"/>
  <c r="R39" i="12" s="1"/>
  <c r="S40" i="12" s="1"/>
  <c r="T41" i="12" s="1"/>
  <c r="U42" i="12" s="1"/>
  <c r="V43" i="12" s="1"/>
  <c r="W44" i="12" s="1"/>
  <c r="X45" i="12" s="1"/>
  <c r="Y46" i="12" s="1"/>
  <c r="Z47" i="12" s="1"/>
  <c r="AA48" i="12" s="1"/>
  <c r="I41" i="17"/>
  <c r="J42" i="17" s="1"/>
  <c r="K43" i="17" s="1"/>
  <c r="L44" i="17" s="1"/>
  <c r="M45" i="17" s="1"/>
  <c r="N46" i="17" s="1"/>
  <c r="O47" i="17" s="1"/>
  <c r="P48" i="17" s="1"/>
  <c r="Q49" i="17" s="1"/>
  <c r="R50" i="17" s="1"/>
  <c r="S51" i="17" s="1"/>
  <c r="T52" i="17" s="1"/>
  <c r="U53" i="17" s="1"/>
  <c r="V54" i="17" s="1"/>
  <c r="W55" i="17" s="1"/>
  <c r="X56" i="17" s="1"/>
  <c r="Y57" i="17" s="1"/>
  <c r="Z58" i="17" s="1"/>
  <c r="AA59" i="17" s="1"/>
  <c r="G25" i="15"/>
  <c r="H25" i="15" s="1"/>
  <c r="J19" i="22" s="1"/>
  <c r="K25" i="15"/>
  <c r="J19" i="30" s="1"/>
  <c r="I64" i="17"/>
  <c r="J65" i="17" s="1"/>
  <c r="K66" i="17" s="1"/>
  <c r="L67" i="17" s="1"/>
  <c r="M68" i="17" s="1"/>
  <c r="N69" i="17" s="1"/>
  <c r="O70" i="17" s="1"/>
  <c r="P71" i="17" s="1"/>
  <c r="Q72" i="17" s="1"/>
  <c r="R73" i="17" s="1"/>
  <c r="S74" i="17" s="1"/>
  <c r="T75" i="17" s="1"/>
  <c r="U76" i="17" s="1"/>
  <c r="V77" i="17" s="1"/>
  <c r="W78" i="17" s="1"/>
  <c r="X27" i="17" s="1"/>
  <c r="Y28" i="17" s="1"/>
  <c r="Z29" i="17" s="1"/>
  <c r="AA30" i="17" s="1"/>
  <c r="I53" i="16"/>
  <c r="J54" i="16" s="1"/>
  <c r="K55" i="16" s="1"/>
  <c r="L56" i="16" s="1"/>
  <c r="M57" i="16" s="1"/>
  <c r="N58" i="16" s="1"/>
  <c r="O59" i="16" s="1"/>
  <c r="P60" i="16" s="1"/>
  <c r="Q61" i="16" s="1"/>
  <c r="R62" i="16" s="1"/>
  <c r="S63" i="16" s="1"/>
  <c r="T64" i="16" s="1"/>
  <c r="U65" i="16" s="1"/>
  <c r="V66" i="16" s="1"/>
  <c r="W67" i="16" s="1"/>
  <c r="X68" i="16" s="1"/>
  <c r="Y69" i="16" s="1"/>
  <c r="Z70" i="16" s="1"/>
  <c r="AA71" i="16" s="1"/>
  <c r="I27" i="12"/>
  <c r="J28" i="12" s="1"/>
  <c r="K29" i="12" s="1"/>
  <c r="L30" i="12" s="1"/>
  <c r="M31" i="12" s="1"/>
  <c r="N32" i="12" s="1"/>
  <c r="O33" i="12" s="1"/>
  <c r="P34" i="12" s="1"/>
  <c r="Q35" i="12" s="1"/>
  <c r="R36" i="12" s="1"/>
  <c r="S37" i="12" s="1"/>
  <c r="T38" i="12" s="1"/>
  <c r="U39" i="12" s="1"/>
  <c r="V40" i="12" s="1"/>
  <c r="W41" i="12" s="1"/>
  <c r="X42" i="12" s="1"/>
  <c r="Y43" i="12" s="1"/>
  <c r="Z44" i="12" s="1"/>
  <c r="AA45" i="12" s="1"/>
  <c r="I42" i="16"/>
  <c r="J43" i="16" s="1"/>
  <c r="K44" i="16" s="1"/>
  <c r="L45" i="16" s="1"/>
  <c r="M46" i="16" s="1"/>
  <c r="N47" i="16" s="1"/>
  <c r="O48" i="16" s="1"/>
  <c r="P49" i="16" s="1"/>
  <c r="Q50" i="16" s="1"/>
  <c r="R51" i="16" s="1"/>
  <c r="S52" i="16" s="1"/>
  <c r="T53" i="16" s="1"/>
  <c r="U54" i="16" s="1"/>
  <c r="V55" i="16" s="1"/>
  <c r="W56" i="16" s="1"/>
  <c r="X57" i="16" s="1"/>
  <c r="Y58" i="16" s="1"/>
  <c r="Z59" i="16" s="1"/>
  <c r="AA60" i="16" s="1"/>
  <c r="I38" i="17"/>
  <c r="J39" i="17" s="1"/>
  <c r="K40" i="17" s="1"/>
  <c r="L41" i="17" s="1"/>
  <c r="M42" i="17" s="1"/>
  <c r="N43" i="17" s="1"/>
  <c r="O44" i="17" s="1"/>
  <c r="P45" i="17" s="1"/>
  <c r="Q46" i="17" s="1"/>
  <c r="R47" i="17" s="1"/>
  <c r="S48" i="17" s="1"/>
  <c r="T49" i="17" s="1"/>
  <c r="U50" i="17" s="1"/>
  <c r="V51" i="17" s="1"/>
  <c r="W52" i="17" s="1"/>
  <c r="X53" i="17" s="1"/>
  <c r="Y54" i="17" s="1"/>
  <c r="Z55" i="17" s="1"/>
  <c r="AA56" i="17" s="1"/>
  <c r="Z23" i="37"/>
  <c r="Y23" i="37"/>
  <c r="I52" i="17"/>
  <c r="J53" i="17" s="1"/>
  <c r="K54" i="17" s="1"/>
  <c r="L55" i="17" s="1"/>
  <c r="M56" i="17" s="1"/>
  <c r="N57" i="17" s="1"/>
  <c r="O58" i="17" s="1"/>
  <c r="P59" i="17" s="1"/>
  <c r="Q60" i="17" s="1"/>
  <c r="R61" i="17" s="1"/>
  <c r="S62" i="17" s="1"/>
  <c r="T63" i="17" s="1"/>
  <c r="U64" i="17" s="1"/>
  <c r="V65" i="17" s="1"/>
  <c r="W66" i="17" s="1"/>
  <c r="X67" i="17" s="1"/>
  <c r="Y68" i="17" s="1"/>
  <c r="Z69" i="17" s="1"/>
  <c r="AA70" i="17" s="1"/>
  <c r="I45" i="16"/>
  <c r="J46" i="16" s="1"/>
  <c r="K47" i="16" s="1"/>
  <c r="L48" i="16" s="1"/>
  <c r="M49" i="16" s="1"/>
  <c r="N50" i="16" s="1"/>
  <c r="O51" i="16" s="1"/>
  <c r="P52" i="16" s="1"/>
  <c r="Q53" i="16" s="1"/>
  <c r="R54" i="16" s="1"/>
  <c r="S55" i="16" s="1"/>
  <c r="T56" i="16" s="1"/>
  <c r="U57" i="16" s="1"/>
  <c r="V58" i="16" s="1"/>
  <c r="W59" i="16" s="1"/>
  <c r="X60" i="16" s="1"/>
  <c r="Y61" i="16" s="1"/>
  <c r="Z62" i="16" s="1"/>
  <c r="AA63" i="16" s="1"/>
  <c r="I30" i="16"/>
  <c r="J31" i="16" s="1"/>
  <c r="K32" i="16" s="1"/>
  <c r="L33" i="16" s="1"/>
  <c r="M34" i="16" s="1"/>
  <c r="N35" i="16" s="1"/>
  <c r="O36" i="16" s="1"/>
  <c r="P37" i="16" s="1"/>
  <c r="Q38" i="16" s="1"/>
  <c r="R39" i="16" s="1"/>
  <c r="S40" i="16" s="1"/>
  <c r="T41" i="16" s="1"/>
  <c r="U42" i="16" s="1"/>
  <c r="V43" i="16" s="1"/>
  <c r="W44" i="16" s="1"/>
  <c r="X45" i="16" s="1"/>
  <c r="Y46" i="16" s="1"/>
  <c r="Z47" i="16" s="1"/>
  <c r="AA48" i="16" s="1"/>
  <c r="I70" i="16"/>
  <c r="J71" i="16" s="1"/>
  <c r="K72" i="16" s="1"/>
  <c r="L73" i="16" s="1"/>
  <c r="M74" i="16" s="1"/>
  <c r="N75" i="16" s="1"/>
  <c r="O76" i="16" s="1"/>
  <c r="P77" i="16" s="1"/>
  <c r="Q78" i="16" s="1"/>
  <c r="R27" i="16" s="1"/>
  <c r="S28" i="16" s="1"/>
  <c r="T29" i="16" s="1"/>
  <c r="U30" i="16" s="1"/>
  <c r="V31" i="16" s="1"/>
  <c r="W32" i="16" s="1"/>
  <c r="X33" i="16" s="1"/>
  <c r="Y34" i="16" s="1"/>
  <c r="Z35" i="16" s="1"/>
  <c r="AA36" i="16" s="1"/>
  <c r="I50" i="16"/>
  <c r="J51" i="16" s="1"/>
  <c r="K52" i="16" s="1"/>
  <c r="L53" i="16" s="1"/>
  <c r="M54" i="16" s="1"/>
  <c r="N55" i="16" s="1"/>
  <c r="O56" i="16" s="1"/>
  <c r="P57" i="16" s="1"/>
  <c r="Q58" i="16" s="1"/>
  <c r="R59" i="16" s="1"/>
  <c r="S60" i="16" s="1"/>
  <c r="T61" i="16" s="1"/>
  <c r="U62" i="16" s="1"/>
  <c r="V63" i="16" s="1"/>
  <c r="W64" i="16" s="1"/>
  <c r="X65" i="16" s="1"/>
  <c r="Y66" i="16" s="1"/>
  <c r="Z67" i="16" s="1"/>
  <c r="AA68" i="16" s="1"/>
  <c r="I63" i="17"/>
  <c r="I47" i="12"/>
  <c r="J48" i="12" s="1"/>
  <c r="K49" i="12" s="1"/>
  <c r="L50" i="12" s="1"/>
  <c r="M51" i="12" s="1"/>
  <c r="N52" i="12" s="1"/>
  <c r="O53" i="12" s="1"/>
  <c r="P54" i="12" s="1"/>
  <c r="Q55" i="12" s="1"/>
  <c r="R56" i="12" s="1"/>
  <c r="S57" i="12" s="1"/>
  <c r="T58" i="12" s="1"/>
  <c r="U59" i="12" s="1"/>
  <c r="V60" i="12" s="1"/>
  <c r="W61" i="12" s="1"/>
  <c r="X62" i="12" s="1"/>
  <c r="Y63" i="12" s="1"/>
  <c r="Z64" i="12" s="1"/>
  <c r="AA65" i="12" s="1"/>
  <c r="AD40" i="4"/>
  <c r="AE40" i="4" s="1"/>
  <c r="AF40" i="4" s="1"/>
  <c r="AI40" i="4" s="1"/>
  <c r="D18" i="22" s="1"/>
  <c r="AJ40" i="4"/>
  <c r="D18" i="30" s="1"/>
  <c r="I67" i="12"/>
  <c r="J68" i="12" s="1"/>
  <c r="K69" i="12" s="1"/>
  <c r="L70" i="12" s="1"/>
  <c r="M71" i="12" s="1"/>
  <c r="N72" i="12" s="1"/>
  <c r="O73" i="12" s="1"/>
  <c r="P74" i="12" s="1"/>
  <c r="Q75" i="12" s="1"/>
  <c r="R76" i="12" s="1"/>
  <c r="S77" i="12" s="1"/>
  <c r="T78" i="12" s="1"/>
  <c r="U27" i="12" s="1"/>
  <c r="V28" i="12" s="1"/>
  <c r="W29" i="12" s="1"/>
  <c r="X30" i="12" s="1"/>
  <c r="Y31" i="12" s="1"/>
  <c r="Z32" i="12" s="1"/>
  <c r="AA33" i="12" s="1"/>
  <c r="S24" i="37"/>
  <c r="T24" i="37"/>
  <c r="I58" i="12"/>
  <c r="J59" i="12" s="1"/>
  <c r="K60" i="12" s="1"/>
  <c r="L61" i="12" s="1"/>
  <c r="M62" i="12" s="1"/>
  <c r="N63" i="12" s="1"/>
  <c r="O64" i="12" s="1"/>
  <c r="P65" i="12" s="1"/>
  <c r="Q66" i="12" s="1"/>
  <c r="R67" i="12" s="1"/>
  <c r="S68" i="12" s="1"/>
  <c r="T69" i="12" s="1"/>
  <c r="U70" i="12" s="1"/>
  <c r="V71" i="12" s="1"/>
  <c r="W72" i="12" s="1"/>
  <c r="X73" i="12" s="1"/>
  <c r="Y74" i="12" s="1"/>
  <c r="Z75" i="12" s="1"/>
  <c r="AA76" i="12" s="1"/>
  <c r="I59" i="17"/>
  <c r="J60" i="17" s="1"/>
  <c r="K61" i="17" s="1"/>
  <c r="L62" i="17" s="1"/>
  <c r="M63" i="17" s="1"/>
  <c r="N64" i="17" s="1"/>
  <c r="O65" i="17" s="1"/>
  <c r="P66" i="17" s="1"/>
  <c r="Q67" i="17" s="1"/>
  <c r="R68" i="17" s="1"/>
  <c r="S69" i="17" s="1"/>
  <c r="T70" i="17" s="1"/>
  <c r="U71" i="17" s="1"/>
  <c r="V72" i="17" s="1"/>
  <c r="W73" i="17" s="1"/>
  <c r="X74" i="17" s="1"/>
  <c r="Y75" i="17" s="1"/>
  <c r="Z76" i="17" s="1"/>
  <c r="AA77" i="17" s="1"/>
  <c r="I60" i="17"/>
  <c r="J61" i="17" s="1"/>
  <c r="K62" i="17" s="1"/>
  <c r="L63" i="17" s="1"/>
  <c r="M64" i="17" s="1"/>
  <c r="N65" i="17" s="1"/>
  <c r="O66" i="17" s="1"/>
  <c r="P67" i="17" s="1"/>
  <c r="Q68" i="17" s="1"/>
  <c r="R69" i="17" s="1"/>
  <c r="S70" i="17" s="1"/>
  <c r="T71" i="17" s="1"/>
  <c r="U72" i="17" s="1"/>
  <c r="V73" i="17" s="1"/>
  <c r="W74" i="17" s="1"/>
  <c r="X75" i="17" s="1"/>
  <c r="Y76" i="17" s="1"/>
  <c r="Z77" i="17" s="1"/>
  <c r="AA78" i="17" s="1"/>
  <c r="I77" i="17"/>
  <c r="J78" i="17" s="1"/>
  <c r="K27" i="17" s="1"/>
  <c r="L28" i="17" s="1"/>
  <c r="M29" i="17" s="1"/>
  <c r="N30" i="17" s="1"/>
  <c r="O31" i="17" s="1"/>
  <c r="P32" i="17" s="1"/>
  <c r="Q33" i="17" s="1"/>
  <c r="R34" i="17" s="1"/>
  <c r="S35" i="17" s="1"/>
  <c r="T36" i="17" s="1"/>
  <c r="U37" i="17" s="1"/>
  <c r="V38" i="17" s="1"/>
  <c r="W39" i="17" s="1"/>
  <c r="X40" i="17" s="1"/>
  <c r="Y41" i="17" s="1"/>
  <c r="Z42" i="17" s="1"/>
  <c r="AA43" i="17" s="1"/>
  <c r="D17" i="30"/>
  <c r="I51" i="16"/>
  <c r="J52" i="16" s="1"/>
  <c r="K53" i="16" s="1"/>
  <c r="L54" i="16" s="1"/>
  <c r="M55" i="16" s="1"/>
  <c r="N56" i="16" s="1"/>
  <c r="O57" i="16" s="1"/>
  <c r="P58" i="16" s="1"/>
  <c r="Q59" i="16" s="1"/>
  <c r="R60" i="16" s="1"/>
  <c r="S61" i="16" s="1"/>
  <c r="T62" i="16" s="1"/>
  <c r="U63" i="16" s="1"/>
  <c r="V64" i="16" s="1"/>
  <c r="W65" i="16" s="1"/>
  <c r="X66" i="16" s="1"/>
  <c r="Y67" i="16" s="1"/>
  <c r="Z68" i="16" s="1"/>
  <c r="AA69" i="16" s="1"/>
  <c r="I49" i="12"/>
  <c r="J50" i="12" s="1"/>
  <c r="K51" i="12" s="1"/>
  <c r="L52" i="12" s="1"/>
  <c r="M53" i="12" s="1"/>
  <c r="N54" i="12" s="1"/>
  <c r="O55" i="12" s="1"/>
  <c r="P56" i="12" s="1"/>
  <c r="Q57" i="12" s="1"/>
  <c r="R58" i="12" s="1"/>
  <c r="S59" i="12" s="1"/>
  <c r="T60" i="12" s="1"/>
  <c r="U61" i="12" s="1"/>
  <c r="V62" i="12" s="1"/>
  <c r="W63" i="12" s="1"/>
  <c r="X64" i="12" s="1"/>
  <c r="Y65" i="12" s="1"/>
  <c r="Z66" i="12" s="1"/>
  <c r="AA67" i="12" s="1"/>
  <c r="I35" i="16"/>
  <c r="J36" i="16" s="1"/>
  <c r="K37" i="16" s="1"/>
  <c r="L38" i="16" s="1"/>
  <c r="M39" i="16" s="1"/>
  <c r="N40" i="16" s="1"/>
  <c r="O41" i="16" s="1"/>
  <c r="P42" i="16" s="1"/>
  <c r="Q43" i="16" s="1"/>
  <c r="R44" i="16" s="1"/>
  <c r="S45" i="16" s="1"/>
  <c r="T46" i="16" s="1"/>
  <c r="U47" i="16" s="1"/>
  <c r="V48" i="16" s="1"/>
  <c r="W49" i="16" s="1"/>
  <c r="X50" i="16" s="1"/>
  <c r="Y51" i="16" s="1"/>
  <c r="Z52" i="16" s="1"/>
  <c r="AA53" i="16" s="1"/>
  <c r="I58" i="17"/>
  <c r="J59" i="17" s="1"/>
  <c r="K60" i="17" s="1"/>
  <c r="L61" i="17" s="1"/>
  <c r="M62" i="17" s="1"/>
  <c r="N63" i="17" s="1"/>
  <c r="O64" i="17" s="1"/>
  <c r="P65" i="17" s="1"/>
  <c r="Q66" i="17" s="1"/>
  <c r="R67" i="17" s="1"/>
  <c r="S68" i="17" s="1"/>
  <c r="T69" i="17" s="1"/>
  <c r="U70" i="17" s="1"/>
  <c r="V71" i="17" s="1"/>
  <c r="W72" i="17" s="1"/>
  <c r="X73" i="17" s="1"/>
  <c r="Y74" i="17" s="1"/>
  <c r="Z75" i="17" s="1"/>
  <c r="AA76" i="17" s="1"/>
  <c r="D17" i="22"/>
  <c r="I35" i="17"/>
  <c r="J36" i="17" s="1"/>
  <c r="K37" i="17" s="1"/>
  <c r="L38" i="17" s="1"/>
  <c r="M39" i="17" s="1"/>
  <c r="N40" i="17" s="1"/>
  <c r="O41" i="17" s="1"/>
  <c r="P42" i="17" s="1"/>
  <c r="Q43" i="17" s="1"/>
  <c r="R44" i="17" s="1"/>
  <c r="S45" i="17" s="1"/>
  <c r="T46" i="17" s="1"/>
  <c r="U47" i="17" s="1"/>
  <c r="V48" i="17" s="1"/>
  <c r="W49" i="17" s="1"/>
  <c r="X50" i="17" s="1"/>
  <c r="Y51" i="17" s="1"/>
  <c r="Z52" i="17" s="1"/>
  <c r="AA53" i="17" s="1"/>
  <c r="I73" i="12"/>
  <c r="J74" i="12" s="1"/>
  <c r="K75" i="12" s="1"/>
  <c r="L76" i="12" s="1"/>
  <c r="M77" i="12" s="1"/>
  <c r="N78" i="12" s="1"/>
  <c r="O27" i="12" s="1"/>
  <c r="P28" i="12" s="1"/>
  <c r="Q29" i="12" s="1"/>
  <c r="R30" i="12" s="1"/>
  <c r="S31" i="12" s="1"/>
  <c r="T32" i="12" s="1"/>
  <c r="U33" i="12" s="1"/>
  <c r="V34" i="12" s="1"/>
  <c r="W35" i="12" s="1"/>
  <c r="X36" i="12" s="1"/>
  <c r="Y37" i="12" s="1"/>
  <c r="Z38" i="12" s="1"/>
  <c r="AA39" i="12" s="1"/>
  <c r="Q13" i="33"/>
  <c r="Z21" i="13"/>
  <c r="I51" i="12"/>
  <c r="J52" i="12" s="1"/>
  <c r="K53" i="12" s="1"/>
  <c r="L54" i="12" s="1"/>
  <c r="M55" i="12" s="1"/>
  <c r="N56" i="12" s="1"/>
  <c r="O57" i="12" s="1"/>
  <c r="P58" i="12" s="1"/>
  <c r="Q59" i="12" s="1"/>
  <c r="R60" i="12" s="1"/>
  <c r="S61" i="12" s="1"/>
  <c r="T62" i="12" s="1"/>
  <c r="U63" i="12" s="1"/>
  <c r="V64" i="12" s="1"/>
  <c r="W65" i="12" s="1"/>
  <c r="X66" i="12" s="1"/>
  <c r="Y67" i="12" s="1"/>
  <c r="Z68" i="12" s="1"/>
  <c r="AA69" i="12" s="1"/>
  <c r="I55" i="17"/>
  <c r="J56" i="17" s="1"/>
  <c r="K57" i="17" s="1"/>
  <c r="L58" i="17" s="1"/>
  <c r="M59" i="17" s="1"/>
  <c r="N60" i="17" s="1"/>
  <c r="O61" i="17" s="1"/>
  <c r="P62" i="17" s="1"/>
  <c r="Q63" i="17" s="1"/>
  <c r="R64" i="17" s="1"/>
  <c r="S65" i="17" s="1"/>
  <c r="T66" i="17" s="1"/>
  <c r="U67" i="17" s="1"/>
  <c r="V68" i="17" s="1"/>
  <c r="W69" i="17" s="1"/>
  <c r="X70" i="17" s="1"/>
  <c r="Y71" i="17" s="1"/>
  <c r="Z72" i="17" s="1"/>
  <c r="AA73" i="17" s="1"/>
  <c r="I62" i="12"/>
  <c r="J63" i="12" s="1"/>
  <c r="K64" i="12" s="1"/>
  <c r="L65" i="12" s="1"/>
  <c r="M66" i="12" s="1"/>
  <c r="N67" i="12" s="1"/>
  <c r="O68" i="12" s="1"/>
  <c r="P69" i="12" s="1"/>
  <c r="Q70" i="12" s="1"/>
  <c r="R71" i="12" s="1"/>
  <c r="S72" i="12" s="1"/>
  <c r="T73" i="12" s="1"/>
  <c r="U74" i="12" s="1"/>
  <c r="V75" i="12" s="1"/>
  <c r="W76" i="12" s="1"/>
  <c r="X77" i="12" s="1"/>
  <c r="Y78" i="12" s="1"/>
  <c r="Z27" i="12" s="1"/>
  <c r="AA28" i="12" s="1"/>
  <c r="I32" i="16"/>
  <c r="J33" i="16" s="1"/>
  <c r="K34" i="16" s="1"/>
  <c r="L35" i="16" s="1"/>
  <c r="M36" i="16" s="1"/>
  <c r="N37" i="16" s="1"/>
  <c r="O38" i="16" s="1"/>
  <c r="P39" i="16" s="1"/>
  <c r="Q40" i="16" s="1"/>
  <c r="R41" i="16" s="1"/>
  <c r="S42" i="16" s="1"/>
  <c r="T43" i="16" s="1"/>
  <c r="U44" i="16" s="1"/>
  <c r="V45" i="16" s="1"/>
  <c r="W46" i="16" s="1"/>
  <c r="X47" i="16" s="1"/>
  <c r="Y48" i="16" s="1"/>
  <c r="Z49" i="16" s="1"/>
  <c r="AA50" i="16" s="1"/>
  <c r="I46" i="16"/>
  <c r="J47" i="16" s="1"/>
  <c r="K48" i="16" s="1"/>
  <c r="L49" i="16" s="1"/>
  <c r="M50" i="16" s="1"/>
  <c r="N51" i="16" s="1"/>
  <c r="O52" i="16" s="1"/>
  <c r="P53" i="16" s="1"/>
  <c r="Q54" i="16" s="1"/>
  <c r="R55" i="16" s="1"/>
  <c r="S56" i="16" s="1"/>
  <c r="T57" i="16" s="1"/>
  <c r="U58" i="16" s="1"/>
  <c r="V59" i="16" s="1"/>
  <c r="W60" i="16" s="1"/>
  <c r="X61" i="16" s="1"/>
  <c r="Y62" i="16" s="1"/>
  <c r="Z63" i="16" s="1"/>
  <c r="AA64" i="16" s="1"/>
  <c r="I75" i="16"/>
  <c r="J76" i="16" s="1"/>
  <c r="K77" i="16" s="1"/>
  <c r="L78" i="16" s="1"/>
  <c r="M27" i="16" s="1"/>
  <c r="N28" i="16" s="1"/>
  <c r="O29" i="16" s="1"/>
  <c r="P30" i="16" s="1"/>
  <c r="Q31" i="16" s="1"/>
  <c r="R32" i="16" s="1"/>
  <c r="S33" i="16" s="1"/>
  <c r="T34" i="16" s="1"/>
  <c r="U35" i="16" s="1"/>
  <c r="V36" i="16" s="1"/>
  <c r="W37" i="16" s="1"/>
  <c r="X38" i="16" s="1"/>
  <c r="Y39" i="16" s="1"/>
  <c r="Z40" i="16" s="1"/>
  <c r="AA41" i="16" s="1"/>
  <c r="Q53" i="33"/>
  <c r="I40" i="16"/>
  <c r="J41" i="16" s="1"/>
  <c r="K42" i="16" s="1"/>
  <c r="L43" i="16" s="1"/>
  <c r="M44" i="16" s="1"/>
  <c r="N45" i="16" s="1"/>
  <c r="O46" i="16" s="1"/>
  <c r="P47" i="16" s="1"/>
  <c r="Q48" i="16" s="1"/>
  <c r="R49" i="16" s="1"/>
  <c r="S50" i="16" s="1"/>
  <c r="T51" i="16" s="1"/>
  <c r="U52" i="16" s="1"/>
  <c r="V53" i="16" s="1"/>
  <c r="W54" i="16" s="1"/>
  <c r="X55" i="16" s="1"/>
  <c r="Y56" i="16" s="1"/>
  <c r="Z57" i="16" s="1"/>
  <c r="AA58" i="16" s="1"/>
  <c r="I66" i="17"/>
  <c r="J67" i="17" s="1"/>
  <c r="K68" i="17" s="1"/>
  <c r="L69" i="17" s="1"/>
  <c r="M70" i="17" s="1"/>
  <c r="N71" i="17" s="1"/>
  <c r="O72" i="17" s="1"/>
  <c r="P73" i="17" s="1"/>
  <c r="Q74" i="17" s="1"/>
  <c r="R75" i="17" s="1"/>
  <c r="S76" i="17" s="1"/>
  <c r="T77" i="17" s="1"/>
  <c r="U78" i="17" s="1"/>
  <c r="V27" i="17" s="1"/>
  <c r="W28" i="17" s="1"/>
  <c r="X29" i="17" s="1"/>
  <c r="Y30" i="17" s="1"/>
  <c r="Z31" i="17" s="1"/>
  <c r="AA32" i="17" s="1"/>
  <c r="I44" i="17"/>
  <c r="J45" i="17" s="1"/>
  <c r="K46" i="17" s="1"/>
  <c r="L47" i="17" s="1"/>
  <c r="M48" i="17" s="1"/>
  <c r="N49" i="17" s="1"/>
  <c r="O50" i="17" s="1"/>
  <c r="P51" i="17" s="1"/>
  <c r="Q52" i="17" s="1"/>
  <c r="R53" i="17" s="1"/>
  <c r="S54" i="17" s="1"/>
  <c r="T55" i="17" s="1"/>
  <c r="U56" i="17" s="1"/>
  <c r="V57" i="17" s="1"/>
  <c r="W58" i="17" s="1"/>
  <c r="X59" i="17" s="1"/>
  <c r="Y60" i="17" s="1"/>
  <c r="Z61" i="17" s="1"/>
  <c r="AA62" i="17" s="1"/>
  <c r="Q48" i="4"/>
  <c r="AB47" i="4"/>
  <c r="N28" i="33" s="1"/>
  <c r="I40" i="17"/>
  <c r="J41" i="17" s="1"/>
  <c r="K42" i="17" s="1"/>
  <c r="L43" i="17" s="1"/>
  <c r="M44" i="17" s="1"/>
  <c r="N45" i="17" s="1"/>
  <c r="O46" i="17" s="1"/>
  <c r="P47" i="17" s="1"/>
  <c r="Q48" i="17" s="1"/>
  <c r="R49" i="17" s="1"/>
  <c r="S50" i="17" s="1"/>
  <c r="T51" i="17" s="1"/>
  <c r="U52" i="17" s="1"/>
  <c r="V53" i="17" s="1"/>
  <c r="W54" i="17" s="1"/>
  <c r="X55" i="17" s="1"/>
  <c r="Y56" i="17" s="1"/>
  <c r="Z57" i="17" s="1"/>
  <c r="AA58" i="17" s="1"/>
  <c r="I34" i="12"/>
  <c r="J35" i="12" s="1"/>
  <c r="K36" i="12" s="1"/>
  <c r="L37" i="12" s="1"/>
  <c r="M38" i="12" s="1"/>
  <c r="N39" i="12" s="1"/>
  <c r="O40" i="12" s="1"/>
  <c r="P41" i="12" s="1"/>
  <c r="Q42" i="12" s="1"/>
  <c r="R43" i="12" s="1"/>
  <c r="S44" i="12" s="1"/>
  <c r="T45" i="12" s="1"/>
  <c r="U46" i="12" s="1"/>
  <c r="V47" i="12" s="1"/>
  <c r="W48" i="12" s="1"/>
  <c r="X49" i="12" s="1"/>
  <c r="Y50" i="12" s="1"/>
  <c r="Z51" i="12" s="1"/>
  <c r="AA52" i="12" s="1"/>
  <c r="I29" i="12"/>
  <c r="J30" i="12" s="1"/>
  <c r="K31" i="12" s="1"/>
  <c r="L32" i="12" s="1"/>
  <c r="M33" i="12" s="1"/>
  <c r="N34" i="12" s="1"/>
  <c r="O35" i="12" s="1"/>
  <c r="P36" i="12" s="1"/>
  <c r="Q37" i="12" s="1"/>
  <c r="R38" i="12" s="1"/>
  <c r="S39" i="12" s="1"/>
  <c r="T40" i="12" s="1"/>
  <c r="U41" i="12" s="1"/>
  <c r="V42" i="12" s="1"/>
  <c r="W43" i="12" s="1"/>
  <c r="X44" i="12" s="1"/>
  <c r="Y45" i="12" s="1"/>
  <c r="Z46" i="12" s="1"/>
  <c r="AA47" i="12" s="1"/>
  <c r="I78" i="12"/>
  <c r="J27" i="12" s="1"/>
  <c r="K28" i="12" s="1"/>
  <c r="L29" i="12" s="1"/>
  <c r="M30" i="12" s="1"/>
  <c r="N31" i="12" s="1"/>
  <c r="O32" i="12" s="1"/>
  <c r="P33" i="12" s="1"/>
  <c r="Q34" i="12" s="1"/>
  <c r="R35" i="12" s="1"/>
  <c r="S36" i="12" s="1"/>
  <c r="T37" i="12" s="1"/>
  <c r="U38" i="12" s="1"/>
  <c r="V39" i="12" s="1"/>
  <c r="W40" i="12" s="1"/>
  <c r="X41" i="12" s="1"/>
  <c r="Y42" i="12" s="1"/>
  <c r="Z43" i="12" s="1"/>
  <c r="AA44" i="12" s="1"/>
  <c r="I31" i="12"/>
  <c r="J32" i="12" s="1"/>
  <c r="K33" i="12" s="1"/>
  <c r="L34" i="12" s="1"/>
  <c r="M35" i="12" s="1"/>
  <c r="N36" i="12" s="1"/>
  <c r="O37" i="12" s="1"/>
  <c r="P38" i="12" s="1"/>
  <c r="Q39" i="12" s="1"/>
  <c r="R40" i="12" s="1"/>
  <c r="S41" i="12" s="1"/>
  <c r="T42" i="12" s="1"/>
  <c r="U43" i="12" s="1"/>
  <c r="V44" i="12" s="1"/>
  <c r="W45" i="12" s="1"/>
  <c r="X46" i="12" s="1"/>
  <c r="Y47" i="12" s="1"/>
  <c r="Z48" i="12" s="1"/>
  <c r="AA49" i="12" s="1"/>
  <c r="P23" i="13"/>
  <c r="R22" i="13"/>
  <c r="B34" i="21"/>
  <c r="E33" i="21"/>
  <c r="F33" i="21" s="1"/>
  <c r="I54" i="12"/>
  <c r="J55" i="12" s="1"/>
  <c r="K56" i="12" s="1"/>
  <c r="L57" i="12" s="1"/>
  <c r="M58" i="12" s="1"/>
  <c r="N59" i="12" s="1"/>
  <c r="O60" i="12" s="1"/>
  <c r="P61" i="12" s="1"/>
  <c r="Q62" i="12" s="1"/>
  <c r="R63" i="12" s="1"/>
  <c r="S64" i="12" s="1"/>
  <c r="T65" i="12" s="1"/>
  <c r="U66" i="12" s="1"/>
  <c r="V67" i="12" s="1"/>
  <c r="W68" i="12" s="1"/>
  <c r="X69" i="12" s="1"/>
  <c r="Y70" i="12" s="1"/>
  <c r="Z71" i="12" s="1"/>
  <c r="AA72" i="12" s="1"/>
  <c r="I64" i="16"/>
  <c r="J65" i="16" s="1"/>
  <c r="K66" i="16" s="1"/>
  <c r="L67" i="16" s="1"/>
  <c r="M68" i="16" s="1"/>
  <c r="N69" i="16" s="1"/>
  <c r="O70" i="16" s="1"/>
  <c r="P71" i="16" s="1"/>
  <c r="Q72" i="16" s="1"/>
  <c r="R73" i="16" s="1"/>
  <c r="S74" i="16" s="1"/>
  <c r="T75" i="16" s="1"/>
  <c r="U76" i="16" s="1"/>
  <c r="V77" i="16" s="1"/>
  <c r="W78" i="16" s="1"/>
  <c r="X27" i="16" s="1"/>
  <c r="Y28" i="16" s="1"/>
  <c r="Z29" i="16" s="1"/>
  <c r="AA30" i="16" s="1"/>
  <c r="I63" i="16"/>
  <c r="I78" i="17"/>
  <c r="J27" i="17" s="1"/>
  <c r="K28" i="17" s="1"/>
  <c r="L29" i="17" s="1"/>
  <c r="M30" i="17" s="1"/>
  <c r="N31" i="17" s="1"/>
  <c r="O32" i="17" s="1"/>
  <c r="P33" i="17" s="1"/>
  <c r="Q34" i="17" s="1"/>
  <c r="R35" i="17" s="1"/>
  <c r="S36" i="17" s="1"/>
  <c r="T37" i="17" s="1"/>
  <c r="U38" i="17" s="1"/>
  <c r="V39" i="17" s="1"/>
  <c r="W40" i="17" s="1"/>
  <c r="X41" i="17" s="1"/>
  <c r="Y42" i="17" s="1"/>
  <c r="Z43" i="17" s="1"/>
  <c r="AA44" i="17" s="1"/>
  <c r="S61" i="13"/>
  <c r="I36" i="16"/>
  <c r="J37" i="16" s="1"/>
  <c r="K38" i="16" s="1"/>
  <c r="L39" i="16" s="1"/>
  <c r="M40" i="16" s="1"/>
  <c r="N41" i="16" s="1"/>
  <c r="O42" i="16" s="1"/>
  <c r="P43" i="16" s="1"/>
  <c r="Q44" i="16" s="1"/>
  <c r="R45" i="16" s="1"/>
  <c r="S46" i="16" s="1"/>
  <c r="T47" i="16" s="1"/>
  <c r="U48" i="16" s="1"/>
  <c r="V49" i="16" s="1"/>
  <c r="W50" i="16" s="1"/>
  <c r="X51" i="16" s="1"/>
  <c r="Y52" i="16" s="1"/>
  <c r="Z53" i="16" s="1"/>
  <c r="AA54" i="16" s="1"/>
  <c r="I68" i="12"/>
  <c r="J69" i="12" s="1"/>
  <c r="K70" i="12" s="1"/>
  <c r="L71" i="12" s="1"/>
  <c r="M72" i="12" s="1"/>
  <c r="N73" i="12" s="1"/>
  <c r="O74" i="12" s="1"/>
  <c r="P75" i="12" s="1"/>
  <c r="Q76" i="12" s="1"/>
  <c r="R77" i="12" s="1"/>
  <c r="S78" i="12" s="1"/>
  <c r="T27" i="12" s="1"/>
  <c r="U28" i="12" s="1"/>
  <c r="V29" i="12" s="1"/>
  <c r="W30" i="12" s="1"/>
  <c r="X31" i="12" s="1"/>
  <c r="Y32" i="12" s="1"/>
  <c r="Z33" i="12" s="1"/>
  <c r="AA34" i="12" s="1"/>
  <c r="I43" i="16"/>
  <c r="J44" i="16" s="1"/>
  <c r="K45" i="16" s="1"/>
  <c r="L46" i="16" s="1"/>
  <c r="M47" i="16" s="1"/>
  <c r="N48" i="16" s="1"/>
  <c r="O49" i="16" s="1"/>
  <c r="P50" i="16" s="1"/>
  <c r="Q51" i="16" s="1"/>
  <c r="R52" i="16" s="1"/>
  <c r="S53" i="16" s="1"/>
  <c r="T54" i="16" s="1"/>
  <c r="U55" i="16" s="1"/>
  <c r="V56" i="16" s="1"/>
  <c r="W57" i="16" s="1"/>
  <c r="X58" i="16" s="1"/>
  <c r="Y59" i="16" s="1"/>
  <c r="Z60" i="16" s="1"/>
  <c r="AA61" i="16" s="1"/>
  <c r="P63" i="13"/>
  <c r="R62" i="13"/>
  <c r="Q54" i="33" s="1"/>
  <c r="I39" i="16"/>
  <c r="J40" i="16" s="1"/>
  <c r="K41" i="16" s="1"/>
  <c r="L42" i="16" s="1"/>
  <c r="M43" i="16" s="1"/>
  <c r="N44" i="16" s="1"/>
  <c r="O45" i="16" s="1"/>
  <c r="P46" i="16" s="1"/>
  <c r="Q47" i="16" s="1"/>
  <c r="R48" i="16" s="1"/>
  <c r="S49" i="16" s="1"/>
  <c r="T50" i="16" s="1"/>
  <c r="U51" i="16" s="1"/>
  <c r="V52" i="16" s="1"/>
  <c r="W53" i="16" s="1"/>
  <c r="X54" i="16" s="1"/>
  <c r="Y55" i="16" s="1"/>
  <c r="Z56" i="16" s="1"/>
  <c r="AA57" i="16" s="1"/>
  <c r="I60" i="16"/>
  <c r="J61" i="16" s="1"/>
  <c r="I68" i="17"/>
  <c r="J69" i="17" s="1"/>
  <c r="K70" i="17" s="1"/>
  <c r="L71" i="17" s="1"/>
  <c r="M72" i="17" s="1"/>
  <c r="N73" i="17" s="1"/>
  <c r="O74" i="17" s="1"/>
  <c r="P75" i="17" s="1"/>
  <c r="Q76" i="17" s="1"/>
  <c r="R77" i="17" s="1"/>
  <c r="S78" i="17" s="1"/>
  <c r="T27" i="17" s="1"/>
  <c r="U28" i="17" s="1"/>
  <c r="V29" i="17" s="1"/>
  <c r="W30" i="17" s="1"/>
  <c r="X31" i="17" s="1"/>
  <c r="Y32" i="17" s="1"/>
  <c r="Z33" i="17" s="1"/>
  <c r="AA34" i="17" s="1"/>
  <c r="I36" i="12"/>
  <c r="J37" i="12" s="1"/>
  <c r="K38" i="12" s="1"/>
  <c r="L39" i="12" s="1"/>
  <c r="M40" i="12" s="1"/>
  <c r="N41" i="12" s="1"/>
  <c r="O42" i="12" s="1"/>
  <c r="P43" i="12" s="1"/>
  <c r="Q44" i="12" s="1"/>
  <c r="R45" i="12" s="1"/>
  <c r="S46" i="12" s="1"/>
  <c r="T47" i="12" s="1"/>
  <c r="U48" i="12" s="1"/>
  <c r="V49" i="12" s="1"/>
  <c r="W50" i="12" s="1"/>
  <c r="X51" i="12" s="1"/>
  <c r="Y52" i="12" s="1"/>
  <c r="Z53" i="12" s="1"/>
  <c r="AA54" i="12" s="1"/>
  <c r="I28" i="17"/>
  <c r="J29" i="17" s="1"/>
  <c r="K30" i="17" s="1"/>
  <c r="L31" i="17" s="1"/>
  <c r="M32" i="17" s="1"/>
  <c r="N33" i="17" s="1"/>
  <c r="O34" i="17" s="1"/>
  <c r="P35" i="17" s="1"/>
  <c r="Q36" i="17" s="1"/>
  <c r="R37" i="17" s="1"/>
  <c r="S38" i="17" s="1"/>
  <c r="T39" i="17" s="1"/>
  <c r="U40" i="17" s="1"/>
  <c r="V41" i="17" s="1"/>
  <c r="W42" i="17" s="1"/>
  <c r="X43" i="17" s="1"/>
  <c r="Y44" i="17" s="1"/>
  <c r="Z45" i="17" s="1"/>
  <c r="AA46" i="17" s="1"/>
  <c r="I76" i="12"/>
  <c r="J77" i="12" s="1"/>
  <c r="K78" i="12" s="1"/>
  <c r="L27" i="12" s="1"/>
  <c r="M28" i="12" s="1"/>
  <c r="N29" i="12" s="1"/>
  <c r="O30" i="12" s="1"/>
  <c r="P31" i="12" s="1"/>
  <c r="Q32" i="12" s="1"/>
  <c r="R33" i="12" s="1"/>
  <c r="S34" i="12" s="1"/>
  <c r="T35" i="12" s="1"/>
  <c r="U36" i="12" s="1"/>
  <c r="V37" i="12" s="1"/>
  <c r="W38" i="12" s="1"/>
  <c r="X39" i="12" s="1"/>
  <c r="Y40" i="12" s="1"/>
  <c r="Z41" i="12" s="1"/>
  <c r="AA42" i="12" s="1"/>
  <c r="I53" i="12"/>
  <c r="J54" i="12" s="1"/>
  <c r="K55" i="12" s="1"/>
  <c r="L56" i="12" s="1"/>
  <c r="M57" i="12" s="1"/>
  <c r="N58" i="12" s="1"/>
  <c r="O59" i="12" s="1"/>
  <c r="P60" i="12" s="1"/>
  <c r="Q61" i="12" s="1"/>
  <c r="R62" i="12" s="1"/>
  <c r="S63" i="12" s="1"/>
  <c r="T64" i="12" s="1"/>
  <c r="U65" i="12" s="1"/>
  <c r="V66" i="12" s="1"/>
  <c r="W67" i="12" s="1"/>
  <c r="X68" i="12" s="1"/>
  <c r="Y69" i="12" s="1"/>
  <c r="Z70" i="12" s="1"/>
  <c r="AA71" i="12" s="1"/>
  <c r="I69" i="12"/>
  <c r="J70" i="12" s="1"/>
  <c r="K71" i="12" s="1"/>
  <c r="L72" i="12" s="1"/>
  <c r="M73" i="12" s="1"/>
  <c r="N74" i="12" s="1"/>
  <c r="O75" i="12" s="1"/>
  <c r="P76" i="12" s="1"/>
  <c r="Q77" i="12" s="1"/>
  <c r="R78" i="12" s="1"/>
  <c r="S27" i="12" s="1"/>
  <c r="T28" i="12" s="1"/>
  <c r="U29" i="12" s="1"/>
  <c r="V30" i="12" s="1"/>
  <c r="W31" i="12" s="1"/>
  <c r="X32" i="12" s="1"/>
  <c r="Y33" i="12" s="1"/>
  <c r="Z34" i="12" s="1"/>
  <c r="AA35" i="12" s="1"/>
  <c r="W23" i="37" l="1"/>
  <c r="X23" i="37"/>
  <c r="AA23" i="37"/>
  <c r="AB23" i="37"/>
  <c r="D31" i="13"/>
  <c r="B32" i="13"/>
  <c r="C32" i="13" s="1"/>
  <c r="Q29" i="33"/>
  <c r="Z30" i="13"/>
  <c r="H19" i="30" s="1"/>
  <c r="T30" i="13"/>
  <c r="U30" i="13" s="1"/>
  <c r="V30" i="13" s="1"/>
  <c r="Y30" i="13" s="1"/>
  <c r="H19" i="22" s="1"/>
  <c r="O39" i="13"/>
  <c r="S38" i="13"/>
  <c r="R38" i="13"/>
  <c r="Q30" i="33" s="1"/>
  <c r="AB66" i="12"/>
  <c r="K62" i="16"/>
  <c r="L63" i="16" s="1"/>
  <c r="M64" i="16" s="1"/>
  <c r="N65" i="16" s="1"/>
  <c r="O66" i="16" s="1"/>
  <c r="P67" i="16" s="1"/>
  <c r="Q68" i="16" s="1"/>
  <c r="R69" i="16" s="1"/>
  <c r="S70" i="16" s="1"/>
  <c r="T71" i="16" s="1"/>
  <c r="U72" i="16" s="1"/>
  <c r="V73" i="16" s="1"/>
  <c r="W74" i="16" s="1"/>
  <c r="X75" i="16" s="1"/>
  <c r="Y76" i="16" s="1"/>
  <c r="Z77" i="16" s="1"/>
  <c r="AA78" i="16" s="1"/>
  <c r="AC47" i="4"/>
  <c r="S62" i="13"/>
  <c r="AB57" i="17"/>
  <c r="P15" i="34" s="1"/>
  <c r="J62" i="16"/>
  <c r="AB70" i="12"/>
  <c r="O43" i="13"/>
  <c r="R42" i="13"/>
  <c r="Q34" i="33" s="1"/>
  <c r="S42" i="13"/>
  <c r="AB67" i="12"/>
  <c r="O48" i="33" s="1"/>
  <c r="AB75" i="12"/>
  <c r="O56" i="33" s="1"/>
  <c r="D41" i="17"/>
  <c r="AD41" i="17" s="1"/>
  <c r="B42" i="17"/>
  <c r="C42" i="17" s="1"/>
  <c r="V23" i="37"/>
  <c r="V24" i="37" s="1"/>
  <c r="AB46" i="17"/>
  <c r="P27" i="33" s="1"/>
  <c r="AB64" i="12"/>
  <c r="O45" i="33" s="1"/>
  <c r="AB60" i="17"/>
  <c r="P41" i="33" s="1"/>
  <c r="AB34" i="12"/>
  <c r="AB53" i="16"/>
  <c r="M34" i="33" s="1"/>
  <c r="AC70" i="12"/>
  <c r="AD42" i="12"/>
  <c r="AC64" i="12"/>
  <c r="P38" i="33"/>
  <c r="AB77" i="12"/>
  <c r="O58" i="33" s="1"/>
  <c r="AB38" i="16"/>
  <c r="AB37" i="17"/>
  <c r="AC34" i="12"/>
  <c r="AE34" i="12" s="1"/>
  <c r="AF34" i="12" s="1"/>
  <c r="AI34" i="12" s="1"/>
  <c r="F12" i="22" s="1"/>
  <c r="AB50" i="17"/>
  <c r="P31" i="33" s="1"/>
  <c r="AB44" i="17"/>
  <c r="Q67" i="13"/>
  <c r="R66" i="13"/>
  <c r="Q58" i="33" s="1"/>
  <c r="AB36" i="12"/>
  <c r="AC36" i="12" s="1"/>
  <c r="AE36" i="12" s="1"/>
  <c r="AF36" i="12" s="1"/>
  <c r="AI36" i="12" s="1"/>
  <c r="F14" i="22" s="1"/>
  <c r="Q47" i="33"/>
  <c r="S51" i="4"/>
  <c r="AG50" i="4"/>
  <c r="AH50" i="4" s="1"/>
  <c r="E34" i="21"/>
  <c r="F34" i="21" s="1"/>
  <c r="B35" i="21"/>
  <c r="AB45" i="16"/>
  <c r="M26" i="33" s="1"/>
  <c r="AC38" i="16"/>
  <c r="AE38" i="16" s="1"/>
  <c r="AF38" i="16" s="1"/>
  <c r="AI38" i="16" s="1"/>
  <c r="E16" i="22" s="1"/>
  <c r="H10" i="30"/>
  <c r="AB34" i="16"/>
  <c r="AC34" i="16" s="1"/>
  <c r="AE34" i="16" s="1"/>
  <c r="AF34" i="16" s="1"/>
  <c r="AI34" i="16" s="1"/>
  <c r="E12" i="22" s="1"/>
  <c r="AB59" i="17"/>
  <c r="P40" i="33" s="1"/>
  <c r="AB45" i="17"/>
  <c r="P26" i="33" s="1"/>
  <c r="AC44" i="17"/>
  <c r="AB60" i="12"/>
  <c r="O41" i="33" s="1"/>
  <c r="AC37" i="12"/>
  <c r="AE37" i="12" s="1"/>
  <c r="AF37" i="12" s="1"/>
  <c r="AI37" i="12" s="1"/>
  <c r="F15" i="22" s="1"/>
  <c r="S55" i="13"/>
  <c r="AB59" i="12"/>
  <c r="O40" i="33" s="1"/>
  <c r="R52" i="4"/>
  <c r="AB73" i="12"/>
  <c r="O54" i="33" s="1"/>
  <c r="B44" i="12"/>
  <c r="C44" i="12" s="1"/>
  <c r="D43" i="12"/>
  <c r="Q14" i="33"/>
  <c r="Z22" i="13"/>
  <c r="H11" i="30" s="1"/>
  <c r="AB28" i="12"/>
  <c r="AB31" i="16"/>
  <c r="AC31" i="16" s="1"/>
  <c r="AE31" i="16" s="1"/>
  <c r="AF31" i="16" s="1"/>
  <c r="AI31" i="16" s="1"/>
  <c r="E9" i="22" s="1"/>
  <c r="AB57" i="16"/>
  <c r="AB40" i="16"/>
  <c r="AB48" i="17"/>
  <c r="AC48" i="17" s="1"/>
  <c r="AB32" i="16"/>
  <c r="AC32" i="16" s="1"/>
  <c r="AE32" i="16" s="1"/>
  <c r="AF32" i="16" s="1"/>
  <c r="AI32" i="16" s="1"/>
  <c r="E10" i="22" s="1"/>
  <c r="AB37" i="12"/>
  <c r="Q57" i="13"/>
  <c r="R56" i="13"/>
  <c r="Q48" i="33" s="1"/>
  <c r="AB53" i="17"/>
  <c r="P34" i="33" s="1"/>
  <c r="O51" i="33"/>
  <c r="S22" i="13"/>
  <c r="U22" i="13" s="1"/>
  <c r="V22" i="13" s="1"/>
  <c r="Y22" i="13" s="1"/>
  <c r="AB72" i="12"/>
  <c r="O53" i="33" s="1"/>
  <c r="AB58" i="17"/>
  <c r="P39" i="33" s="1"/>
  <c r="J39" i="12"/>
  <c r="AB38" i="12"/>
  <c r="AC38" i="12" s="1"/>
  <c r="AE38" i="12" s="1"/>
  <c r="AF38" i="12" s="1"/>
  <c r="AI38" i="12" s="1"/>
  <c r="F16" i="22" s="1"/>
  <c r="AB43" i="16"/>
  <c r="M24" i="33" s="1"/>
  <c r="AC74" i="12"/>
  <c r="AB61" i="17"/>
  <c r="AC61" i="17" s="1"/>
  <c r="AB36" i="17"/>
  <c r="AB71" i="12"/>
  <c r="O52" i="33" s="1"/>
  <c r="AB41" i="16"/>
  <c r="AB52" i="17"/>
  <c r="AC52" i="17" s="1"/>
  <c r="AB35" i="12"/>
  <c r="AC35" i="12" s="1"/>
  <c r="AE35" i="12" s="1"/>
  <c r="AF35" i="12" s="1"/>
  <c r="AI35" i="12" s="1"/>
  <c r="F13" i="22" s="1"/>
  <c r="Q64" i="13"/>
  <c r="R63" i="13"/>
  <c r="S63" i="13" s="1"/>
  <c r="Q24" i="13"/>
  <c r="R23" i="13"/>
  <c r="AB33" i="12"/>
  <c r="AC72" i="12"/>
  <c r="AB44" i="16"/>
  <c r="AB40" i="17"/>
  <c r="AC40" i="17" s="1"/>
  <c r="AE40" i="17" s="1"/>
  <c r="AF40" i="17" s="1"/>
  <c r="AI40" i="17" s="1"/>
  <c r="G18" i="22" s="1"/>
  <c r="AC57" i="16"/>
  <c r="AB36" i="16"/>
  <c r="AB55" i="17"/>
  <c r="P36" i="33" s="1"/>
  <c r="AB74" i="12"/>
  <c r="D30" i="11"/>
  <c r="B31" i="11"/>
  <c r="C31" i="11" s="1"/>
  <c r="AB32" i="17"/>
  <c r="AC32" i="17" s="1"/>
  <c r="AE32" i="17" s="1"/>
  <c r="AF32" i="17" s="1"/>
  <c r="AI32" i="17" s="1"/>
  <c r="G10" i="22" s="1"/>
  <c r="AB76" i="12"/>
  <c r="O57" i="33" s="1"/>
  <c r="AB41" i="17"/>
  <c r="AC41" i="17" s="1"/>
  <c r="AE41" i="17" s="1"/>
  <c r="AF41" i="17" s="1"/>
  <c r="AI41" i="17" s="1"/>
  <c r="G19" i="22" s="1"/>
  <c r="AB54" i="16"/>
  <c r="M35" i="33" s="1"/>
  <c r="I29" i="11"/>
  <c r="I23" i="30" s="1"/>
  <c r="G29" i="11"/>
  <c r="H29" i="11" s="1"/>
  <c r="I23" i="22" s="1"/>
  <c r="AB27" i="12"/>
  <c r="AC77" i="12"/>
  <c r="AD41" i="4"/>
  <c r="AE41" i="4" s="1"/>
  <c r="AF41" i="4" s="1"/>
  <c r="AI41" i="4" s="1"/>
  <c r="D19" i="22" s="1"/>
  <c r="AJ41" i="4"/>
  <c r="D19" i="30" s="1"/>
  <c r="AB39" i="16"/>
  <c r="AC44" i="16"/>
  <c r="AD25" i="37"/>
  <c r="AC25" i="37"/>
  <c r="AB61" i="12"/>
  <c r="AB57" i="12"/>
  <c r="AB62" i="17"/>
  <c r="P43" i="33" s="1"/>
  <c r="AB78" i="12"/>
  <c r="O59" i="33" s="1"/>
  <c r="AB29" i="12"/>
  <c r="AB30" i="16"/>
  <c r="AB60" i="16"/>
  <c r="M41" i="33" s="1"/>
  <c r="AC36" i="16"/>
  <c r="AE36" i="16" s="1"/>
  <c r="AF36" i="16" s="1"/>
  <c r="AI36" i="16" s="1"/>
  <c r="E14" i="22" s="1"/>
  <c r="AB32" i="12"/>
  <c r="AB33" i="17"/>
  <c r="AB35" i="16"/>
  <c r="AC35" i="16" s="1"/>
  <c r="AE35" i="16" s="1"/>
  <c r="AF35" i="16" s="1"/>
  <c r="AI35" i="16" s="1"/>
  <c r="E13" i="22" s="1"/>
  <c r="R49" i="4"/>
  <c r="AB48" i="4"/>
  <c r="AC48" i="4" s="1"/>
  <c r="AB43" i="17"/>
  <c r="P24" i="33" s="1"/>
  <c r="AC66" i="12"/>
  <c r="AB68" i="12"/>
  <c r="O49" i="33" s="1"/>
  <c r="AC33" i="12"/>
  <c r="AE33" i="12" s="1"/>
  <c r="AF33" i="12" s="1"/>
  <c r="AI33" i="12" s="1"/>
  <c r="F11" i="22" s="1"/>
  <c r="AC61" i="12"/>
  <c r="AB42" i="16"/>
  <c r="M23" i="33" s="1"/>
  <c r="J64" i="16"/>
  <c r="AG63" i="16"/>
  <c r="AH63" i="16" s="1"/>
  <c r="AB34" i="17"/>
  <c r="AC34" i="17" s="1"/>
  <c r="AE34" i="17" s="1"/>
  <c r="AF34" i="17" s="1"/>
  <c r="AI34" i="17" s="1"/>
  <c r="G12" i="22" s="1"/>
  <c r="AB50" i="16"/>
  <c r="M31" i="33" s="1"/>
  <c r="AC57" i="12"/>
  <c r="J64" i="17"/>
  <c r="AG63" i="17"/>
  <c r="AH63" i="17" s="1"/>
  <c r="AB51" i="17"/>
  <c r="P32" i="33" s="1"/>
  <c r="B28" i="15"/>
  <c r="C28" i="15" s="1"/>
  <c r="D27" i="15"/>
  <c r="AB61" i="16"/>
  <c r="AB48" i="16"/>
  <c r="AC48" i="16" s="1"/>
  <c r="AB56" i="16"/>
  <c r="M37" i="33" s="1"/>
  <c r="AB58" i="16"/>
  <c r="M39" i="33" s="1"/>
  <c r="AC32" i="12"/>
  <c r="AE32" i="12" s="1"/>
  <c r="AF32" i="12" s="1"/>
  <c r="AI32" i="12" s="1"/>
  <c r="F10" i="22" s="1"/>
  <c r="AB51" i="16"/>
  <c r="M32" i="33" s="1"/>
  <c r="AB69" i="12"/>
  <c r="O50" i="33" s="1"/>
  <c r="AB58" i="12"/>
  <c r="O39" i="33" s="1"/>
  <c r="AB47" i="16"/>
  <c r="M28" i="33" s="1"/>
  <c r="AB30" i="17"/>
  <c r="AC30" i="17" s="1"/>
  <c r="AE30" i="17" s="1"/>
  <c r="AF30" i="17" s="1"/>
  <c r="AI30" i="17" s="1"/>
  <c r="G8" i="22" s="1"/>
  <c r="O47" i="33"/>
  <c r="D43" i="16"/>
  <c r="B44" i="16"/>
  <c r="C44" i="16" s="1"/>
  <c r="AC75" i="12"/>
  <c r="AC67" i="12"/>
  <c r="AB30" i="12"/>
  <c r="AB39" i="17"/>
  <c r="Q18" i="34"/>
  <c r="AB54" i="17"/>
  <c r="P35" i="33" s="1"/>
  <c r="AB52" i="16"/>
  <c r="AB56" i="17"/>
  <c r="P37" i="33" s="1"/>
  <c r="K26" i="15"/>
  <c r="J20" i="30" s="1"/>
  <c r="G26" i="15"/>
  <c r="H26" i="15" s="1"/>
  <c r="J20" i="22" s="1"/>
  <c r="AB47" i="17"/>
  <c r="P28" i="33" s="1"/>
  <c r="AB63" i="12"/>
  <c r="O44" i="33" s="1"/>
  <c r="AC46" i="16"/>
  <c r="AB38" i="17"/>
  <c r="AB65" i="12"/>
  <c r="O46" i="33" s="1"/>
  <c r="AB31" i="17"/>
  <c r="AC31" i="17" s="1"/>
  <c r="AE31" i="17" s="1"/>
  <c r="AF31" i="17" s="1"/>
  <c r="AI31" i="17" s="1"/>
  <c r="G9" i="22" s="1"/>
  <c r="AC56" i="17"/>
  <c r="AB37" i="16"/>
  <c r="AB46" i="16"/>
  <c r="M27" i="33" s="1"/>
  <c r="AC31" i="12"/>
  <c r="AE31" i="12" s="1"/>
  <c r="AF31" i="12" s="1"/>
  <c r="AI31" i="12" s="1"/>
  <c r="F9" i="22" s="1"/>
  <c r="AB59" i="16"/>
  <c r="Z24" i="37"/>
  <c r="Y24" i="37"/>
  <c r="AC52" i="16"/>
  <c r="AB49" i="17"/>
  <c r="P30" i="33" s="1"/>
  <c r="AC38" i="17"/>
  <c r="AE38" i="17" s="1"/>
  <c r="AF38" i="17" s="1"/>
  <c r="AI38" i="17" s="1"/>
  <c r="G16" i="22" s="1"/>
  <c r="AB42" i="17"/>
  <c r="P23" i="33" s="1"/>
  <c r="AB62" i="12"/>
  <c r="O43" i="33" s="1"/>
  <c r="N12" i="34"/>
  <c r="AB31" i="12"/>
  <c r="AC57" i="17"/>
  <c r="S25" i="37"/>
  <c r="T25" i="37"/>
  <c r="AB49" i="16"/>
  <c r="M30" i="33" s="1"/>
  <c r="AB63" i="17"/>
  <c r="D42" i="4"/>
  <c r="B43" i="4"/>
  <c r="C43" i="4" s="1"/>
  <c r="AC46" i="17"/>
  <c r="AB35" i="17"/>
  <c r="AC35" i="17" s="1"/>
  <c r="AE35" i="17" s="1"/>
  <c r="AF35" i="17" s="1"/>
  <c r="AI35" i="17" s="1"/>
  <c r="G13" i="22" s="1"/>
  <c r="AC71" i="12"/>
  <c r="AD42" i="16"/>
  <c r="AB55" i="16"/>
  <c r="M36" i="33" s="1"/>
  <c r="AB33" i="16"/>
  <c r="AC60" i="17"/>
  <c r="P40" i="13" l="1"/>
  <c r="R39" i="13"/>
  <c r="S39" i="13"/>
  <c r="AC47" i="17"/>
  <c r="P44" i="13"/>
  <c r="R43" i="13"/>
  <c r="Q35" i="33" s="1"/>
  <c r="S43" i="13"/>
  <c r="AC62" i="16"/>
  <c r="AB62" i="16"/>
  <c r="M43" i="33" s="1"/>
  <c r="AC43" i="16"/>
  <c r="K63" i="16"/>
  <c r="D32" i="13"/>
  <c r="B33" i="13"/>
  <c r="C33" i="13" s="1"/>
  <c r="AJ42" i="16"/>
  <c r="E20" i="30" s="1"/>
  <c r="T31" i="13"/>
  <c r="U31" i="13" s="1"/>
  <c r="V31" i="13" s="1"/>
  <c r="Y31" i="13" s="1"/>
  <c r="H20" i="22" s="1"/>
  <c r="Z31" i="13"/>
  <c r="H20" i="30" s="1"/>
  <c r="AC62" i="17"/>
  <c r="AC60" i="16"/>
  <c r="AB24" i="37"/>
  <c r="AA24" i="37"/>
  <c r="AC54" i="17"/>
  <c r="AC55" i="17"/>
  <c r="B43" i="17"/>
  <c r="C43" i="17" s="1"/>
  <c r="D42" i="17"/>
  <c r="AD42" i="17" s="1"/>
  <c r="W24" i="37"/>
  <c r="X24" i="37"/>
  <c r="AC58" i="12"/>
  <c r="AC58" i="17"/>
  <c r="AC45" i="17"/>
  <c r="U24" i="37"/>
  <c r="K27" i="15"/>
  <c r="J21" i="30" s="1"/>
  <c r="G27" i="15"/>
  <c r="H27" i="15" s="1"/>
  <c r="J21" i="22" s="1"/>
  <c r="P16" i="33"/>
  <c r="P10" i="34"/>
  <c r="AJ35" i="17"/>
  <c r="G13" i="30" s="1"/>
  <c r="AC58" i="16"/>
  <c r="D28" i="15"/>
  <c r="B29" i="15"/>
  <c r="C29" i="15" s="1"/>
  <c r="AC78" i="12"/>
  <c r="D31" i="11"/>
  <c r="B32" i="11"/>
  <c r="C32" i="11" s="1"/>
  <c r="M22" i="33"/>
  <c r="AJ41" i="16"/>
  <c r="E19" i="30" s="1"/>
  <c r="O19" i="33"/>
  <c r="AJ38" i="12"/>
  <c r="F16" i="30" s="1"/>
  <c r="AD43" i="12"/>
  <c r="C16" i="22"/>
  <c r="P18" i="33"/>
  <c r="AJ37" i="17"/>
  <c r="G15" i="30" s="1"/>
  <c r="G30" i="11"/>
  <c r="H30" i="11" s="1"/>
  <c r="I24" i="22" s="1"/>
  <c r="I30" i="11"/>
  <c r="I24" i="30" s="1"/>
  <c r="AC47" i="16"/>
  <c r="M11" i="33"/>
  <c r="AJ30" i="16"/>
  <c r="E8" i="30" s="1"/>
  <c r="O55" i="33"/>
  <c r="O19" i="34"/>
  <c r="C9" i="22"/>
  <c r="AC59" i="17"/>
  <c r="AC49" i="17"/>
  <c r="M15" i="34"/>
  <c r="M38" i="33"/>
  <c r="AC43" i="17"/>
  <c r="M19" i="33"/>
  <c r="AJ38" i="16"/>
  <c r="E16" i="30" s="1"/>
  <c r="M20" i="33"/>
  <c r="AJ39" i="16"/>
  <c r="E17" i="30" s="1"/>
  <c r="AC54" i="16"/>
  <c r="O14" i="33"/>
  <c r="AJ33" i="12"/>
  <c r="F11" i="30" s="1"/>
  <c r="Q15" i="33"/>
  <c r="Z23" i="13"/>
  <c r="H12" i="30" s="1"/>
  <c r="Q9" i="34"/>
  <c r="AC76" i="12"/>
  <c r="E35" i="21"/>
  <c r="F35" i="21" s="1"/>
  <c r="B36" i="21"/>
  <c r="AC45" i="16"/>
  <c r="M18" i="33"/>
  <c r="AJ37" i="16"/>
  <c r="E15" i="30" s="1"/>
  <c r="C10" i="22"/>
  <c r="P14" i="33"/>
  <c r="AJ33" i="17"/>
  <c r="G11" i="30" s="1"/>
  <c r="P22" i="33"/>
  <c r="AJ41" i="17"/>
  <c r="G19" i="30" s="1"/>
  <c r="AC42" i="16"/>
  <c r="AE42" i="16" s="1"/>
  <c r="AF42" i="16" s="1"/>
  <c r="AI42" i="16" s="1"/>
  <c r="E20" i="22" s="1"/>
  <c r="S23" i="13"/>
  <c r="U23" i="13" s="1"/>
  <c r="V23" i="13" s="1"/>
  <c r="Y23" i="13" s="1"/>
  <c r="H12" i="22" s="1"/>
  <c r="C12" i="22" s="1"/>
  <c r="AC41" i="16"/>
  <c r="AE41" i="16" s="1"/>
  <c r="AF41" i="16" s="1"/>
  <c r="AI41" i="16" s="1"/>
  <c r="E19" i="22" s="1"/>
  <c r="O17" i="33"/>
  <c r="AJ36" i="12"/>
  <c r="F14" i="30" s="1"/>
  <c r="AC50" i="17"/>
  <c r="K40" i="12"/>
  <c r="AB39" i="12"/>
  <c r="AC39" i="12" s="1"/>
  <c r="AE39" i="12" s="1"/>
  <c r="AF39" i="12" s="1"/>
  <c r="AI39" i="12" s="1"/>
  <c r="F17" i="22" s="1"/>
  <c r="M21" i="33"/>
  <c r="M11" i="34"/>
  <c r="AJ40" i="16"/>
  <c r="E18" i="30" s="1"/>
  <c r="B45" i="12"/>
  <c r="C45" i="12" s="1"/>
  <c r="D44" i="12"/>
  <c r="P20" i="33"/>
  <c r="AJ39" i="17"/>
  <c r="G17" i="30" s="1"/>
  <c r="O12" i="33"/>
  <c r="O9" i="34"/>
  <c r="AJ31" i="12"/>
  <c r="F9" i="30" s="1"/>
  <c r="Y25" i="37"/>
  <c r="Z25" i="37"/>
  <c r="B44" i="4"/>
  <c r="C44" i="4" s="1"/>
  <c r="D43" i="4"/>
  <c r="AC37" i="16"/>
  <c r="AE37" i="16" s="1"/>
  <c r="AF37" i="16" s="1"/>
  <c r="AI37" i="16" s="1"/>
  <c r="E15" i="22" s="1"/>
  <c r="M29" i="33"/>
  <c r="M13" i="34"/>
  <c r="P15" i="33"/>
  <c r="AJ34" i="17"/>
  <c r="G12" i="30" s="1"/>
  <c r="O38" i="33"/>
  <c r="O15" i="34"/>
  <c r="R24" i="13"/>
  <c r="S24" i="13"/>
  <c r="U24" i="13" s="1"/>
  <c r="V24" i="13" s="1"/>
  <c r="Y24" i="13" s="1"/>
  <c r="H13" i="22" s="1"/>
  <c r="C13" i="22" s="1"/>
  <c r="S53" i="4"/>
  <c r="O15" i="33"/>
  <c r="AJ34" i="12"/>
  <c r="F12" i="30" s="1"/>
  <c r="AD42" i="4"/>
  <c r="AE42" i="4" s="1"/>
  <c r="AF42" i="4" s="1"/>
  <c r="AI42" i="4" s="1"/>
  <c r="D20" i="22" s="1"/>
  <c r="AJ42" i="4"/>
  <c r="D20" i="30" s="1"/>
  <c r="AC49" i="16"/>
  <c r="AC65" i="12"/>
  <c r="P9" i="34"/>
  <c r="P12" i="33"/>
  <c r="AJ31" i="17"/>
  <c r="G9" i="30" s="1"/>
  <c r="D44" i="16"/>
  <c r="B45" i="16"/>
  <c r="C45" i="16" s="1"/>
  <c r="AC63" i="12"/>
  <c r="AC39" i="17"/>
  <c r="AE39" i="17" s="1"/>
  <c r="AF39" i="17" s="1"/>
  <c r="AI39" i="17" s="1"/>
  <c r="G17" i="22" s="1"/>
  <c r="AC50" i="16"/>
  <c r="R43" i="33"/>
  <c r="S56" i="13"/>
  <c r="AC73" i="12"/>
  <c r="S66" i="13"/>
  <c r="AC37" i="17"/>
  <c r="AE37" i="17" s="1"/>
  <c r="AF37" i="17" s="1"/>
  <c r="AI37" i="17" s="1"/>
  <c r="G15" i="22" s="1"/>
  <c r="M40" i="33"/>
  <c r="AC59" i="16"/>
  <c r="O11" i="33"/>
  <c r="AJ30" i="12"/>
  <c r="F8" i="30" s="1"/>
  <c r="K65" i="17"/>
  <c r="AG64" i="17"/>
  <c r="AH64" i="17" s="1"/>
  <c r="AD43" i="16"/>
  <c r="AE43" i="16" s="1"/>
  <c r="AF43" i="16" s="1"/>
  <c r="AI43" i="16" s="1"/>
  <c r="E21" i="22" s="1"/>
  <c r="AJ43" i="16"/>
  <c r="E21" i="30" s="1"/>
  <c r="M42" i="33"/>
  <c r="AC30" i="12"/>
  <c r="AE30" i="12" s="1"/>
  <c r="AF30" i="12" s="1"/>
  <c r="AI30" i="12" s="1"/>
  <c r="F8" i="22" s="1"/>
  <c r="O13" i="33"/>
  <c r="AJ32" i="12"/>
  <c r="F10" i="30" s="1"/>
  <c r="AC30" i="16"/>
  <c r="AE30" i="16" s="1"/>
  <c r="AF30" i="16" s="1"/>
  <c r="AI30" i="16" s="1"/>
  <c r="E8" i="22" s="1"/>
  <c r="C8" i="22" s="1"/>
  <c r="M17" i="33"/>
  <c r="AJ36" i="16"/>
  <c r="E14" i="30" s="1"/>
  <c r="P17" i="33"/>
  <c r="AJ36" i="17"/>
  <c r="G14" i="30" s="1"/>
  <c r="H11" i="22"/>
  <c r="R57" i="13"/>
  <c r="Q49" i="33" s="1"/>
  <c r="M12" i="33"/>
  <c r="M9" i="34"/>
  <c r="AJ31" i="16"/>
  <c r="E9" i="30" s="1"/>
  <c r="C9" i="30" s="1"/>
  <c r="R67" i="13"/>
  <c r="Q59" i="33" s="1"/>
  <c r="AB64" i="17"/>
  <c r="P45" i="33" s="1"/>
  <c r="AC62" i="12"/>
  <c r="O17" i="34"/>
  <c r="AC56" i="16"/>
  <c r="O42" i="33"/>
  <c r="O16" i="34"/>
  <c r="Q55" i="33"/>
  <c r="P42" i="33"/>
  <c r="AC68" i="12"/>
  <c r="AJ28" i="12"/>
  <c r="F6" i="30" s="1"/>
  <c r="O9" i="33"/>
  <c r="AC53" i="17"/>
  <c r="M15" i="33"/>
  <c r="R15" i="33" s="1"/>
  <c r="AJ34" i="16"/>
  <c r="E12" i="30" s="1"/>
  <c r="C12" i="30" s="1"/>
  <c r="AC59" i="12"/>
  <c r="AC60" i="12"/>
  <c r="T26" i="37"/>
  <c r="S26" i="37"/>
  <c r="P19" i="33"/>
  <c r="AJ38" i="17"/>
  <c r="G16" i="30" s="1"/>
  <c r="O10" i="33"/>
  <c r="AJ29" i="12"/>
  <c r="F7" i="30" s="1"/>
  <c r="M14" i="33"/>
  <c r="R14" i="33" s="1"/>
  <c r="AJ33" i="16"/>
  <c r="E11" i="30" s="1"/>
  <c r="C11" i="30" s="1"/>
  <c r="P44" i="33"/>
  <c r="AC63" i="17"/>
  <c r="AC33" i="16"/>
  <c r="AE33" i="16" s="1"/>
  <c r="AF33" i="16" s="1"/>
  <c r="AI33" i="16" s="1"/>
  <c r="E11" i="22" s="1"/>
  <c r="AC42" i="17"/>
  <c r="AC69" i="12"/>
  <c r="N29" i="33"/>
  <c r="AC39" i="16"/>
  <c r="AE39" i="16" s="1"/>
  <c r="AF39" i="16" s="1"/>
  <c r="AI39" i="16" s="1"/>
  <c r="E17" i="22" s="1"/>
  <c r="AJ27" i="12"/>
  <c r="O8" i="33"/>
  <c r="O8" i="34"/>
  <c r="AC27" i="12"/>
  <c r="AE27" i="12" s="1"/>
  <c r="AF27" i="12" s="1"/>
  <c r="AI27" i="12" s="1"/>
  <c r="R64" i="13"/>
  <c r="Q56" i="33" s="1"/>
  <c r="O18" i="33"/>
  <c r="AJ37" i="12"/>
  <c r="F15" i="30" s="1"/>
  <c r="AC36" i="17"/>
  <c r="AE36" i="17" s="1"/>
  <c r="AF36" i="17" s="1"/>
  <c r="AI36" i="17" s="1"/>
  <c r="G14" i="22" s="1"/>
  <c r="AC55" i="16"/>
  <c r="AC51" i="16"/>
  <c r="M14" i="34"/>
  <c r="M33" i="33"/>
  <c r="P11" i="33"/>
  <c r="AJ30" i="17"/>
  <c r="G8" i="30" s="1"/>
  <c r="K65" i="16"/>
  <c r="AG64" i="16"/>
  <c r="AH64" i="16" s="1"/>
  <c r="S50" i="4"/>
  <c r="AB49" i="4"/>
  <c r="N30" i="33" s="1"/>
  <c r="AC61" i="16"/>
  <c r="AC26" i="37"/>
  <c r="AD26" i="37"/>
  <c r="P11" i="34"/>
  <c r="P21" i="33"/>
  <c r="AJ40" i="17"/>
  <c r="G18" i="30" s="1"/>
  <c r="O16" i="33"/>
  <c r="O10" i="34"/>
  <c r="AJ35" i="12"/>
  <c r="F13" i="30" s="1"/>
  <c r="O18" i="34"/>
  <c r="M13" i="33"/>
  <c r="AJ32" i="16"/>
  <c r="E10" i="30" s="1"/>
  <c r="AJ42" i="17"/>
  <c r="G20" i="30" s="1"/>
  <c r="T52" i="4"/>
  <c r="AG51" i="4"/>
  <c r="AH51" i="4" s="1"/>
  <c r="AC51" i="17"/>
  <c r="M16" i="33"/>
  <c r="M10" i="34"/>
  <c r="AJ35" i="16"/>
  <c r="E13" i="30" s="1"/>
  <c r="AC33" i="17"/>
  <c r="AE33" i="17" s="1"/>
  <c r="AF33" i="17" s="1"/>
  <c r="AI33" i="17" s="1"/>
  <c r="G11" i="22" s="1"/>
  <c r="M12" i="34"/>
  <c r="M25" i="33"/>
  <c r="P14" i="34"/>
  <c r="P33" i="33"/>
  <c r="P29" i="33"/>
  <c r="P13" i="34"/>
  <c r="AC28" i="12"/>
  <c r="AE28" i="12" s="1"/>
  <c r="AF28" i="12" s="1"/>
  <c r="AI28" i="12" s="1"/>
  <c r="F6" i="22" s="1"/>
  <c r="P12" i="34"/>
  <c r="P25" i="33"/>
  <c r="C14" i="22"/>
  <c r="AC29" i="12"/>
  <c r="AE29" i="12" s="1"/>
  <c r="AF29" i="12" s="1"/>
  <c r="AI29" i="12" s="1"/>
  <c r="F7" i="22" s="1"/>
  <c r="P13" i="33"/>
  <c r="AJ32" i="17"/>
  <c r="G10" i="30" s="1"/>
  <c r="AC40" i="16"/>
  <c r="AE40" i="16" s="1"/>
  <c r="AF40" i="16" s="1"/>
  <c r="AI40" i="16" s="1"/>
  <c r="E18" i="22" s="1"/>
  <c r="AC53" i="16"/>
  <c r="B34" i="13" l="1"/>
  <c r="C34" i="13" s="1"/>
  <c r="D33" i="13"/>
  <c r="T32" i="13"/>
  <c r="U32" i="13" s="1"/>
  <c r="V32" i="13" s="1"/>
  <c r="Y32" i="13" s="1"/>
  <c r="H21" i="22" s="1"/>
  <c r="Z32" i="13"/>
  <c r="H21" i="30" s="1"/>
  <c r="S64" i="13"/>
  <c r="W25" i="37"/>
  <c r="X25" i="37"/>
  <c r="L64" i="16"/>
  <c r="AB63" i="16"/>
  <c r="M44" i="33" s="1"/>
  <c r="R44" i="33" s="1"/>
  <c r="D43" i="17"/>
  <c r="B44" i="17"/>
  <c r="C44" i="17" s="1"/>
  <c r="AB25" i="37"/>
  <c r="AA25" i="37"/>
  <c r="C15" i="30"/>
  <c r="Q45" i="13"/>
  <c r="R44" i="13"/>
  <c r="Q36" i="33" s="1"/>
  <c r="R18" i="33"/>
  <c r="R19" i="33"/>
  <c r="AE42" i="17"/>
  <c r="AF42" i="17" s="1"/>
  <c r="AI42" i="17" s="1"/>
  <c r="G20" i="22" s="1"/>
  <c r="V25" i="37"/>
  <c r="U25" i="37"/>
  <c r="Q31" i="33"/>
  <c r="Q13" i="34"/>
  <c r="Q41" i="13"/>
  <c r="R40" i="13"/>
  <c r="Q32" i="33" s="1"/>
  <c r="O71" i="21"/>
  <c r="O76" i="21"/>
  <c r="O77" i="21"/>
  <c r="O74" i="21"/>
  <c r="O73" i="21"/>
  <c r="O75" i="21"/>
  <c r="O72" i="21"/>
  <c r="O66" i="21"/>
  <c r="O69" i="21"/>
  <c r="O70" i="21"/>
  <c r="O68" i="21"/>
  <c r="O65" i="21"/>
  <c r="O64" i="21"/>
  <c r="O67" i="21"/>
  <c r="P69" i="21"/>
  <c r="P65" i="21"/>
  <c r="P64" i="21"/>
  <c r="P68" i="21"/>
  <c r="P70" i="21"/>
  <c r="P67" i="21"/>
  <c r="P66" i="21"/>
  <c r="AD27" i="37"/>
  <c r="AC27" i="37"/>
  <c r="C11" i="22"/>
  <c r="AC64" i="17"/>
  <c r="L41" i="12"/>
  <c r="AB40" i="12"/>
  <c r="AC40" i="12" s="1"/>
  <c r="AE40" i="12" s="1"/>
  <c r="AF40" i="12" s="1"/>
  <c r="AI40" i="12" s="1"/>
  <c r="C8" i="30"/>
  <c r="R11" i="33"/>
  <c r="F5" i="22"/>
  <c r="O53" i="21"/>
  <c r="O54" i="21"/>
  <c r="O55" i="21"/>
  <c r="O52" i="21"/>
  <c r="O50" i="21"/>
  <c r="O51" i="21"/>
  <c r="O56" i="21"/>
  <c r="P61" i="21"/>
  <c r="P59" i="21"/>
  <c r="P60" i="21"/>
  <c r="P62" i="21"/>
  <c r="P58" i="21"/>
  <c r="P57" i="21"/>
  <c r="P63" i="21"/>
  <c r="L66" i="17"/>
  <c r="AG65" i="17"/>
  <c r="AH65" i="17" s="1"/>
  <c r="AB65" i="17"/>
  <c r="P46" i="33" s="1"/>
  <c r="C15" i="22"/>
  <c r="P91" i="21"/>
  <c r="P85" i="21"/>
  <c r="P90" i="21"/>
  <c r="P89" i="21"/>
  <c r="P86" i="21"/>
  <c r="P87" i="21"/>
  <c r="P88" i="21"/>
  <c r="AD43" i="4"/>
  <c r="AE43" i="4" s="1"/>
  <c r="AF43" i="4" s="1"/>
  <c r="AI43" i="4" s="1"/>
  <c r="D21" i="22" s="1"/>
  <c r="AJ43" i="4"/>
  <c r="D21" i="30" s="1"/>
  <c r="F5" i="30"/>
  <c r="C14" i="30"/>
  <c r="B46" i="16"/>
  <c r="C46" i="16" s="1"/>
  <c r="D45" i="16"/>
  <c r="B45" i="4"/>
  <c r="C45" i="4" s="1"/>
  <c r="D44" i="4"/>
  <c r="C16" i="30"/>
  <c r="B33" i="11"/>
  <c r="C33" i="11" s="1"/>
  <c r="D32" i="11"/>
  <c r="R17" i="33"/>
  <c r="AD44" i="16"/>
  <c r="AE44" i="16" s="1"/>
  <c r="AF44" i="16" s="1"/>
  <c r="AI44" i="16" s="1"/>
  <c r="E22" i="22" s="1"/>
  <c r="AJ44" i="16"/>
  <c r="E22" i="30" s="1"/>
  <c r="I31" i="11"/>
  <c r="I25" i="30" s="1"/>
  <c r="G31" i="11"/>
  <c r="H31" i="11" s="1"/>
  <c r="I25" i="22" s="1"/>
  <c r="C17" i="22"/>
  <c r="T54" i="4"/>
  <c r="O36" i="21"/>
  <c r="O42" i="21"/>
  <c r="O39" i="21"/>
  <c r="O37" i="21"/>
  <c r="O38" i="21"/>
  <c r="O40" i="21"/>
  <c r="O41" i="21"/>
  <c r="AD44" i="12"/>
  <c r="Q17" i="34"/>
  <c r="B37" i="21"/>
  <c r="E36" i="21"/>
  <c r="F36" i="21" s="1"/>
  <c r="S67" i="13"/>
  <c r="Q16" i="33"/>
  <c r="R16" i="33" s="1"/>
  <c r="Q10" i="34"/>
  <c r="R10" i="34" s="1"/>
  <c r="Z24" i="13"/>
  <c r="H13" i="30" s="1"/>
  <c r="C13" i="30" s="1"/>
  <c r="D45" i="12"/>
  <c r="B46" i="12"/>
  <c r="C46" i="12" s="1"/>
  <c r="Z26" i="37"/>
  <c r="Y26" i="37"/>
  <c r="B30" i="15"/>
  <c r="C30" i="15" s="1"/>
  <c r="D29" i="15"/>
  <c r="U53" i="4"/>
  <c r="AG52" i="4"/>
  <c r="AH52" i="4" s="1"/>
  <c r="O46" i="21"/>
  <c r="O45" i="21"/>
  <c r="O48" i="21"/>
  <c r="O43" i="21"/>
  <c r="O49" i="21"/>
  <c r="O44" i="21"/>
  <c r="O47" i="21"/>
  <c r="R9" i="34"/>
  <c r="O97" i="21"/>
  <c r="O93" i="21"/>
  <c r="O98" i="21"/>
  <c r="O96" i="21"/>
  <c r="O95" i="21"/>
  <c r="O92" i="21"/>
  <c r="O94" i="21"/>
  <c r="K28" i="15"/>
  <c r="J22" i="30" s="1"/>
  <c r="G28" i="15"/>
  <c r="H28" i="15" s="1"/>
  <c r="J22" i="22" s="1"/>
  <c r="O81" i="21"/>
  <c r="O82" i="21"/>
  <c r="O83" i="21"/>
  <c r="O84" i="21"/>
  <c r="O78" i="21"/>
  <c r="O79" i="21"/>
  <c r="O80" i="21"/>
  <c r="L66" i="16"/>
  <c r="AG65" i="16"/>
  <c r="AH65" i="16" s="1"/>
  <c r="P45" i="21"/>
  <c r="P47" i="21"/>
  <c r="P46" i="21"/>
  <c r="P44" i="21"/>
  <c r="P49" i="21"/>
  <c r="P48" i="21"/>
  <c r="P43" i="21"/>
  <c r="C10" i="30"/>
  <c r="AC49" i="4"/>
  <c r="S27" i="37"/>
  <c r="T27" i="37"/>
  <c r="P16" i="34"/>
  <c r="R12" i="33"/>
  <c r="R13" i="33"/>
  <c r="T51" i="4"/>
  <c r="AB50" i="4"/>
  <c r="AC50" i="4"/>
  <c r="Q19" i="34"/>
  <c r="S57" i="13"/>
  <c r="O20" i="33"/>
  <c r="R20" i="33" s="1"/>
  <c r="AJ39" i="12"/>
  <c r="F17" i="30" s="1"/>
  <c r="C17" i="30" s="1"/>
  <c r="R41" i="13" l="1"/>
  <c r="S41" i="13"/>
  <c r="B45" i="17"/>
  <c r="C45" i="17" s="1"/>
  <c r="D44" i="17"/>
  <c r="U26" i="37"/>
  <c r="V26" i="37"/>
  <c r="AD43" i="17"/>
  <c r="AE43" i="17" s="1"/>
  <c r="AF43" i="17" s="1"/>
  <c r="AI43" i="17" s="1"/>
  <c r="G21" i="22" s="1"/>
  <c r="AJ43" i="17"/>
  <c r="G21" i="30" s="1"/>
  <c r="AC63" i="16"/>
  <c r="M65" i="16"/>
  <c r="AB64" i="16"/>
  <c r="M45" i="33" s="1"/>
  <c r="R45" i="33" s="1"/>
  <c r="X26" i="37"/>
  <c r="W26" i="37"/>
  <c r="S44" i="13"/>
  <c r="R45" i="13"/>
  <c r="Q37" i="33" s="1"/>
  <c r="S45" i="13"/>
  <c r="T33" i="13"/>
  <c r="U33" i="13" s="1"/>
  <c r="V33" i="13" s="1"/>
  <c r="Y33" i="13" s="1"/>
  <c r="H22" i="22" s="1"/>
  <c r="Z33" i="13"/>
  <c r="H22" i="30" s="1"/>
  <c r="R64" i="21"/>
  <c r="S64" i="21" s="1"/>
  <c r="S40" i="13"/>
  <c r="AA26" i="37"/>
  <c r="AB26" i="37"/>
  <c r="D34" i="13"/>
  <c r="B35" i="13"/>
  <c r="C35" i="13" s="1"/>
  <c r="R44" i="21"/>
  <c r="S44" i="21" s="1"/>
  <c r="R65" i="21"/>
  <c r="S65" i="21" s="1"/>
  <c r="R69" i="21"/>
  <c r="S69" i="21" s="1"/>
  <c r="R66" i="21"/>
  <c r="S66" i="21" s="1"/>
  <c r="R49" i="21"/>
  <c r="S49" i="21" s="1"/>
  <c r="P72" i="21"/>
  <c r="R72" i="21" s="1"/>
  <c r="S72" i="21" s="1"/>
  <c r="P74" i="21"/>
  <c r="R74" i="21" s="1"/>
  <c r="S74" i="21" s="1"/>
  <c r="P71" i="21"/>
  <c r="R71" i="21" s="1"/>
  <c r="P73" i="21"/>
  <c r="R73" i="21" s="1"/>
  <c r="S73" i="21" s="1"/>
  <c r="P75" i="21"/>
  <c r="R75" i="21" s="1"/>
  <c r="S75" i="21" s="1"/>
  <c r="P77" i="21"/>
  <c r="R77" i="21" s="1"/>
  <c r="S77" i="21" s="1"/>
  <c r="P76" i="21"/>
  <c r="R76" i="21" s="1"/>
  <c r="P103" i="21"/>
  <c r="P100" i="21"/>
  <c r="P105" i="21"/>
  <c r="P102" i="21"/>
  <c r="P104" i="21"/>
  <c r="P99" i="21"/>
  <c r="P101" i="21"/>
  <c r="F18" i="22"/>
  <c r="C18" i="22" s="1"/>
  <c r="M67" i="16"/>
  <c r="AG66" i="16"/>
  <c r="AH66" i="16" s="1"/>
  <c r="U55" i="4"/>
  <c r="P94" i="21"/>
  <c r="R94" i="21" s="1"/>
  <c r="S94" i="21" s="1"/>
  <c r="P92" i="21"/>
  <c r="R92" i="21" s="1"/>
  <c r="P97" i="21"/>
  <c r="R97" i="21" s="1"/>
  <c r="S97" i="21" s="1"/>
  <c r="P95" i="21"/>
  <c r="R95" i="21" s="1"/>
  <c r="S95" i="21" s="1"/>
  <c r="P93" i="21"/>
  <c r="R93" i="21" s="1"/>
  <c r="S93" i="21" s="1"/>
  <c r="P98" i="21"/>
  <c r="R98" i="21" s="1"/>
  <c r="S98" i="21" s="1"/>
  <c r="P96" i="21"/>
  <c r="R96" i="21" s="1"/>
  <c r="S96" i="21" s="1"/>
  <c r="L14" i="33"/>
  <c r="AC28" i="37"/>
  <c r="AD28" i="37"/>
  <c r="N31" i="33"/>
  <c r="O103" i="21"/>
  <c r="O104" i="21"/>
  <c r="O105" i="21"/>
  <c r="O99" i="21"/>
  <c r="O101" i="21"/>
  <c r="O102" i="21"/>
  <c r="O100" i="21"/>
  <c r="P39" i="21"/>
  <c r="R39" i="21" s="1"/>
  <c r="P38" i="21"/>
  <c r="R38" i="21" s="1"/>
  <c r="S38" i="21" s="1"/>
  <c r="P40" i="21"/>
  <c r="R40" i="21" s="1"/>
  <c r="S40" i="21" s="1"/>
  <c r="P42" i="21"/>
  <c r="R42" i="21" s="1"/>
  <c r="S42" i="21" s="1"/>
  <c r="P41" i="21"/>
  <c r="R41" i="21" s="1"/>
  <c r="S41" i="21" s="1"/>
  <c r="P36" i="21"/>
  <c r="P37" i="21"/>
  <c r="R37" i="21" s="1"/>
  <c r="S37" i="21" s="1"/>
  <c r="R68" i="21"/>
  <c r="S68" i="21" s="1"/>
  <c r="U52" i="4"/>
  <c r="AC51" i="4"/>
  <c r="AB51" i="4"/>
  <c r="N32" i="33" s="1"/>
  <c r="AD44" i="4"/>
  <c r="AE44" i="4" s="1"/>
  <c r="AF44" i="4" s="1"/>
  <c r="AI44" i="4" s="1"/>
  <c r="D22" i="22" s="1"/>
  <c r="AJ44" i="4"/>
  <c r="D22" i="30" s="1"/>
  <c r="V54" i="4"/>
  <c r="AG53" i="4"/>
  <c r="AH53" i="4" s="1"/>
  <c r="E37" i="21"/>
  <c r="F37" i="21" s="1"/>
  <c r="B38" i="21"/>
  <c r="B46" i="4"/>
  <c r="C46" i="4" s="1"/>
  <c r="D45" i="4"/>
  <c r="R70" i="21"/>
  <c r="S70" i="21" s="1"/>
  <c r="L12" i="33"/>
  <c r="AD45" i="16"/>
  <c r="AE45" i="16" s="1"/>
  <c r="AF45" i="16" s="1"/>
  <c r="AI45" i="16" s="1"/>
  <c r="E23" i="22" s="1"/>
  <c r="AJ45" i="16"/>
  <c r="E23" i="30" s="1"/>
  <c r="L18" i="33"/>
  <c r="O21" i="33"/>
  <c r="R21" i="33" s="1"/>
  <c r="AJ40" i="12"/>
  <c r="F18" i="30" s="1"/>
  <c r="C18" i="30" s="1"/>
  <c r="K29" i="15"/>
  <c r="J23" i="30" s="1"/>
  <c r="G29" i="15"/>
  <c r="H29" i="15" s="1"/>
  <c r="J23" i="22" s="1"/>
  <c r="B47" i="16"/>
  <c r="C47" i="16" s="1"/>
  <c r="D46" i="16"/>
  <c r="M42" i="12"/>
  <c r="AC41" i="12"/>
  <c r="AE41" i="12" s="1"/>
  <c r="AF41" i="12" s="1"/>
  <c r="AI41" i="12" s="1"/>
  <c r="F19" i="22" s="1"/>
  <c r="C19" i="22" s="1"/>
  <c r="AB41" i="12"/>
  <c r="D30" i="15"/>
  <c r="B31" i="15"/>
  <c r="C31" i="15" s="1"/>
  <c r="D46" i="12"/>
  <c r="B47" i="12"/>
  <c r="C47" i="12" s="1"/>
  <c r="P81" i="21"/>
  <c r="R81" i="21" s="1"/>
  <c r="S81" i="21" s="1"/>
  <c r="P79" i="21"/>
  <c r="R79" i="21" s="1"/>
  <c r="S79" i="21" s="1"/>
  <c r="P84" i="21"/>
  <c r="R84" i="21" s="1"/>
  <c r="S84" i="21" s="1"/>
  <c r="P82" i="21"/>
  <c r="R82" i="21" s="1"/>
  <c r="S82" i="21" s="1"/>
  <c r="P83" i="21"/>
  <c r="R83" i="21" s="1"/>
  <c r="S83" i="21" s="1"/>
  <c r="P78" i="21"/>
  <c r="P80" i="21"/>
  <c r="R80" i="21" s="1"/>
  <c r="S80" i="21" s="1"/>
  <c r="O88" i="21"/>
  <c r="R88" i="21" s="1"/>
  <c r="S88" i="21" s="1"/>
  <c r="O89" i="21"/>
  <c r="R89" i="21" s="1"/>
  <c r="S89" i="21" s="1"/>
  <c r="O91" i="21"/>
  <c r="R91" i="21" s="1"/>
  <c r="S91" i="21" s="1"/>
  <c r="O87" i="21"/>
  <c r="R87" i="21" s="1"/>
  <c r="S87" i="21" s="1"/>
  <c r="O85" i="21"/>
  <c r="R85" i="21" s="1"/>
  <c r="O90" i="21"/>
  <c r="R90" i="21" s="1"/>
  <c r="S90" i="21" s="1"/>
  <c r="O86" i="21"/>
  <c r="R86" i="21" s="1"/>
  <c r="S86" i="21" s="1"/>
  <c r="R47" i="21"/>
  <c r="S47" i="21" s="1"/>
  <c r="AD45" i="12"/>
  <c r="L15" i="33"/>
  <c r="AC65" i="17"/>
  <c r="S28" i="37"/>
  <c r="T28" i="37"/>
  <c r="O61" i="21"/>
  <c r="R61" i="21" s="1"/>
  <c r="S61" i="21" s="1"/>
  <c r="O62" i="21"/>
  <c r="R62" i="21" s="1"/>
  <c r="S62" i="21" s="1"/>
  <c r="O59" i="21"/>
  <c r="R59" i="21" s="1"/>
  <c r="S59" i="21" s="1"/>
  <c r="O63" i="21"/>
  <c r="R63" i="21" s="1"/>
  <c r="S63" i="21" s="1"/>
  <c r="O57" i="21"/>
  <c r="R57" i="21" s="1"/>
  <c r="O60" i="21"/>
  <c r="R60" i="21" s="1"/>
  <c r="S60" i="21" s="1"/>
  <c r="O58" i="21"/>
  <c r="R58" i="21" s="1"/>
  <c r="S58" i="21" s="1"/>
  <c r="R48" i="21"/>
  <c r="S48" i="21" s="1"/>
  <c r="R43" i="21"/>
  <c r="M67" i="17"/>
  <c r="AG66" i="17"/>
  <c r="AH66" i="17" s="1"/>
  <c r="AB66" i="17"/>
  <c r="P52" i="21"/>
  <c r="R52" i="21" s="1"/>
  <c r="S52" i="21" s="1"/>
  <c r="P53" i="21"/>
  <c r="R53" i="21" s="1"/>
  <c r="S53" i="21" s="1"/>
  <c r="P54" i="21"/>
  <c r="R54" i="21" s="1"/>
  <c r="S54" i="21" s="1"/>
  <c r="P51" i="21"/>
  <c r="R51" i="21" s="1"/>
  <c r="S51" i="21" s="1"/>
  <c r="P56" i="21"/>
  <c r="R56" i="21" s="1"/>
  <c r="S56" i="21" s="1"/>
  <c r="P50" i="21"/>
  <c r="R50" i="21" s="1"/>
  <c r="P55" i="21"/>
  <c r="R55" i="21" s="1"/>
  <c r="S55" i="21" s="1"/>
  <c r="R45" i="21"/>
  <c r="G32" i="11"/>
  <c r="H32" i="11" s="1"/>
  <c r="I26" i="22" s="1"/>
  <c r="I32" i="11"/>
  <c r="I26" i="30" s="1"/>
  <c r="R46" i="21"/>
  <c r="S46" i="21" s="1"/>
  <c r="Z27" i="37"/>
  <c r="Y27" i="37"/>
  <c r="D33" i="11"/>
  <c r="B34" i="11"/>
  <c r="C34" i="11" s="1"/>
  <c r="R67" i="21"/>
  <c r="S67" i="21" s="1"/>
  <c r="X27" i="37" l="1"/>
  <c r="W27" i="37"/>
  <c r="D35" i="13"/>
  <c r="B36" i="13"/>
  <c r="C36" i="13" s="1"/>
  <c r="Z34" i="13"/>
  <c r="H23" i="30" s="1"/>
  <c r="T34" i="13"/>
  <c r="U34" i="13" s="1"/>
  <c r="V34" i="13" s="1"/>
  <c r="Y34" i="13" s="1"/>
  <c r="H23" i="22" s="1"/>
  <c r="AC64" i="16"/>
  <c r="AA27" i="37"/>
  <c r="AB27" i="37"/>
  <c r="N66" i="16"/>
  <c r="AB65" i="16"/>
  <c r="M16" i="34"/>
  <c r="U27" i="37"/>
  <c r="V27" i="37"/>
  <c r="AD44" i="17"/>
  <c r="AE44" i="17" s="1"/>
  <c r="AF44" i="17" s="1"/>
  <c r="AI44" i="17" s="1"/>
  <c r="G22" i="22" s="1"/>
  <c r="AJ44" i="17"/>
  <c r="G22" i="30" s="1"/>
  <c r="D45" i="17"/>
  <c r="B46" i="17"/>
  <c r="C46" i="17" s="1"/>
  <c r="Q33" i="33"/>
  <c r="Q60" i="33" s="1"/>
  <c r="Q14" i="34"/>
  <c r="Q20" i="34" s="1"/>
  <c r="R103" i="21"/>
  <c r="S103" i="21" s="1"/>
  <c r="R101" i="21"/>
  <c r="S101" i="21" s="1"/>
  <c r="R99" i="21"/>
  <c r="S99" i="21" s="1"/>
  <c r="R104" i="21"/>
  <c r="S104" i="21" s="1"/>
  <c r="L11" i="33"/>
  <c r="L17" i="33"/>
  <c r="P47" i="33"/>
  <c r="P108" i="21"/>
  <c r="P111" i="21"/>
  <c r="P109" i="21"/>
  <c r="P110" i="21"/>
  <c r="P106" i="21"/>
  <c r="L10" i="34" s="1"/>
  <c r="P112" i="21"/>
  <c r="P107" i="21"/>
  <c r="D47" i="12"/>
  <c r="B48" i="12"/>
  <c r="C48" i="12" s="1"/>
  <c r="E38" i="21"/>
  <c r="F38" i="21" s="1"/>
  <c r="B39" i="21"/>
  <c r="V53" i="4"/>
  <c r="AB52" i="4"/>
  <c r="L20" i="33"/>
  <c r="Y28" i="37"/>
  <c r="Z28" i="37"/>
  <c r="L13" i="33"/>
  <c r="C17" i="32"/>
  <c r="H17" i="32" s="1"/>
  <c r="C18" i="33"/>
  <c r="H18" i="33" s="1"/>
  <c r="S85" i="21"/>
  <c r="AD46" i="12"/>
  <c r="AC29" i="37"/>
  <c r="AD29" i="37"/>
  <c r="AC66" i="17"/>
  <c r="B35" i="11"/>
  <c r="C35" i="11" s="1"/>
  <c r="D34" i="11"/>
  <c r="D31" i="15"/>
  <c r="B32" i="15"/>
  <c r="C32" i="15" s="1"/>
  <c r="R105" i="21"/>
  <c r="S105" i="21" s="1"/>
  <c r="L9" i="34"/>
  <c r="G30" i="15"/>
  <c r="H30" i="15" s="1"/>
  <c r="J24" i="22" s="1"/>
  <c r="K30" i="15"/>
  <c r="J24" i="30" s="1"/>
  <c r="W55" i="4"/>
  <c r="AG54" i="4"/>
  <c r="AH54" i="4" s="1"/>
  <c r="S76" i="21"/>
  <c r="O22" i="33"/>
  <c r="AJ41" i="12"/>
  <c r="F19" i="30" s="1"/>
  <c r="C19" i="30" s="1"/>
  <c r="O116" i="21"/>
  <c r="O114" i="21"/>
  <c r="O118" i="21"/>
  <c r="O115" i="21"/>
  <c r="O119" i="21"/>
  <c r="O113" i="21"/>
  <c r="O117" i="21"/>
  <c r="N68" i="16"/>
  <c r="N43" i="12"/>
  <c r="AB42" i="12"/>
  <c r="AC42" i="12" s="1"/>
  <c r="AE42" i="12" s="1"/>
  <c r="AF42" i="12" s="1"/>
  <c r="AI42" i="12" s="1"/>
  <c r="C16" i="33"/>
  <c r="H16" i="33" s="1"/>
  <c r="C15" i="32"/>
  <c r="H15" i="32" s="1"/>
  <c r="S71" i="21"/>
  <c r="C13" i="33"/>
  <c r="H13" i="33" s="1"/>
  <c r="S50" i="21"/>
  <c r="C12" i="32"/>
  <c r="H12" i="32" s="1"/>
  <c r="T29" i="37"/>
  <c r="S29" i="37"/>
  <c r="S92" i="21"/>
  <c r="C19" i="33"/>
  <c r="H19" i="33" s="1"/>
  <c r="C18" i="32"/>
  <c r="H18" i="32" s="1"/>
  <c r="R36" i="21"/>
  <c r="AD46" i="16"/>
  <c r="AE46" i="16" s="1"/>
  <c r="AF46" i="16" s="1"/>
  <c r="AI46" i="16" s="1"/>
  <c r="E24" i="22" s="1"/>
  <c r="AJ46" i="16"/>
  <c r="E24" i="30" s="1"/>
  <c r="C15" i="33"/>
  <c r="H15" i="33" s="1"/>
  <c r="B48" i="16"/>
  <c r="C48" i="16" s="1"/>
  <c r="D47" i="16"/>
  <c r="L19" i="33"/>
  <c r="C14" i="32"/>
  <c r="H14" i="32" s="1"/>
  <c r="L16" i="33"/>
  <c r="G33" i="11"/>
  <c r="H33" i="11" s="1"/>
  <c r="I27" i="22" s="1"/>
  <c r="I33" i="11"/>
  <c r="I27" i="30" s="1"/>
  <c r="S45" i="21"/>
  <c r="C9" i="34"/>
  <c r="H9" i="34" s="1"/>
  <c r="AD45" i="4"/>
  <c r="AE45" i="4" s="1"/>
  <c r="AF45" i="4" s="1"/>
  <c r="AI45" i="4" s="1"/>
  <c r="D23" i="22" s="1"/>
  <c r="AJ45" i="4"/>
  <c r="D23" i="30" s="1"/>
  <c r="R78" i="21"/>
  <c r="N68" i="17"/>
  <c r="AB67" i="17"/>
  <c r="P48" i="33" s="1"/>
  <c r="S57" i="21"/>
  <c r="C14" i="33"/>
  <c r="H14" i="33" s="1"/>
  <c r="C13" i="32"/>
  <c r="H13" i="32" s="1"/>
  <c r="B47" i="4"/>
  <c r="C47" i="4" s="1"/>
  <c r="D46" i="4"/>
  <c r="R100" i="21"/>
  <c r="S100" i="21" s="1"/>
  <c r="N13" i="34"/>
  <c r="O108" i="21"/>
  <c r="O112" i="21"/>
  <c r="O107" i="21"/>
  <c r="O110" i="21"/>
  <c r="O111" i="21"/>
  <c r="O109" i="21"/>
  <c r="O106" i="21"/>
  <c r="C11" i="32"/>
  <c r="H11" i="32" s="1"/>
  <c r="C12" i="33"/>
  <c r="H12" i="33" s="1"/>
  <c r="S43" i="21"/>
  <c r="R102" i="21"/>
  <c r="S102" i="21" s="1"/>
  <c r="V56" i="4"/>
  <c r="U28" i="37" l="1"/>
  <c r="V28" i="37"/>
  <c r="AC65" i="16"/>
  <c r="M46" i="33"/>
  <c r="R46" i="33" s="1"/>
  <c r="O67" i="16"/>
  <c r="AB66" i="16"/>
  <c r="AA28" i="37"/>
  <c r="AB28" i="37"/>
  <c r="AC67" i="17"/>
  <c r="B47" i="17"/>
  <c r="C47" i="17" s="1"/>
  <c r="D46" i="17"/>
  <c r="D36" i="13"/>
  <c r="B37" i="13"/>
  <c r="C37" i="13" s="1"/>
  <c r="AD45" i="17"/>
  <c r="AE45" i="17" s="1"/>
  <c r="AF45" i="17" s="1"/>
  <c r="AI45" i="17" s="1"/>
  <c r="G23" i="22" s="1"/>
  <c r="AJ45" i="17"/>
  <c r="G23" i="30" s="1"/>
  <c r="Z35" i="13"/>
  <c r="H24" i="30" s="1"/>
  <c r="T35" i="13"/>
  <c r="U35" i="13" s="1"/>
  <c r="V35" i="13" s="1"/>
  <c r="Y35" i="13" s="1"/>
  <c r="H24" i="22" s="1"/>
  <c r="W28" i="37"/>
  <c r="X28" i="37"/>
  <c r="R106" i="21"/>
  <c r="R110" i="21"/>
  <c r="S110" i="21" s="1"/>
  <c r="R108" i="21"/>
  <c r="S108" i="21" s="1"/>
  <c r="R111" i="21"/>
  <c r="S111" i="21" s="1"/>
  <c r="R112" i="21"/>
  <c r="S112" i="21" s="1"/>
  <c r="K9" i="32"/>
  <c r="R107" i="21"/>
  <c r="S107" i="21" s="1"/>
  <c r="F20" i="22"/>
  <c r="B49" i="16"/>
  <c r="C49" i="16" s="1"/>
  <c r="D48" i="16"/>
  <c r="D48" i="12"/>
  <c r="B49" i="12"/>
  <c r="C49" i="12" s="1"/>
  <c r="C16" i="32"/>
  <c r="H16" i="32" s="1"/>
  <c r="S78" i="21"/>
  <c r="C17" i="33"/>
  <c r="H17" i="33" s="1"/>
  <c r="AD46" i="4"/>
  <c r="AE46" i="4" s="1"/>
  <c r="AF46" i="4" s="1"/>
  <c r="AI46" i="4" s="1"/>
  <c r="D24" i="22" s="1"/>
  <c r="AJ46" i="4"/>
  <c r="D24" i="30" s="1"/>
  <c r="AD47" i="12"/>
  <c r="R22" i="33"/>
  <c r="K31" i="15"/>
  <c r="J25" i="30" s="1"/>
  <c r="G31" i="15"/>
  <c r="H31" i="15" s="1"/>
  <c r="J25" i="22" s="1"/>
  <c r="P119" i="21"/>
  <c r="R119" i="21" s="1"/>
  <c r="S119" i="21" s="1"/>
  <c r="P114" i="21"/>
  <c r="R114" i="21" s="1"/>
  <c r="S114" i="21" s="1"/>
  <c r="P113" i="21"/>
  <c r="R113" i="21" s="1"/>
  <c r="P118" i="21"/>
  <c r="R118" i="21" s="1"/>
  <c r="S118" i="21" s="1"/>
  <c r="P117" i="21"/>
  <c r="R117" i="21" s="1"/>
  <c r="S117" i="21" s="1"/>
  <c r="P115" i="21"/>
  <c r="R115" i="21" s="1"/>
  <c r="S115" i="21" s="1"/>
  <c r="P116" i="21"/>
  <c r="R116" i="21" s="1"/>
  <c r="S116" i="21" s="1"/>
  <c r="D32" i="15"/>
  <c r="B33" i="15"/>
  <c r="C33" i="15" s="1"/>
  <c r="B48" i="4"/>
  <c r="C48" i="4" s="1"/>
  <c r="D47" i="4"/>
  <c r="O69" i="16"/>
  <c r="I34" i="11"/>
  <c r="I28" i="30" s="1"/>
  <c r="G34" i="11"/>
  <c r="H34" i="11" s="1"/>
  <c r="I28" i="22" s="1"/>
  <c r="D35" i="11"/>
  <c r="B36" i="11"/>
  <c r="C36" i="11" s="1"/>
  <c r="C10" i="34"/>
  <c r="H10" i="34" s="1"/>
  <c r="L21" i="33"/>
  <c r="R109" i="21"/>
  <c r="S109" i="21" s="1"/>
  <c r="C19" i="32"/>
  <c r="H19" i="32" s="1"/>
  <c r="N33" i="33"/>
  <c r="AD47" i="16"/>
  <c r="AE47" i="16" s="1"/>
  <c r="AF47" i="16" s="1"/>
  <c r="AI47" i="16" s="1"/>
  <c r="E25" i="22" s="1"/>
  <c r="AJ47" i="16"/>
  <c r="E25" i="30" s="1"/>
  <c r="C20" i="33"/>
  <c r="H20" i="33" s="1"/>
  <c r="AC52" i="4"/>
  <c r="S106" i="21"/>
  <c r="AD30" i="37"/>
  <c r="AC30" i="37"/>
  <c r="Y29" i="37"/>
  <c r="Z29" i="37"/>
  <c r="O69" i="17"/>
  <c r="AB68" i="17"/>
  <c r="P49" i="33" s="1"/>
  <c r="AC68" i="17"/>
  <c r="C10" i="32"/>
  <c r="H10" i="32" s="1"/>
  <c r="C11" i="33"/>
  <c r="H11" i="33" s="1"/>
  <c r="S36" i="21"/>
  <c r="X56" i="4"/>
  <c r="AG55" i="4"/>
  <c r="AH55" i="4" s="1"/>
  <c r="W57" i="4"/>
  <c r="W54" i="4"/>
  <c r="AB53" i="4"/>
  <c r="N34" i="33" s="1"/>
  <c r="O23" i="33"/>
  <c r="R23" i="33" s="1"/>
  <c r="AJ42" i="12"/>
  <c r="F20" i="30" s="1"/>
  <c r="C20" i="30" s="1"/>
  <c r="E39" i="21"/>
  <c r="F39" i="21" s="1"/>
  <c r="B40" i="21"/>
  <c r="S30" i="37"/>
  <c r="T30" i="37"/>
  <c r="O44" i="12"/>
  <c r="AB43" i="12"/>
  <c r="AC43" i="12" s="1"/>
  <c r="AE43" i="12" s="1"/>
  <c r="AF43" i="12" s="1"/>
  <c r="AI43" i="12" s="1"/>
  <c r="F21" i="22" s="1"/>
  <c r="C21" i="22" s="1"/>
  <c r="B38" i="13" l="1"/>
  <c r="C38" i="13" s="1"/>
  <c r="D37" i="13"/>
  <c r="Z36" i="13"/>
  <c r="H25" i="30" s="1"/>
  <c r="T36" i="13"/>
  <c r="U36" i="13" s="1"/>
  <c r="V36" i="13" s="1"/>
  <c r="Y36" i="13" s="1"/>
  <c r="H25" i="22" s="1"/>
  <c r="AJ46" i="17"/>
  <c r="G24" i="30" s="1"/>
  <c r="AD46" i="17"/>
  <c r="AE46" i="17" s="1"/>
  <c r="AF46" i="17" s="1"/>
  <c r="AI46" i="17" s="1"/>
  <c r="G24" i="22" s="1"/>
  <c r="O11" i="34"/>
  <c r="AC53" i="4"/>
  <c r="D47" i="17"/>
  <c r="B48" i="17"/>
  <c r="C48" i="17" s="1"/>
  <c r="AB29" i="37"/>
  <c r="AA29" i="37"/>
  <c r="AC66" i="16"/>
  <c r="M47" i="33"/>
  <c r="R47" i="33" s="1"/>
  <c r="P68" i="16"/>
  <c r="AB67" i="16"/>
  <c r="W29" i="37"/>
  <c r="X29" i="37"/>
  <c r="U29" i="37"/>
  <c r="V29" i="37"/>
  <c r="K10" i="32"/>
  <c r="C20" i="32"/>
  <c r="H20" i="32" s="1"/>
  <c r="S113" i="21"/>
  <c r="C22" i="33"/>
  <c r="H22" i="33" s="1"/>
  <c r="C21" i="32"/>
  <c r="H21" i="32" s="1"/>
  <c r="S31" i="37"/>
  <c r="T31" i="37"/>
  <c r="L22" i="33"/>
  <c r="B41" i="21"/>
  <c r="E40" i="21"/>
  <c r="F40" i="21" s="1"/>
  <c r="X55" i="4"/>
  <c r="AB54" i="4"/>
  <c r="N35" i="33" s="1"/>
  <c r="AC54" i="4"/>
  <c r="C21" i="33"/>
  <c r="H21" i="33" s="1"/>
  <c r="B50" i="12"/>
  <c r="C50" i="12" s="1"/>
  <c r="D49" i="12"/>
  <c r="AD48" i="12"/>
  <c r="AD47" i="4"/>
  <c r="AE47" i="4" s="1"/>
  <c r="AF47" i="4" s="1"/>
  <c r="AI47" i="4" s="1"/>
  <c r="D25" i="22" s="1"/>
  <c r="AJ47" i="4"/>
  <c r="D25" i="30" s="1"/>
  <c r="AD48" i="16"/>
  <c r="AE48" i="16" s="1"/>
  <c r="AF48" i="16" s="1"/>
  <c r="AI48" i="16" s="1"/>
  <c r="E26" i="22" s="1"/>
  <c r="AJ48" i="16"/>
  <c r="E26" i="30" s="1"/>
  <c r="R11" i="34"/>
  <c r="D48" i="4"/>
  <c r="B49" i="4"/>
  <c r="C49" i="4" s="1"/>
  <c r="B50" i="16"/>
  <c r="C50" i="16" s="1"/>
  <c r="D49" i="16"/>
  <c r="Z30" i="37"/>
  <c r="Y30" i="37"/>
  <c r="I35" i="11"/>
  <c r="I29" i="30" s="1"/>
  <c r="G35" i="11"/>
  <c r="H35" i="11" s="1"/>
  <c r="I29" i="22" s="1"/>
  <c r="B34" i="15"/>
  <c r="C34" i="15" s="1"/>
  <c r="D33" i="15"/>
  <c r="P45" i="12"/>
  <c r="AB44" i="12"/>
  <c r="P70" i="16"/>
  <c r="K32" i="15"/>
  <c r="J26" i="30" s="1"/>
  <c r="G32" i="15"/>
  <c r="H32" i="15" s="1"/>
  <c r="J26" i="22" s="1"/>
  <c r="X58" i="4"/>
  <c r="AC31" i="37"/>
  <c r="AD31" i="37"/>
  <c r="O24" i="33"/>
  <c r="R24" i="33" s="1"/>
  <c r="AJ43" i="12"/>
  <c r="F21" i="30" s="1"/>
  <c r="C21" i="30" s="1"/>
  <c r="Y57" i="4"/>
  <c r="AG56" i="4"/>
  <c r="AH56" i="4" s="1"/>
  <c r="P120" i="21"/>
  <c r="P121" i="21"/>
  <c r="P125" i="21"/>
  <c r="P123" i="21"/>
  <c r="P124" i="21"/>
  <c r="P126" i="21"/>
  <c r="P122" i="21"/>
  <c r="P70" i="17"/>
  <c r="AB69" i="17"/>
  <c r="AC69" i="17"/>
  <c r="D36" i="11"/>
  <c r="B37" i="11"/>
  <c r="C37" i="11" s="1"/>
  <c r="O132" i="21"/>
  <c r="O128" i="21"/>
  <c r="O129" i="21"/>
  <c r="O131" i="21"/>
  <c r="O127" i="21"/>
  <c r="O133" i="21"/>
  <c r="O130" i="21"/>
  <c r="C20" i="22"/>
  <c r="AB30" i="37" l="1"/>
  <c r="AA30" i="37"/>
  <c r="B49" i="17"/>
  <c r="C49" i="17" s="1"/>
  <c r="D48" i="17"/>
  <c r="AD47" i="17"/>
  <c r="AE47" i="17" s="1"/>
  <c r="AF47" i="17" s="1"/>
  <c r="AI47" i="17" s="1"/>
  <c r="G25" i="22" s="1"/>
  <c r="AJ47" i="17"/>
  <c r="G25" i="30" s="1"/>
  <c r="X30" i="37"/>
  <c r="W30" i="37"/>
  <c r="V30" i="37"/>
  <c r="U30" i="37"/>
  <c r="M48" i="33"/>
  <c r="R48" i="33" s="1"/>
  <c r="AC67" i="16"/>
  <c r="T37" i="13"/>
  <c r="U37" i="13" s="1"/>
  <c r="V37" i="13" s="1"/>
  <c r="Y37" i="13" s="1"/>
  <c r="H26" i="22" s="1"/>
  <c r="Z37" i="13"/>
  <c r="H26" i="30" s="1"/>
  <c r="Q69" i="16"/>
  <c r="AB68" i="16"/>
  <c r="D38" i="13"/>
  <c r="B39" i="13"/>
  <c r="C39" i="13" s="1"/>
  <c r="L23" i="33"/>
  <c r="Q71" i="16"/>
  <c r="D50" i="16"/>
  <c r="B51" i="16"/>
  <c r="C51" i="16" s="1"/>
  <c r="G36" i="11"/>
  <c r="H36" i="11" s="1"/>
  <c r="I30" i="22" s="1"/>
  <c r="I36" i="11"/>
  <c r="I30" i="30" s="1"/>
  <c r="E41" i="21"/>
  <c r="F41" i="21" s="1"/>
  <c r="B42" i="21"/>
  <c r="O25" i="33"/>
  <c r="R25" i="33" s="1"/>
  <c r="AJ44" i="12"/>
  <c r="F22" i="30" s="1"/>
  <c r="C22" i="30" s="1"/>
  <c r="Y59" i="4"/>
  <c r="AC44" i="12"/>
  <c r="AE44" i="12" s="1"/>
  <c r="AF44" i="12" s="1"/>
  <c r="AI44" i="12" s="1"/>
  <c r="F22" i="22" s="1"/>
  <c r="D49" i="4"/>
  <c r="B50" i="4"/>
  <c r="C50" i="4" s="1"/>
  <c r="AD48" i="4"/>
  <c r="AE48" i="4" s="1"/>
  <c r="AF48" i="4" s="1"/>
  <c r="AI48" i="4" s="1"/>
  <c r="D26" i="22" s="1"/>
  <c r="AJ48" i="4"/>
  <c r="D26" i="30" s="1"/>
  <c r="AD49" i="12"/>
  <c r="P50" i="33"/>
  <c r="P17" i="34"/>
  <c r="B51" i="12"/>
  <c r="C51" i="12" s="1"/>
  <c r="D50" i="12"/>
  <c r="B35" i="15"/>
  <c r="C35" i="15" s="1"/>
  <c r="D34" i="15"/>
  <c r="S32" i="37"/>
  <c r="T32" i="37"/>
  <c r="Q71" i="17"/>
  <c r="AB70" i="17"/>
  <c r="AC70" i="17" s="1"/>
  <c r="O125" i="21"/>
  <c r="R125" i="21" s="1"/>
  <c r="S125" i="21" s="1"/>
  <c r="O126" i="21"/>
  <c r="R126" i="21" s="1"/>
  <c r="S126" i="21" s="1"/>
  <c r="O123" i="21"/>
  <c r="R123" i="21" s="1"/>
  <c r="S123" i="21" s="1"/>
  <c r="O122" i="21"/>
  <c r="R122" i="21" s="1"/>
  <c r="S122" i="21" s="1"/>
  <c r="O120" i="21"/>
  <c r="R120" i="21" s="1"/>
  <c r="O121" i="21"/>
  <c r="R121" i="21" s="1"/>
  <c r="S121" i="21" s="1"/>
  <c r="O124" i="21"/>
  <c r="R124" i="21" s="1"/>
  <c r="S124" i="21" s="1"/>
  <c r="Z58" i="4"/>
  <c r="AG57" i="4"/>
  <c r="AH57" i="4" s="1"/>
  <c r="G33" i="15"/>
  <c r="H33" i="15" s="1"/>
  <c r="J27" i="22" s="1"/>
  <c r="K33" i="15"/>
  <c r="J27" i="30" s="1"/>
  <c r="P127" i="21"/>
  <c r="P129" i="21"/>
  <c r="R129" i="21" s="1"/>
  <c r="S129" i="21" s="1"/>
  <c r="P130" i="21"/>
  <c r="R130" i="21" s="1"/>
  <c r="S130" i="21" s="1"/>
  <c r="P128" i="21"/>
  <c r="R128" i="21" s="1"/>
  <c r="S128" i="21" s="1"/>
  <c r="P131" i="21"/>
  <c r="R131" i="21" s="1"/>
  <c r="S131" i="21" s="1"/>
  <c r="P132" i="21"/>
  <c r="R132" i="21" s="1"/>
  <c r="S132" i="21" s="1"/>
  <c r="P133" i="21"/>
  <c r="R133" i="21" s="1"/>
  <c r="S133" i="21" s="1"/>
  <c r="Y31" i="37"/>
  <c r="Z31" i="37"/>
  <c r="Q46" i="12"/>
  <c r="AB45" i="12"/>
  <c r="AC45" i="12"/>
  <c r="AE45" i="12" s="1"/>
  <c r="AF45" i="12" s="1"/>
  <c r="AI45" i="12" s="1"/>
  <c r="F23" i="22" s="1"/>
  <c r="C23" i="22" s="1"/>
  <c r="B38" i="11"/>
  <c r="C38" i="11" s="1"/>
  <c r="D37" i="11"/>
  <c r="AC32" i="37"/>
  <c r="AD32" i="37"/>
  <c r="AD49" i="16"/>
  <c r="AE49" i="16" s="1"/>
  <c r="AF49" i="16" s="1"/>
  <c r="AI49" i="16" s="1"/>
  <c r="E27" i="22" s="1"/>
  <c r="AJ49" i="16"/>
  <c r="E27" i="30" s="1"/>
  <c r="Y56" i="4"/>
  <c r="AB55" i="4"/>
  <c r="AC55" i="4" s="1"/>
  <c r="V31" i="37" l="1"/>
  <c r="U31" i="37"/>
  <c r="W31" i="37"/>
  <c r="X31" i="37"/>
  <c r="B40" i="13"/>
  <c r="C40" i="13" s="1"/>
  <c r="D39" i="13"/>
  <c r="AD48" i="17"/>
  <c r="AE48" i="17" s="1"/>
  <c r="AF48" i="17" s="1"/>
  <c r="AI48" i="17" s="1"/>
  <c r="G26" i="22" s="1"/>
  <c r="AJ48" i="17"/>
  <c r="G26" i="30" s="1"/>
  <c r="Z38" i="13"/>
  <c r="H27" i="30" s="1"/>
  <c r="T38" i="13"/>
  <c r="U38" i="13" s="1"/>
  <c r="V38" i="13" s="1"/>
  <c r="Y38" i="13" s="1"/>
  <c r="H27" i="22" s="1"/>
  <c r="B50" i="17"/>
  <c r="C50" i="17" s="1"/>
  <c r="D49" i="17"/>
  <c r="M49" i="33"/>
  <c r="R49" i="33" s="1"/>
  <c r="AC68" i="16"/>
  <c r="AA31" i="37"/>
  <c r="AB31" i="37"/>
  <c r="R70" i="16"/>
  <c r="AB69" i="16"/>
  <c r="P139" i="21"/>
  <c r="P136" i="21"/>
  <c r="P138" i="21"/>
  <c r="P134" i="21"/>
  <c r="P135" i="21"/>
  <c r="P137" i="21"/>
  <c r="P140" i="21"/>
  <c r="B39" i="11"/>
  <c r="C39" i="11" s="1"/>
  <c r="D38" i="11"/>
  <c r="P51" i="33"/>
  <c r="E42" i="21"/>
  <c r="F42" i="21" s="1"/>
  <c r="B43" i="21"/>
  <c r="R72" i="17"/>
  <c r="AB71" i="17"/>
  <c r="P52" i="33" s="1"/>
  <c r="AA59" i="4"/>
  <c r="AG59" i="4" s="1"/>
  <c r="AH59" i="4" s="1"/>
  <c r="AG58" i="4"/>
  <c r="AH58" i="4" s="1"/>
  <c r="N36" i="33"/>
  <c r="G37" i="11"/>
  <c r="H37" i="11" s="1"/>
  <c r="I31" i="22" s="1"/>
  <c r="I37" i="11"/>
  <c r="I31" i="30" s="1"/>
  <c r="Z57" i="4"/>
  <c r="AB56" i="4"/>
  <c r="N37" i="33" s="1"/>
  <c r="T33" i="37"/>
  <c r="S33" i="37"/>
  <c r="AD49" i="4"/>
  <c r="AE49" i="4" s="1"/>
  <c r="AF49" i="4" s="1"/>
  <c r="AI49" i="4" s="1"/>
  <c r="D27" i="22" s="1"/>
  <c r="AJ49" i="4"/>
  <c r="D27" i="30" s="1"/>
  <c r="B52" i="16"/>
  <c r="C52" i="16" s="1"/>
  <c r="D51" i="16"/>
  <c r="Y32" i="37"/>
  <c r="Z32" i="37"/>
  <c r="AD33" i="37"/>
  <c r="AC33" i="37"/>
  <c r="R47" i="12"/>
  <c r="AB46" i="12"/>
  <c r="AC46" i="12" s="1"/>
  <c r="AE46" i="12" s="1"/>
  <c r="AF46" i="12" s="1"/>
  <c r="AI46" i="12" s="1"/>
  <c r="F24" i="22" s="1"/>
  <c r="C24" i="22" s="1"/>
  <c r="S120" i="21"/>
  <c r="C22" i="32"/>
  <c r="H22" i="32" s="1"/>
  <c r="C23" i="33"/>
  <c r="H23" i="33" s="1"/>
  <c r="K34" i="15"/>
  <c r="J28" i="30" s="1"/>
  <c r="G34" i="15"/>
  <c r="H34" i="15" s="1"/>
  <c r="J28" i="22" s="1"/>
  <c r="C22" i="22"/>
  <c r="AD50" i="16"/>
  <c r="AE50" i="16" s="1"/>
  <c r="AF50" i="16" s="1"/>
  <c r="AI50" i="16" s="1"/>
  <c r="E28" i="22" s="1"/>
  <c r="AJ50" i="16"/>
  <c r="E28" i="30" s="1"/>
  <c r="O141" i="21"/>
  <c r="O146" i="21"/>
  <c r="O143" i="21"/>
  <c r="O144" i="21"/>
  <c r="O145" i="21"/>
  <c r="O142" i="21"/>
  <c r="O147" i="21"/>
  <c r="B51" i="4"/>
  <c r="C51" i="4" s="1"/>
  <c r="D50" i="4"/>
  <c r="O26" i="33"/>
  <c r="R26" i="33" s="1"/>
  <c r="AJ45" i="12"/>
  <c r="F23" i="30" s="1"/>
  <c r="C23" i="30" s="1"/>
  <c r="L24" i="33"/>
  <c r="R127" i="21"/>
  <c r="D35" i="15"/>
  <c r="B36" i="15"/>
  <c r="C36" i="15" s="1"/>
  <c r="AD50" i="12"/>
  <c r="B52" i="12"/>
  <c r="C52" i="12" s="1"/>
  <c r="D51" i="12"/>
  <c r="Z60" i="4"/>
  <c r="AB59" i="4"/>
  <c r="N40" i="33" s="1"/>
  <c r="R40" i="33" s="1"/>
  <c r="R72" i="16"/>
  <c r="AD49" i="17" l="1"/>
  <c r="AE49" i="17" s="1"/>
  <c r="AF49" i="17" s="1"/>
  <c r="AI49" i="17" s="1"/>
  <c r="G27" i="22" s="1"/>
  <c r="AJ49" i="17"/>
  <c r="G27" i="30" s="1"/>
  <c r="B51" i="17"/>
  <c r="C51" i="17" s="1"/>
  <c r="D50" i="17"/>
  <c r="Z39" i="13"/>
  <c r="H28" i="30" s="1"/>
  <c r="T39" i="13"/>
  <c r="U39" i="13" s="1"/>
  <c r="V39" i="13" s="1"/>
  <c r="Y39" i="13" s="1"/>
  <c r="H28" i="22" s="1"/>
  <c r="B41" i="13"/>
  <c r="C41" i="13" s="1"/>
  <c r="D40" i="13"/>
  <c r="AC59" i="4"/>
  <c r="AC69" i="16"/>
  <c r="M50" i="33"/>
  <c r="R50" i="33" s="1"/>
  <c r="M17" i="34"/>
  <c r="R17" i="34" s="1"/>
  <c r="S71" i="16"/>
  <c r="AB70" i="16"/>
  <c r="M51" i="33" s="1"/>
  <c r="X32" i="37"/>
  <c r="W32" i="37"/>
  <c r="V32" i="37"/>
  <c r="U32" i="37"/>
  <c r="AB32" i="37"/>
  <c r="AA32" i="37"/>
  <c r="O151" i="21"/>
  <c r="O153" i="21"/>
  <c r="O148" i="21"/>
  <c r="O150" i="21"/>
  <c r="O152" i="21"/>
  <c r="O154" i="21"/>
  <c r="O149" i="21"/>
  <c r="D36" i="15"/>
  <c r="B37" i="15"/>
  <c r="C37" i="15" s="1"/>
  <c r="O27" i="33"/>
  <c r="R27" i="33" s="1"/>
  <c r="AJ46" i="12"/>
  <c r="F24" i="30" s="1"/>
  <c r="C24" i="30" s="1"/>
  <c r="AC71" i="17"/>
  <c r="L25" i="33"/>
  <c r="AC34" i="37"/>
  <c r="AD34" i="37"/>
  <c r="AC56" i="4"/>
  <c r="B44" i="21"/>
  <c r="E43" i="21"/>
  <c r="F43" i="21" s="1"/>
  <c r="S73" i="17"/>
  <c r="AB72" i="17"/>
  <c r="P53" i="33" s="1"/>
  <c r="AA61" i="4"/>
  <c r="AB60" i="4"/>
  <c r="N41" i="33" s="1"/>
  <c r="R41" i="33" s="1"/>
  <c r="P141" i="21"/>
  <c r="R141" i="21" s="1"/>
  <c r="P143" i="21"/>
  <c r="R143" i="21" s="1"/>
  <c r="S143" i="21" s="1"/>
  <c r="P145" i="21"/>
  <c r="R145" i="21" s="1"/>
  <c r="S145" i="21" s="1"/>
  <c r="P147" i="21"/>
  <c r="R147" i="21" s="1"/>
  <c r="S147" i="21" s="1"/>
  <c r="P146" i="21"/>
  <c r="R146" i="21" s="1"/>
  <c r="S146" i="21" s="1"/>
  <c r="P142" i="21"/>
  <c r="R142" i="21" s="1"/>
  <c r="S142" i="21" s="1"/>
  <c r="P144" i="21"/>
  <c r="R144" i="21" s="1"/>
  <c r="S144" i="21" s="1"/>
  <c r="O134" i="21"/>
  <c r="R134" i="21" s="1"/>
  <c r="O136" i="21"/>
  <c r="R136" i="21" s="1"/>
  <c r="S136" i="21" s="1"/>
  <c r="O138" i="21"/>
  <c r="R138" i="21" s="1"/>
  <c r="S138" i="21" s="1"/>
  <c r="O137" i="21"/>
  <c r="R137" i="21" s="1"/>
  <c r="S137" i="21" s="1"/>
  <c r="O135" i="21"/>
  <c r="R135" i="21" s="1"/>
  <c r="O140" i="21"/>
  <c r="R140" i="21" s="1"/>
  <c r="S140" i="21" s="1"/>
  <c r="O139" i="21"/>
  <c r="R139" i="21" s="1"/>
  <c r="S139" i="21" s="1"/>
  <c r="S73" i="16"/>
  <c r="Y33" i="37"/>
  <c r="Z33" i="37"/>
  <c r="AA58" i="4"/>
  <c r="AC57" i="4"/>
  <c r="AB57" i="4"/>
  <c r="G35" i="15"/>
  <c r="H35" i="15" s="1"/>
  <c r="J29" i="22" s="1"/>
  <c r="K35" i="15"/>
  <c r="J29" i="30" s="1"/>
  <c r="S48" i="12"/>
  <c r="AB47" i="12"/>
  <c r="C24" i="33"/>
  <c r="H24" i="33" s="1"/>
  <c r="C23" i="32"/>
  <c r="H23" i="32" s="1"/>
  <c r="S127" i="21"/>
  <c r="AD51" i="12"/>
  <c r="B53" i="12"/>
  <c r="C53" i="12" s="1"/>
  <c r="D52" i="12"/>
  <c r="AD50" i="4"/>
  <c r="AE50" i="4" s="1"/>
  <c r="AF50" i="4" s="1"/>
  <c r="AI50" i="4" s="1"/>
  <c r="D28" i="22" s="1"/>
  <c r="AJ50" i="4"/>
  <c r="D28" i="30" s="1"/>
  <c r="B52" i="4"/>
  <c r="C52" i="4" s="1"/>
  <c r="D51" i="4"/>
  <c r="G38" i="11"/>
  <c r="H38" i="11" s="1"/>
  <c r="I32" i="22" s="1"/>
  <c r="I38" i="11"/>
  <c r="I32" i="30" s="1"/>
  <c r="R51" i="33"/>
  <c r="AD51" i="16"/>
  <c r="AE51" i="16" s="1"/>
  <c r="AF51" i="16" s="1"/>
  <c r="AI51" i="16" s="1"/>
  <c r="E29" i="22" s="1"/>
  <c r="AJ51" i="16"/>
  <c r="E29" i="30" s="1"/>
  <c r="N14" i="34"/>
  <c r="D39" i="11"/>
  <c r="B40" i="11"/>
  <c r="C40" i="11" s="1"/>
  <c r="L11" i="34"/>
  <c r="B53" i="16"/>
  <c r="C53" i="16" s="1"/>
  <c r="D52" i="16"/>
  <c r="S34" i="37"/>
  <c r="T34" i="37"/>
  <c r="T72" i="16" l="1"/>
  <c r="AB71" i="16"/>
  <c r="T40" i="13"/>
  <c r="U40" i="13" s="1"/>
  <c r="V40" i="13" s="1"/>
  <c r="Y40" i="13" s="1"/>
  <c r="H29" i="22" s="1"/>
  <c r="Z40" i="13"/>
  <c r="H29" i="30" s="1"/>
  <c r="AB33" i="37"/>
  <c r="AA33" i="37"/>
  <c r="D41" i="13"/>
  <c r="B42" i="13"/>
  <c r="C42" i="13" s="1"/>
  <c r="V33" i="37"/>
  <c r="U33" i="37"/>
  <c r="AC72" i="17"/>
  <c r="AD50" i="17"/>
  <c r="AE50" i="17" s="1"/>
  <c r="AF50" i="17" s="1"/>
  <c r="AI50" i="17" s="1"/>
  <c r="G28" i="22" s="1"/>
  <c r="AJ50" i="17"/>
  <c r="G28" i="30" s="1"/>
  <c r="X33" i="37"/>
  <c r="W33" i="37"/>
  <c r="B52" i="17"/>
  <c r="C52" i="17" s="1"/>
  <c r="D51" i="17"/>
  <c r="AC70" i="16"/>
  <c r="T74" i="17"/>
  <c r="AB73" i="17"/>
  <c r="P154" i="21"/>
  <c r="R154" i="21" s="1"/>
  <c r="S154" i="21" s="1"/>
  <c r="P149" i="21"/>
  <c r="P151" i="21"/>
  <c r="R151" i="21" s="1"/>
  <c r="S151" i="21" s="1"/>
  <c r="P152" i="21"/>
  <c r="R152" i="21" s="1"/>
  <c r="S152" i="21" s="1"/>
  <c r="P148" i="21"/>
  <c r="R148" i="21" s="1"/>
  <c r="P153" i="21"/>
  <c r="R153" i="21" s="1"/>
  <c r="S153" i="21" s="1"/>
  <c r="P150" i="21"/>
  <c r="R150" i="21" s="1"/>
  <c r="S150" i="21" s="1"/>
  <c r="Y34" i="37"/>
  <c r="Z34" i="37"/>
  <c r="S134" i="21"/>
  <c r="K11" i="32" s="1"/>
  <c r="C24" i="32"/>
  <c r="H24" i="32" s="1"/>
  <c r="C25" i="33"/>
  <c r="H25" i="33" s="1"/>
  <c r="C11" i="34"/>
  <c r="H11" i="34" s="1"/>
  <c r="S141" i="21"/>
  <c r="C26" i="33"/>
  <c r="H26" i="33" s="1"/>
  <c r="C25" i="32"/>
  <c r="H25" i="32" s="1"/>
  <c r="E44" i="21"/>
  <c r="F44" i="21" s="1"/>
  <c r="B45" i="21"/>
  <c r="D37" i="15"/>
  <c r="B38" i="15"/>
  <c r="C38" i="15" s="1"/>
  <c r="T74" i="16"/>
  <c r="K36" i="15"/>
  <c r="J30" i="30" s="1"/>
  <c r="G36" i="15"/>
  <c r="H36" i="15" s="1"/>
  <c r="J30" i="22" s="1"/>
  <c r="O28" i="33"/>
  <c r="R28" i="33" s="1"/>
  <c r="AJ47" i="12"/>
  <c r="F25" i="30" s="1"/>
  <c r="C25" i="30" s="1"/>
  <c r="S35" i="37"/>
  <c r="T35" i="37"/>
  <c r="B53" i="4"/>
  <c r="C53" i="4" s="1"/>
  <c r="D52" i="4"/>
  <c r="AC47" i="12"/>
  <c r="AE47" i="12" s="1"/>
  <c r="AF47" i="12" s="1"/>
  <c r="AI47" i="12" s="1"/>
  <c r="F25" i="22" s="1"/>
  <c r="C25" i="22" s="1"/>
  <c r="R149" i="21"/>
  <c r="S149" i="21" s="1"/>
  <c r="AD52" i="16"/>
  <c r="AE52" i="16" s="1"/>
  <c r="AF52" i="16" s="1"/>
  <c r="AI52" i="16" s="1"/>
  <c r="E30" i="22" s="1"/>
  <c r="AJ52" i="16"/>
  <c r="E30" i="30" s="1"/>
  <c r="L26" i="33"/>
  <c r="AD35" i="37"/>
  <c r="AC35" i="37"/>
  <c r="AD51" i="4"/>
  <c r="AE51" i="4" s="1"/>
  <c r="AF51" i="4" s="1"/>
  <c r="AI51" i="4" s="1"/>
  <c r="D29" i="22" s="1"/>
  <c r="AJ51" i="4"/>
  <c r="D29" i="30" s="1"/>
  <c r="D40" i="11"/>
  <c r="B41" i="11"/>
  <c r="C41" i="11" s="1"/>
  <c r="B54" i="16"/>
  <c r="C54" i="16" s="1"/>
  <c r="D53" i="16"/>
  <c r="I39" i="11"/>
  <c r="I33" i="30" s="1"/>
  <c r="G39" i="11"/>
  <c r="H39" i="11" s="1"/>
  <c r="I33" i="22" s="1"/>
  <c r="T49" i="12"/>
  <c r="AB48" i="12"/>
  <c r="AC48" i="12" s="1"/>
  <c r="AE48" i="12" s="1"/>
  <c r="AF48" i="12" s="1"/>
  <c r="AI48" i="12" s="1"/>
  <c r="F26" i="22" s="1"/>
  <c r="C26" i="22" s="1"/>
  <c r="AC60" i="4"/>
  <c r="N38" i="33"/>
  <c r="R38" i="33" s="1"/>
  <c r="S135" i="21"/>
  <c r="AB61" i="4"/>
  <c r="AC61" i="4"/>
  <c r="AD52" i="12"/>
  <c r="D53" i="12"/>
  <c r="B54" i="12"/>
  <c r="C54" i="12" s="1"/>
  <c r="AB58" i="4"/>
  <c r="N39" i="33" s="1"/>
  <c r="R39" i="33" s="1"/>
  <c r="O12" i="34"/>
  <c r="U34" i="37" l="1"/>
  <c r="V34" i="37"/>
  <c r="B43" i="13"/>
  <c r="C43" i="13" s="1"/>
  <c r="D42" i="13"/>
  <c r="Z41" i="13"/>
  <c r="H30" i="30" s="1"/>
  <c r="T41" i="13"/>
  <c r="U41" i="13" s="1"/>
  <c r="V41" i="13" s="1"/>
  <c r="Y41" i="13" s="1"/>
  <c r="H30" i="22" s="1"/>
  <c r="AB34" i="37"/>
  <c r="AA34" i="37"/>
  <c r="AJ51" i="17"/>
  <c r="G29" i="30" s="1"/>
  <c r="AD51" i="17"/>
  <c r="AE51" i="17" s="1"/>
  <c r="AF51" i="17" s="1"/>
  <c r="AI51" i="17" s="1"/>
  <c r="G29" i="22" s="1"/>
  <c r="B53" i="17"/>
  <c r="C53" i="17" s="1"/>
  <c r="D52" i="17"/>
  <c r="M52" i="33"/>
  <c r="R52" i="33" s="1"/>
  <c r="AC71" i="16"/>
  <c r="W34" i="37"/>
  <c r="X34" i="37"/>
  <c r="U73" i="16"/>
  <c r="AB72" i="16"/>
  <c r="G40" i="11"/>
  <c r="H40" i="11" s="1"/>
  <c r="I34" i="22" s="1"/>
  <c r="I40" i="11"/>
  <c r="I34" i="30" s="1"/>
  <c r="B54" i="4"/>
  <c r="C54" i="4" s="1"/>
  <c r="D53" i="4"/>
  <c r="U75" i="16"/>
  <c r="B39" i="15"/>
  <c r="C39" i="15" s="1"/>
  <c r="D38" i="15"/>
  <c r="Y35" i="37"/>
  <c r="Z35" i="37"/>
  <c r="S36" i="37"/>
  <c r="T36" i="37"/>
  <c r="G37" i="15"/>
  <c r="H37" i="15" s="1"/>
  <c r="J31" i="22" s="1"/>
  <c r="K37" i="15"/>
  <c r="J31" i="30" s="1"/>
  <c r="E45" i="21"/>
  <c r="F45" i="21" s="1"/>
  <c r="B46" i="21"/>
  <c r="R12" i="34"/>
  <c r="O166" i="21"/>
  <c r="O162" i="21"/>
  <c r="O168" i="21"/>
  <c r="O165" i="21"/>
  <c r="O167" i="21"/>
  <c r="O164" i="21"/>
  <c r="O163" i="21"/>
  <c r="O29" i="33"/>
  <c r="R29" i="33" s="1"/>
  <c r="AJ48" i="12"/>
  <c r="F26" i="30" s="1"/>
  <c r="C26" i="30" s="1"/>
  <c r="D54" i="12"/>
  <c r="B55" i="12"/>
  <c r="C55" i="12" s="1"/>
  <c r="C27" i="33"/>
  <c r="H27" i="33" s="1"/>
  <c r="S148" i="21"/>
  <c r="C26" i="32"/>
  <c r="H26" i="32" s="1"/>
  <c r="U50" i="12"/>
  <c r="AB49" i="12"/>
  <c r="AC49" i="12"/>
  <c r="AE49" i="12" s="1"/>
  <c r="AF49" i="12" s="1"/>
  <c r="AI49" i="12" s="1"/>
  <c r="F27" i="22" s="1"/>
  <c r="C27" i="22" s="1"/>
  <c r="AC36" i="37"/>
  <c r="AD36" i="37"/>
  <c r="L27" i="33"/>
  <c r="AC58" i="4"/>
  <c r="AD53" i="12"/>
  <c r="N42" i="33"/>
  <c r="N16" i="34"/>
  <c r="P160" i="21"/>
  <c r="P155" i="21"/>
  <c r="P158" i="21"/>
  <c r="P161" i="21"/>
  <c r="P156" i="21"/>
  <c r="P157" i="21"/>
  <c r="P159" i="21"/>
  <c r="P54" i="33"/>
  <c r="P18" i="34"/>
  <c r="AC73" i="17"/>
  <c r="D54" i="16"/>
  <c r="B55" i="16"/>
  <c r="C55" i="16" s="1"/>
  <c r="U75" i="17"/>
  <c r="AB74" i="17"/>
  <c r="AC74" i="17"/>
  <c r="O161" i="21"/>
  <c r="O155" i="21"/>
  <c r="O158" i="21"/>
  <c r="O159" i="21"/>
  <c r="O157" i="21"/>
  <c r="O156" i="21"/>
  <c r="O160" i="21"/>
  <c r="N15" i="34"/>
  <c r="R15" i="34" s="1"/>
  <c r="AD53" i="16"/>
  <c r="AE53" i="16" s="1"/>
  <c r="AF53" i="16" s="1"/>
  <c r="AI53" i="16" s="1"/>
  <c r="E31" i="22" s="1"/>
  <c r="AJ53" i="16"/>
  <c r="E31" i="30" s="1"/>
  <c r="B42" i="11"/>
  <c r="C42" i="11" s="1"/>
  <c r="D41" i="11"/>
  <c r="AD52" i="4"/>
  <c r="AE52" i="4" s="1"/>
  <c r="AF52" i="4" s="1"/>
  <c r="AI52" i="4" s="1"/>
  <c r="D30" i="22" s="1"/>
  <c r="AJ52" i="4"/>
  <c r="D30" i="30" s="1"/>
  <c r="AJ52" i="17" l="1"/>
  <c r="G30" i="30" s="1"/>
  <c r="AD52" i="17"/>
  <c r="AE52" i="17" s="1"/>
  <c r="AF52" i="17" s="1"/>
  <c r="AI52" i="17" s="1"/>
  <c r="G30" i="22" s="1"/>
  <c r="B54" i="17"/>
  <c r="C54" i="17" s="1"/>
  <c r="D53" i="17"/>
  <c r="AA35" i="37"/>
  <c r="AB35" i="37"/>
  <c r="Z42" i="13"/>
  <c r="H31" i="30" s="1"/>
  <c r="T42" i="13"/>
  <c r="U42" i="13" s="1"/>
  <c r="V42" i="13" s="1"/>
  <c r="Y42" i="13" s="1"/>
  <c r="H31" i="22" s="1"/>
  <c r="V74" i="16"/>
  <c r="AB73" i="16"/>
  <c r="D43" i="13"/>
  <c r="B44" i="13"/>
  <c r="C44" i="13" s="1"/>
  <c r="M53" i="33"/>
  <c r="R53" i="33" s="1"/>
  <c r="AC72" i="16"/>
  <c r="X35" i="37"/>
  <c r="W35" i="37"/>
  <c r="V35" i="37"/>
  <c r="U35" i="37"/>
  <c r="R157" i="21"/>
  <c r="S157" i="21" s="1"/>
  <c r="R155" i="21"/>
  <c r="R161" i="21"/>
  <c r="S161" i="21" s="1"/>
  <c r="R156" i="21"/>
  <c r="S156" i="21" s="1"/>
  <c r="R160" i="21"/>
  <c r="S160" i="21" s="1"/>
  <c r="T37" i="37"/>
  <c r="S37" i="37"/>
  <c r="Y36" i="37"/>
  <c r="Z36" i="37"/>
  <c r="V51" i="12"/>
  <c r="AB50" i="12"/>
  <c r="AC50" i="12"/>
  <c r="AE50" i="12" s="1"/>
  <c r="AF50" i="12" s="1"/>
  <c r="AI50" i="12" s="1"/>
  <c r="F28" i="22" s="1"/>
  <c r="C28" i="22" s="1"/>
  <c r="G38" i="15"/>
  <c r="H38" i="15" s="1"/>
  <c r="J32" i="22" s="1"/>
  <c r="K38" i="15"/>
  <c r="J32" i="30" s="1"/>
  <c r="B40" i="15"/>
  <c r="C40" i="15" s="1"/>
  <c r="D39" i="15"/>
  <c r="G41" i="11"/>
  <c r="H41" i="11" s="1"/>
  <c r="I35" i="22" s="1"/>
  <c r="I41" i="11"/>
  <c r="I35" i="30" s="1"/>
  <c r="O172" i="21"/>
  <c r="O174" i="21"/>
  <c r="O170" i="21"/>
  <c r="O175" i="21"/>
  <c r="O169" i="21"/>
  <c r="O173" i="21"/>
  <c r="O171" i="21"/>
  <c r="B43" i="11"/>
  <c r="C43" i="11" s="1"/>
  <c r="D42" i="11"/>
  <c r="O30" i="33"/>
  <c r="R30" i="33" s="1"/>
  <c r="AJ49" i="12"/>
  <c r="F27" i="30" s="1"/>
  <c r="C27" i="30" s="1"/>
  <c r="R159" i="21"/>
  <c r="S159" i="21" s="1"/>
  <c r="R158" i="21"/>
  <c r="S158" i="21" s="1"/>
  <c r="S155" i="21"/>
  <c r="D55" i="12"/>
  <c r="B56" i="12"/>
  <c r="C56" i="12" s="1"/>
  <c r="E46" i="21"/>
  <c r="F46" i="21" s="1"/>
  <c r="B47" i="21"/>
  <c r="AD54" i="12"/>
  <c r="V76" i="16"/>
  <c r="AC37" i="37"/>
  <c r="AD37" i="37"/>
  <c r="L28" i="33"/>
  <c r="P55" i="33"/>
  <c r="P162" i="21"/>
  <c r="R162" i="21" s="1"/>
  <c r="P165" i="21"/>
  <c r="R165" i="21" s="1"/>
  <c r="S165" i="21" s="1"/>
  <c r="P164" i="21"/>
  <c r="R164" i="21" s="1"/>
  <c r="S164" i="21" s="1"/>
  <c r="P166" i="21"/>
  <c r="R166" i="21" s="1"/>
  <c r="P167" i="21"/>
  <c r="R167" i="21" s="1"/>
  <c r="S167" i="21" s="1"/>
  <c r="P168" i="21"/>
  <c r="R168" i="21" s="1"/>
  <c r="S168" i="21" s="1"/>
  <c r="P163" i="21"/>
  <c r="R163" i="21" s="1"/>
  <c r="S163" i="21" s="1"/>
  <c r="AD53" i="4"/>
  <c r="AE53" i="4" s="1"/>
  <c r="AF53" i="4" s="1"/>
  <c r="AI53" i="4" s="1"/>
  <c r="D31" i="22" s="1"/>
  <c r="AJ53" i="4"/>
  <c r="D31" i="30" s="1"/>
  <c r="B55" i="4"/>
  <c r="C55" i="4" s="1"/>
  <c r="D54" i="4"/>
  <c r="B56" i="16"/>
  <c r="C56" i="16" s="1"/>
  <c r="D55" i="16"/>
  <c r="V76" i="17"/>
  <c r="AB75" i="17"/>
  <c r="P56" i="33" s="1"/>
  <c r="AD54" i="16"/>
  <c r="AE54" i="16" s="1"/>
  <c r="AF54" i="16" s="1"/>
  <c r="AI54" i="16" s="1"/>
  <c r="E32" i="22" s="1"/>
  <c r="AJ54" i="16"/>
  <c r="E32" i="30" s="1"/>
  <c r="N20" i="34"/>
  <c r="R16" i="34"/>
  <c r="N60" i="33"/>
  <c r="R42" i="33"/>
  <c r="B45" i="13" l="1"/>
  <c r="C45" i="13" s="1"/>
  <c r="D44" i="13"/>
  <c r="Z43" i="13"/>
  <c r="H32" i="30" s="1"/>
  <c r="T43" i="13"/>
  <c r="U43" i="13" s="1"/>
  <c r="V43" i="13" s="1"/>
  <c r="Y43" i="13" s="1"/>
  <c r="H32" i="22" s="1"/>
  <c r="M54" i="33"/>
  <c r="R54" i="33" s="1"/>
  <c r="M18" i="34"/>
  <c r="R18" i="34" s="1"/>
  <c r="AC73" i="16"/>
  <c r="W75" i="16"/>
  <c r="AB74" i="16"/>
  <c r="AA36" i="37"/>
  <c r="AB36" i="37"/>
  <c r="AD53" i="17"/>
  <c r="AE53" i="17" s="1"/>
  <c r="AF53" i="17" s="1"/>
  <c r="AI53" i="17" s="1"/>
  <c r="G31" i="22" s="1"/>
  <c r="AJ53" i="17"/>
  <c r="G31" i="30" s="1"/>
  <c r="W36" i="37"/>
  <c r="X36" i="37"/>
  <c r="B55" i="17"/>
  <c r="C55" i="17" s="1"/>
  <c r="D54" i="17"/>
  <c r="U36" i="37"/>
  <c r="V36" i="37"/>
  <c r="C27" i="32"/>
  <c r="H27" i="32" s="1"/>
  <c r="C28" i="33"/>
  <c r="H28" i="33" s="1"/>
  <c r="S166" i="21"/>
  <c r="K39" i="15"/>
  <c r="J33" i="30" s="1"/>
  <c r="G39" i="15"/>
  <c r="H39" i="15" s="1"/>
  <c r="J33" i="22" s="1"/>
  <c r="D40" i="15"/>
  <c r="B41" i="15"/>
  <c r="C41" i="15" s="1"/>
  <c r="P174" i="21"/>
  <c r="R174" i="21" s="1"/>
  <c r="S174" i="21" s="1"/>
  <c r="P175" i="21"/>
  <c r="R175" i="21" s="1"/>
  <c r="S175" i="21" s="1"/>
  <c r="P173" i="21"/>
  <c r="R173" i="21" s="1"/>
  <c r="S173" i="21" s="1"/>
  <c r="P171" i="21"/>
  <c r="R171" i="21" s="1"/>
  <c r="S171" i="21" s="1"/>
  <c r="P170" i="21"/>
  <c r="R170" i="21" s="1"/>
  <c r="S170" i="21" s="1"/>
  <c r="P172" i="21"/>
  <c r="R172" i="21" s="1"/>
  <c r="S172" i="21" s="1"/>
  <c r="P169" i="21"/>
  <c r="W77" i="17"/>
  <c r="AB76" i="17"/>
  <c r="P57" i="33" s="1"/>
  <c r="AC76" i="17"/>
  <c r="G42" i="11"/>
  <c r="H42" i="11" s="1"/>
  <c r="I36" i="22" s="1"/>
  <c r="I42" i="11"/>
  <c r="I36" i="30" s="1"/>
  <c r="AC38" i="37"/>
  <c r="AD38" i="37"/>
  <c r="D43" i="11"/>
  <c r="B44" i="11"/>
  <c r="C44" i="11" s="1"/>
  <c r="AD55" i="16"/>
  <c r="AE55" i="16" s="1"/>
  <c r="AF55" i="16" s="1"/>
  <c r="AI55" i="16" s="1"/>
  <c r="E33" i="22" s="1"/>
  <c r="AJ55" i="16"/>
  <c r="E33" i="30" s="1"/>
  <c r="C29" i="33"/>
  <c r="H29" i="33" s="1"/>
  <c r="C28" i="32"/>
  <c r="H28" i="32" s="1"/>
  <c r="S162" i="21"/>
  <c r="K12" i="32" s="1"/>
  <c r="O181" i="21"/>
  <c r="O180" i="21"/>
  <c r="O178" i="21"/>
  <c r="O176" i="21"/>
  <c r="O182" i="21"/>
  <c r="O177" i="21"/>
  <c r="O179" i="21"/>
  <c r="AD55" i="12"/>
  <c r="O31" i="33"/>
  <c r="R31" i="33" s="1"/>
  <c r="AJ50" i="12"/>
  <c r="F28" i="30" s="1"/>
  <c r="C28" i="30" s="1"/>
  <c r="W52" i="12"/>
  <c r="AB51" i="12"/>
  <c r="D56" i="16"/>
  <c r="B57" i="16"/>
  <c r="C57" i="16" s="1"/>
  <c r="Y37" i="37"/>
  <c r="Z37" i="37"/>
  <c r="AD54" i="4"/>
  <c r="AE54" i="4" s="1"/>
  <c r="AF54" i="4" s="1"/>
  <c r="AI54" i="4" s="1"/>
  <c r="D32" i="22" s="1"/>
  <c r="AJ54" i="4"/>
  <c r="D32" i="30" s="1"/>
  <c r="L29" i="33"/>
  <c r="B56" i="4"/>
  <c r="C56" i="4" s="1"/>
  <c r="D55" i="4"/>
  <c r="C12" i="34"/>
  <c r="H12" i="34" s="1"/>
  <c r="B48" i="21"/>
  <c r="E47" i="21"/>
  <c r="F47" i="21" s="1"/>
  <c r="W77" i="16"/>
  <c r="T38" i="37"/>
  <c r="S38" i="37"/>
  <c r="L12" i="34"/>
  <c r="AC75" i="17"/>
  <c r="D56" i="12"/>
  <c r="B57" i="12"/>
  <c r="C57" i="12" s="1"/>
  <c r="X37" i="37" l="1"/>
  <c r="W37" i="37"/>
  <c r="AA37" i="37"/>
  <c r="AB37" i="37"/>
  <c r="AC74" i="16"/>
  <c r="M55" i="33"/>
  <c r="R55" i="33" s="1"/>
  <c r="X76" i="16"/>
  <c r="AB75" i="16"/>
  <c r="M56" i="33" s="1"/>
  <c r="R56" i="33" s="1"/>
  <c r="AJ54" i="17"/>
  <c r="G32" i="30" s="1"/>
  <c r="AD54" i="17"/>
  <c r="AE54" i="17" s="1"/>
  <c r="AF54" i="17" s="1"/>
  <c r="AI54" i="17" s="1"/>
  <c r="G32" i="22" s="1"/>
  <c r="U37" i="37"/>
  <c r="V37" i="37"/>
  <c r="D55" i="17"/>
  <c r="B56" i="17"/>
  <c r="C56" i="17" s="1"/>
  <c r="Z44" i="13"/>
  <c r="H33" i="30" s="1"/>
  <c r="T44" i="13"/>
  <c r="U44" i="13" s="1"/>
  <c r="V44" i="13" s="1"/>
  <c r="Y44" i="13" s="1"/>
  <c r="H33" i="22" s="1"/>
  <c r="D45" i="13"/>
  <c r="B46" i="13"/>
  <c r="C46" i="13" s="1"/>
  <c r="Z38" i="37"/>
  <c r="Y38" i="37"/>
  <c r="L30" i="33"/>
  <c r="AD55" i="4"/>
  <c r="AE55" i="4" s="1"/>
  <c r="AF55" i="4" s="1"/>
  <c r="AI55" i="4" s="1"/>
  <c r="D33" i="22" s="1"/>
  <c r="AJ55" i="4"/>
  <c r="D33" i="30" s="1"/>
  <c r="D57" i="16"/>
  <c r="B58" i="16"/>
  <c r="C58" i="16" s="1"/>
  <c r="I43" i="11"/>
  <c r="I37" i="30" s="1"/>
  <c r="G43" i="11"/>
  <c r="H43" i="11" s="1"/>
  <c r="I37" i="22" s="1"/>
  <c r="AD56" i="16"/>
  <c r="AE56" i="16" s="1"/>
  <c r="AF56" i="16" s="1"/>
  <c r="AI56" i="16" s="1"/>
  <c r="E34" i="22" s="1"/>
  <c r="AJ56" i="16"/>
  <c r="E34" i="30" s="1"/>
  <c r="B45" i="11"/>
  <c r="C45" i="11" s="1"/>
  <c r="D44" i="11"/>
  <c r="T39" i="37"/>
  <c r="S39" i="37"/>
  <c r="D56" i="4"/>
  <c r="B57" i="4"/>
  <c r="C57" i="4" s="1"/>
  <c r="O32" i="33"/>
  <c r="R32" i="33" s="1"/>
  <c r="AJ51" i="12"/>
  <c r="F29" i="30" s="1"/>
  <c r="C29" i="30" s="1"/>
  <c r="O13" i="34"/>
  <c r="D57" i="12"/>
  <c r="B58" i="12"/>
  <c r="C58" i="12" s="1"/>
  <c r="AC39" i="37"/>
  <c r="AD39" i="37"/>
  <c r="AC51" i="12"/>
  <c r="AE51" i="12" s="1"/>
  <c r="AF51" i="12" s="1"/>
  <c r="AI51" i="12" s="1"/>
  <c r="F29" i="22" s="1"/>
  <c r="C29" i="22" s="1"/>
  <c r="AD56" i="12"/>
  <c r="X78" i="16"/>
  <c r="X53" i="12"/>
  <c r="AB52" i="12"/>
  <c r="AC52" i="12" s="1"/>
  <c r="AE52" i="12" s="1"/>
  <c r="AF52" i="12" s="1"/>
  <c r="AI52" i="12" s="1"/>
  <c r="F30" i="22" s="1"/>
  <c r="C30" i="22" s="1"/>
  <c r="D41" i="15"/>
  <c r="B42" i="15"/>
  <c r="C42" i="15" s="1"/>
  <c r="R177" i="21"/>
  <c r="S177" i="21" s="1"/>
  <c r="P179" i="21"/>
  <c r="R179" i="21" s="1"/>
  <c r="S179" i="21" s="1"/>
  <c r="P178" i="21"/>
  <c r="R178" i="21" s="1"/>
  <c r="S178" i="21" s="1"/>
  <c r="P180" i="21"/>
  <c r="R180" i="21" s="1"/>
  <c r="S180" i="21" s="1"/>
  <c r="P176" i="21"/>
  <c r="P177" i="21"/>
  <c r="P181" i="21"/>
  <c r="R181" i="21" s="1"/>
  <c r="S181" i="21" s="1"/>
  <c r="P182" i="21"/>
  <c r="R182" i="21" s="1"/>
  <c r="S182" i="21" s="1"/>
  <c r="K40" i="15"/>
  <c r="J34" i="30" s="1"/>
  <c r="G40" i="15"/>
  <c r="H40" i="15" s="1"/>
  <c r="J34" i="22" s="1"/>
  <c r="E48" i="21"/>
  <c r="F48" i="21" s="1"/>
  <c r="B49" i="21"/>
  <c r="R169" i="21"/>
  <c r="X78" i="17"/>
  <c r="AB77" i="17"/>
  <c r="AC77" i="17" s="1"/>
  <c r="AJ55" i="17" l="1"/>
  <c r="G33" i="30" s="1"/>
  <c r="AD55" i="17"/>
  <c r="AE55" i="17" s="1"/>
  <c r="AF55" i="17" s="1"/>
  <c r="AI55" i="17" s="1"/>
  <c r="G33" i="22" s="1"/>
  <c r="U38" i="37"/>
  <c r="V38" i="37"/>
  <c r="AC75" i="16"/>
  <c r="Y77" i="16"/>
  <c r="AB76" i="16"/>
  <c r="M57" i="33" s="1"/>
  <c r="R57" i="33" s="1"/>
  <c r="B47" i="13"/>
  <c r="C47" i="13" s="1"/>
  <c r="D46" i="13"/>
  <c r="AC76" i="16"/>
  <c r="Z45" i="13"/>
  <c r="H34" i="30" s="1"/>
  <c r="T45" i="13"/>
  <c r="U45" i="13" s="1"/>
  <c r="V45" i="13" s="1"/>
  <c r="Y45" i="13" s="1"/>
  <c r="H34" i="22" s="1"/>
  <c r="AB38" i="37"/>
  <c r="AA38" i="37"/>
  <c r="W38" i="37"/>
  <c r="X38" i="37"/>
  <c r="D56" i="17"/>
  <c r="B57" i="17"/>
  <c r="C57" i="17" s="1"/>
  <c r="L31" i="33"/>
  <c r="Y27" i="16"/>
  <c r="P189" i="21"/>
  <c r="P186" i="21"/>
  <c r="P187" i="21"/>
  <c r="P185" i="21"/>
  <c r="P188" i="21"/>
  <c r="P183" i="21"/>
  <c r="P184" i="21"/>
  <c r="C29" i="32"/>
  <c r="H29" i="32" s="1"/>
  <c r="C30" i="33"/>
  <c r="H30" i="33" s="1"/>
  <c r="S169" i="21"/>
  <c r="O190" i="21"/>
  <c r="O194" i="21"/>
  <c r="O192" i="21"/>
  <c r="O191" i="21"/>
  <c r="O193" i="21"/>
  <c r="O195" i="21"/>
  <c r="O196" i="21"/>
  <c r="D58" i="12"/>
  <c r="B59" i="12"/>
  <c r="C59" i="12" s="1"/>
  <c r="Y54" i="12"/>
  <c r="AB53" i="12"/>
  <c r="AD57" i="12"/>
  <c r="AE57" i="12" s="1"/>
  <c r="AF57" i="12" s="1"/>
  <c r="AI57" i="12" s="1"/>
  <c r="F35" i="22" s="1"/>
  <c r="AJ57" i="12"/>
  <c r="F35" i="30" s="1"/>
  <c r="R13" i="34"/>
  <c r="D57" i="4"/>
  <c r="B58" i="4"/>
  <c r="C58" i="4" s="1"/>
  <c r="R176" i="21"/>
  <c r="O186" i="21"/>
  <c r="O187" i="21"/>
  <c r="O188" i="21"/>
  <c r="O189" i="21"/>
  <c r="O184" i="21"/>
  <c r="O185" i="21"/>
  <c r="O183" i="21"/>
  <c r="AD56" i="4"/>
  <c r="AE56" i="4" s="1"/>
  <c r="AF56" i="4" s="1"/>
  <c r="AI56" i="4" s="1"/>
  <c r="D34" i="22" s="1"/>
  <c r="AJ56" i="4"/>
  <c r="D34" i="30" s="1"/>
  <c r="D58" i="16"/>
  <c r="B59" i="16"/>
  <c r="C59" i="16" s="1"/>
  <c r="P58" i="33"/>
  <c r="Y27" i="17"/>
  <c r="AB78" i="17"/>
  <c r="P59" i="33" s="1"/>
  <c r="S40" i="37"/>
  <c r="T40" i="37"/>
  <c r="AD57" i="16"/>
  <c r="AE57" i="16" s="1"/>
  <c r="AF57" i="16" s="1"/>
  <c r="AI57" i="16" s="1"/>
  <c r="E35" i="22" s="1"/>
  <c r="AJ57" i="16"/>
  <c r="E35" i="30" s="1"/>
  <c r="G44" i="11"/>
  <c r="H44" i="11" s="1"/>
  <c r="I38" i="22" s="1"/>
  <c r="I44" i="11"/>
  <c r="I38" i="30" s="1"/>
  <c r="D42" i="15"/>
  <c r="B43" i="15"/>
  <c r="C43" i="15" s="1"/>
  <c r="AD40" i="37"/>
  <c r="AC40" i="37"/>
  <c r="D45" i="11"/>
  <c r="B46" i="11"/>
  <c r="C46" i="11" s="1"/>
  <c r="K41" i="15"/>
  <c r="J35" i="30" s="1"/>
  <c r="G41" i="15"/>
  <c r="H41" i="15" s="1"/>
  <c r="J35" i="22" s="1"/>
  <c r="Y39" i="37"/>
  <c r="Z39" i="37"/>
  <c r="B50" i="21"/>
  <c r="E49" i="21"/>
  <c r="F49" i="21" s="1"/>
  <c r="O33" i="33"/>
  <c r="R33" i="33" s="1"/>
  <c r="AJ52" i="12"/>
  <c r="F30" i="30" s="1"/>
  <c r="C30" i="30" s="1"/>
  <c r="AA39" i="37" l="1"/>
  <c r="AB39" i="37"/>
  <c r="P19" i="34"/>
  <c r="T46" i="13"/>
  <c r="U46" i="13" s="1"/>
  <c r="V46" i="13" s="1"/>
  <c r="Y46" i="13" s="1"/>
  <c r="H35" i="22" s="1"/>
  <c r="Z46" i="13"/>
  <c r="H35" i="30" s="1"/>
  <c r="B48" i="13"/>
  <c r="C48" i="13" s="1"/>
  <c r="D47" i="13"/>
  <c r="Z78" i="16"/>
  <c r="AB77" i="16"/>
  <c r="D57" i="17"/>
  <c r="B58" i="17"/>
  <c r="C58" i="17" s="1"/>
  <c r="AD56" i="17"/>
  <c r="AE56" i="17" s="1"/>
  <c r="AF56" i="17" s="1"/>
  <c r="AI56" i="17" s="1"/>
  <c r="G34" i="22" s="1"/>
  <c r="AJ56" i="17"/>
  <c r="G34" i="30" s="1"/>
  <c r="V39" i="37"/>
  <c r="U39" i="37"/>
  <c r="R185" i="21"/>
  <c r="S185" i="21" s="1"/>
  <c r="R184" i="21"/>
  <c r="S184" i="21" s="1"/>
  <c r="AC78" i="17"/>
  <c r="W39" i="37"/>
  <c r="X39" i="37"/>
  <c r="R186" i="21"/>
  <c r="S186" i="21" s="1"/>
  <c r="C30" i="32"/>
  <c r="H30" i="32" s="1"/>
  <c r="S176" i="21"/>
  <c r="C31" i="33"/>
  <c r="H31" i="33" s="1"/>
  <c r="B60" i="12"/>
  <c r="C60" i="12" s="1"/>
  <c r="D59" i="12"/>
  <c r="B59" i="4"/>
  <c r="C59" i="4" s="1"/>
  <c r="D58" i="4"/>
  <c r="AD58" i="12"/>
  <c r="AE58" i="12" s="1"/>
  <c r="AF58" i="12" s="1"/>
  <c r="AI58" i="12" s="1"/>
  <c r="F36" i="22" s="1"/>
  <c r="AJ58" i="12"/>
  <c r="F36" i="30" s="1"/>
  <c r="L32" i="33"/>
  <c r="D59" i="16"/>
  <c r="B60" i="16"/>
  <c r="C60" i="16" s="1"/>
  <c r="T41" i="37"/>
  <c r="S41" i="37"/>
  <c r="D43" i="15"/>
  <c r="B44" i="15"/>
  <c r="C44" i="15" s="1"/>
  <c r="P193" i="21"/>
  <c r="R193" i="21" s="1"/>
  <c r="S193" i="21" s="1"/>
  <c r="P196" i="21"/>
  <c r="R196" i="21" s="1"/>
  <c r="P191" i="21"/>
  <c r="R191" i="21" s="1"/>
  <c r="S191" i="21" s="1"/>
  <c r="P190" i="21"/>
  <c r="R190" i="21" s="1"/>
  <c r="P195" i="21"/>
  <c r="P192" i="21"/>
  <c r="R192" i="21" s="1"/>
  <c r="S192" i="21" s="1"/>
  <c r="P194" i="21"/>
  <c r="R194" i="21" s="1"/>
  <c r="S194" i="21" s="1"/>
  <c r="G42" i="15"/>
  <c r="H42" i="15" s="1"/>
  <c r="J36" i="22" s="1"/>
  <c r="K42" i="15"/>
  <c r="J36" i="30" s="1"/>
  <c r="R183" i="21"/>
  <c r="B47" i="11"/>
  <c r="C47" i="11" s="1"/>
  <c r="D46" i="11"/>
  <c r="AD57" i="4"/>
  <c r="AE57" i="4" s="1"/>
  <c r="AF57" i="4" s="1"/>
  <c r="AI57" i="4" s="1"/>
  <c r="D35" i="22" s="1"/>
  <c r="AJ57" i="4"/>
  <c r="D35" i="30" s="1"/>
  <c r="G45" i="11"/>
  <c r="H45" i="11" s="1"/>
  <c r="I39" i="22" s="1"/>
  <c r="I45" i="11"/>
  <c r="I39" i="30" s="1"/>
  <c r="AD41" i="37"/>
  <c r="AC41" i="37"/>
  <c r="Z28" i="16"/>
  <c r="R188" i="21"/>
  <c r="S188" i="21" s="1"/>
  <c r="O34" i="33"/>
  <c r="R34" i="33" s="1"/>
  <c r="AJ53" i="12"/>
  <c r="F31" i="30" s="1"/>
  <c r="C31" i="30" s="1"/>
  <c r="AD58" i="16"/>
  <c r="AE58" i="16" s="1"/>
  <c r="AF58" i="16" s="1"/>
  <c r="AI58" i="16" s="1"/>
  <c r="E36" i="22" s="1"/>
  <c r="AJ58" i="16"/>
  <c r="E36" i="30" s="1"/>
  <c r="R189" i="21"/>
  <c r="S189" i="21" s="1"/>
  <c r="B51" i="21"/>
  <c r="E50" i="21"/>
  <c r="F50" i="21" s="1"/>
  <c r="Z28" i="17"/>
  <c r="AB27" i="17"/>
  <c r="AC27" i="17" s="1"/>
  <c r="AE27" i="17" s="1"/>
  <c r="AF27" i="17" s="1"/>
  <c r="AI27" i="17" s="1"/>
  <c r="R187" i="21"/>
  <c r="S187" i="21" s="1"/>
  <c r="AC53" i="12"/>
  <c r="AE53" i="12" s="1"/>
  <c r="AF53" i="12" s="1"/>
  <c r="AI53" i="12" s="1"/>
  <c r="F31" i="22" s="1"/>
  <c r="C31" i="22" s="1"/>
  <c r="Z40" i="37"/>
  <c r="Y40" i="37"/>
  <c r="Z55" i="12"/>
  <c r="AB54" i="12"/>
  <c r="AC54" i="12" s="1"/>
  <c r="AE54" i="12" s="1"/>
  <c r="AF54" i="12" s="1"/>
  <c r="AI54" i="12" s="1"/>
  <c r="F32" i="22" s="1"/>
  <c r="C32" i="22" s="1"/>
  <c r="D58" i="17" l="1"/>
  <c r="B59" i="17"/>
  <c r="C59" i="17" s="1"/>
  <c r="AJ57" i="17"/>
  <c r="G35" i="30" s="1"/>
  <c r="AD57" i="17"/>
  <c r="AE57" i="17" s="1"/>
  <c r="AF57" i="17" s="1"/>
  <c r="AI57" i="17" s="1"/>
  <c r="G35" i="22" s="1"/>
  <c r="C35" i="22" s="1"/>
  <c r="AC77" i="16"/>
  <c r="M58" i="33"/>
  <c r="R58" i="33" s="1"/>
  <c r="AA27" i="16"/>
  <c r="AB27" i="16" s="1"/>
  <c r="AC27" i="16" s="1"/>
  <c r="AE27" i="16" s="1"/>
  <c r="AF27" i="16" s="1"/>
  <c r="AI27" i="16" s="1"/>
  <c r="AB78" i="16"/>
  <c r="T47" i="13"/>
  <c r="U47" i="13" s="1"/>
  <c r="V47" i="13" s="1"/>
  <c r="Y47" i="13" s="1"/>
  <c r="H36" i="22" s="1"/>
  <c r="Z47" i="13"/>
  <c r="H36" i="30" s="1"/>
  <c r="B49" i="13"/>
  <c r="C49" i="13" s="1"/>
  <c r="D48" i="13"/>
  <c r="C35" i="30"/>
  <c r="P225" i="21" s="1"/>
  <c r="W40" i="37"/>
  <c r="X40" i="37"/>
  <c r="V40" i="37"/>
  <c r="U40" i="37"/>
  <c r="AB40" i="37"/>
  <c r="AA40" i="37"/>
  <c r="L13" i="34"/>
  <c r="G5" i="22"/>
  <c r="S190" i="21"/>
  <c r="O208" i="21"/>
  <c r="O204" i="21"/>
  <c r="O206" i="21"/>
  <c r="O210" i="21"/>
  <c r="O209" i="21"/>
  <c r="O205" i="21"/>
  <c r="O207" i="21"/>
  <c r="B52" i="21"/>
  <c r="E51" i="21"/>
  <c r="F51" i="21" s="1"/>
  <c r="K43" i="15"/>
  <c r="J37" i="30" s="1"/>
  <c r="G43" i="15"/>
  <c r="H43" i="15" s="1"/>
  <c r="J37" i="22" s="1"/>
  <c r="AD59" i="16"/>
  <c r="AE59" i="16" s="1"/>
  <c r="AF59" i="16" s="1"/>
  <c r="AI59" i="16" s="1"/>
  <c r="E37" i="22" s="1"/>
  <c r="AJ59" i="16"/>
  <c r="E37" i="30" s="1"/>
  <c r="AA56" i="12"/>
  <c r="AB55" i="12"/>
  <c r="AC55" i="12" s="1"/>
  <c r="AE55" i="12" s="1"/>
  <c r="AF55" i="12" s="1"/>
  <c r="AI55" i="12" s="1"/>
  <c r="F33" i="22" s="1"/>
  <c r="C33" i="22" s="1"/>
  <c r="C31" i="32"/>
  <c r="H31" i="32" s="1"/>
  <c r="S183" i="21"/>
  <c r="C32" i="33"/>
  <c r="H32" i="33" s="1"/>
  <c r="AD42" i="37"/>
  <c r="AC42" i="37"/>
  <c r="AD58" i="4"/>
  <c r="AE58" i="4" s="1"/>
  <c r="AF58" i="4" s="1"/>
  <c r="AI58" i="4" s="1"/>
  <c r="D36" i="22" s="1"/>
  <c r="AJ58" i="4"/>
  <c r="D36" i="30" s="1"/>
  <c r="D59" i="4"/>
  <c r="B60" i="4"/>
  <c r="C60" i="4" s="1"/>
  <c r="AD59" i="12"/>
  <c r="AE59" i="12" s="1"/>
  <c r="AF59" i="12" s="1"/>
  <c r="AI59" i="12" s="1"/>
  <c r="F37" i="22" s="1"/>
  <c r="AJ59" i="12"/>
  <c r="F37" i="30" s="1"/>
  <c r="L33" i="33"/>
  <c r="T42" i="37"/>
  <c r="S42" i="37"/>
  <c r="D60" i="12"/>
  <c r="B61" i="12"/>
  <c r="C61" i="12" s="1"/>
  <c r="P197" i="21"/>
  <c r="P202" i="21"/>
  <c r="P198" i="21"/>
  <c r="P201" i="21"/>
  <c r="P200" i="21"/>
  <c r="P203" i="21"/>
  <c r="P199" i="21"/>
  <c r="P227" i="21"/>
  <c r="P228" i="21"/>
  <c r="AJ27" i="16"/>
  <c r="M8" i="33"/>
  <c r="I46" i="11"/>
  <c r="I40" i="30" s="1"/>
  <c r="G46" i="11"/>
  <c r="H46" i="11" s="1"/>
  <c r="I40" i="22" s="1"/>
  <c r="E5" i="22"/>
  <c r="B48" i="11"/>
  <c r="C48" i="11" s="1"/>
  <c r="D47" i="11"/>
  <c r="AJ27" i="17"/>
  <c r="P8" i="33"/>
  <c r="AA29" i="17"/>
  <c r="AB28" i="17"/>
  <c r="AC28" i="17" s="1"/>
  <c r="AE28" i="17" s="1"/>
  <c r="AF28" i="17" s="1"/>
  <c r="AI28" i="17" s="1"/>
  <c r="AA29" i="16"/>
  <c r="AB28" i="16"/>
  <c r="AC28" i="16" s="1"/>
  <c r="AE28" i="16" s="1"/>
  <c r="AF28" i="16" s="1"/>
  <c r="AI28" i="16" s="1"/>
  <c r="Z41" i="37"/>
  <c r="Y41" i="37"/>
  <c r="S196" i="21"/>
  <c r="O201" i="21"/>
  <c r="O200" i="21"/>
  <c r="O203" i="21"/>
  <c r="O198" i="21"/>
  <c r="O202" i="21"/>
  <c r="O199" i="21"/>
  <c r="O197" i="21"/>
  <c r="R195" i="21"/>
  <c r="S195" i="21" s="1"/>
  <c r="O35" i="33"/>
  <c r="R35" i="33" s="1"/>
  <c r="AJ54" i="12"/>
  <c r="F32" i="30" s="1"/>
  <c r="C32" i="30" s="1"/>
  <c r="B45" i="15"/>
  <c r="C45" i="15" s="1"/>
  <c r="D44" i="15"/>
  <c r="B61" i="16"/>
  <c r="C61" i="16" s="1"/>
  <c r="D60" i="16"/>
  <c r="O230" i="21" l="1"/>
  <c r="O227" i="21"/>
  <c r="O229" i="21"/>
  <c r="O228" i="21"/>
  <c r="O226" i="21"/>
  <c r="R226" i="21" s="1"/>
  <c r="O225" i="21"/>
  <c r="O231" i="21"/>
  <c r="P229" i="21"/>
  <c r="T48" i="13"/>
  <c r="U48" i="13" s="1"/>
  <c r="V48" i="13" s="1"/>
  <c r="Y48" i="13" s="1"/>
  <c r="H37" i="22" s="1"/>
  <c r="Z48" i="13"/>
  <c r="H37" i="30" s="1"/>
  <c r="P226" i="21"/>
  <c r="L38" i="33" s="1"/>
  <c r="D49" i="13"/>
  <c r="B50" i="13"/>
  <c r="C50" i="13" s="1"/>
  <c r="P231" i="21"/>
  <c r="R231" i="21" s="1"/>
  <c r="S231" i="21" s="1"/>
  <c r="M59" i="33"/>
  <c r="R59" i="33" s="1"/>
  <c r="M19" i="34"/>
  <c r="R19" i="34" s="1"/>
  <c r="AC78" i="16"/>
  <c r="AB41" i="37"/>
  <c r="AA41" i="37"/>
  <c r="P230" i="21"/>
  <c r="C36" i="30"/>
  <c r="P238" i="21" s="1"/>
  <c r="U41" i="37"/>
  <c r="V41" i="37"/>
  <c r="B60" i="17"/>
  <c r="C60" i="17" s="1"/>
  <c r="D59" i="17"/>
  <c r="W41" i="37"/>
  <c r="X41" i="37"/>
  <c r="AJ58" i="17"/>
  <c r="G36" i="30" s="1"/>
  <c r="AD58" i="17"/>
  <c r="AE58" i="17" s="1"/>
  <c r="AF58" i="17" s="1"/>
  <c r="AI58" i="17" s="1"/>
  <c r="G36" i="22" s="1"/>
  <c r="C36" i="22" s="1"/>
  <c r="R201" i="21"/>
  <c r="S201" i="21" s="1"/>
  <c r="R203" i="21"/>
  <c r="S203" i="21" s="1"/>
  <c r="R202" i="21"/>
  <c r="S202" i="21" s="1"/>
  <c r="R198" i="21"/>
  <c r="S198" i="21" s="1"/>
  <c r="R228" i="21"/>
  <c r="S228" i="21" s="1"/>
  <c r="O215" i="21"/>
  <c r="O213" i="21"/>
  <c r="O216" i="21"/>
  <c r="O217" i="21"/>
  <c r="O214" i="21"/>
  <c r="O212" i="21"/>
  <c r="O211" i="21"/>
  <c r="E6" i="22"/>
  <c r="G6" i="22"/>
  <c r="L34" i="33"/>
  <c r="T43" i="37"/>
  <c r="S43" i="37"/>
  <c r="B49" i="11"/>
  <c r="C49" i="11" s="1"/>
  <c r="D48" i="11"/>
  <c r="B62" i="16"/>
  <c r="C62" i="16" s="1"/>
  <c r="D61" i="16"/>
  <c r="G44" i="15"/>
  <c r="H44" i="15" s="1"/>
  <c r="J38" i="22" s="1"/>
  <c r="K44" i="15"/>
  <c r="J38" i="30" s="1"/>
  <c r="B53" i="21"/>
  <c r="E52" i="21"/>
  <c r="F52" i="21" s="1"/>
  <c r="Y42" i="37"/>
  <c r="Z42" i="37"/>
  <c r="R230" i="21"/>
  <c r="S230" i="21" s="1"/>
  <c r="C13" i="34"/>
  <c r="H13" i="34" s="1"/>
  <c r="D45" i="15"/>
  <c r="B46" i="15"/>
  <c r="C46" i="15" s="1"/>
  <c r="R200" i="21"/>
  <c r="S200" i="21" s="1"/>
  <c r="G5" i="30"/>
  <c r="R225" i="21"/>
  <c r="K13" i="32"/>
  <c r="R229" i="21"/>
  <c r="S229" i="21" s="1"/>
  <c r="I47" i="11"/>
  <c r="I41" i="30" s="1"/>
  <c r="G47" i="11"/>
  <c r="H47" i="11" s="1"/>
  <c r="I41" i="22" s="1"/>
  <c r="B61" i="4"/>
  <c r="C61" i="4" s="1"/>
  <c r="D60" i="4"/>
  <c r="AD59" i="4"/>
  <c r="AE59" i="4" s="1"/>
  <c r="AF59" i="4" s="1"/>
  <c r="AI59" i="4" s="1"/>
  <c r="D37" i="22" s="1"/>
  <c r="AJ59" i="4"/>
  <c r="D37" i="30" s="1"/>
  <c r="O36" i="33"/>
  <c r="R36" i="33" s="1"/>
  <c r="AJ55" i="12"/>
  <c r="F33" i="30" s="1"/>
  <c r="C33" i="30" s="1"/>
  <c r="C5" i="22"/>
  <c r="R227" i="21"/>
  <c r="P236" i="21"/>
  <c r="P233" i="21"/>
  <c r="P235" i="21"/>
  <c r="P237" i="21"/>
  <c r="P234" i="21"/>
  <c r="AB56" i="12"/>
  <c r="P206" i="21"/>
  <c r="R206" i="21" s="1"/>
  <c r="S206" i="21" s="1"/>
  <c r="P209" i="21"/>
  <c r="R209" i="21" s="1"/>
  <c r="S209" i="21" s="1"/>
  <c r="P207" i="21"/>
  <c r="P208" i="21"/>
  <c r="R208" i="21" s="1"/>
  <c r="S208" i="21" s="1"/>
  <c r="P204" i="21"/>
  <c r="R204" i="21" s="1"/>
  <c r="P210" i="21"/>
  <c r="R210" i="21" s="1"/>
  <c r="S210" i="21" s="1"/>
  <c r="P205" i="21"/>
  <c r="R205" i="21" s="1"/>
  <c r="S205" i="21" s="1"/>
  <c r="M9" i="33"/>
  <c r="AJ28" i="16"/>
  <c r="E6" i="30" s="1"/>
  <c r="AD43" i="37"/>
  <c r="AC43" i="37"/>
  <c r="C32" i="32"/>
  <c r="H32" i="32" s="1"/>
  <c r="C33" i="33"/>
  <c r="H33" i="33" s="1"/>
  <c r="R197" i="21"/>
  <c r="M8" i="34"/>
  <c r="B62" i="12"/>
  <c r="C62" i="12" s="1"/>
  <c r="D61" i="12"/>
  <c r="AB29" i="16"/>
  <c r="AC29" i="16" s="1"/>
  <c r="AE29" i="16" s="1"/>
  <c r="AF29" i="16" s="1"/>
  <c r="AI29" i="16" s="1"/>
  <c r="E7" i="22" s="1"/>
  <c r="R199" i="21"/>
  <c r="S199" i="21" s="1"/>
  <c r="P9" i="33"/>
  <c r="AJ28" i="17"/>
  <c r="G6" i="30" s="1"/>
  <c r="R8" i="33"/>
  <c r="AD60" i="16"/>
  <c r="AE60" i="16" s="1"/>
  <c r="AF60" i="16" s="1"/>
  <c r="AI60" i="16" s="1"/>
  <c r="E38" i="22" s="1"/>
  <c r="AJ60" i="16"/>
  <c r="E38" i="30" s="1"/>
  <c r="AB29" i="17"/>
  <c r="E5" i="30"/>
  <c r="AD60" i="12"/>
  <c r="AE60" i="12" s="1"/>
  <c r="AF60" i="12" s="1"/>
  <c r="AI60" i="12" s="1"/>
  <c r="F38" i="22" s="1"/>
  <c r="AJ60" i="12"/>
  <c r="F38" i="30" s="1"/>
  <c r="O233" i="21" l="1"/>
  <c r="O234" i="21"/>
  <c r="O237" i="21"/>
  <c r="O232" i="21"/>
  <c r="O236" i="21"/>
  <c r="O235" i="21"/>
  <c r="O238" i="21"/>
  <c r="R238" i="21" s="1"/>
  <c r="S238" i="21" s="1"/>
  <c r="X42" i="37"/>
  <c r="W42" i="37"/>
  <c r="D50" i="13"/>
  <c r="B51" i="13"/>
  <c r="C51" i="13" s="1"/>
  <c r="AJ59" i="17"/>
  <c r="G37" i="30" s="1"/>
  <c r="C37" i="30" s="1"/>
  <c r="AD59" i="17"/>
  <c r="AE59" i="17" s="1"/>
  <c r="AF59" i="17" s="1"/>
  <c r="AI59" i="17" s="1"/>
  <c r="G37" i="22" s="1"/>
  <c r="C37" i="22" s="1"/>
  <c r="Z49" i="13"/>
  <c r="H38" i="30" s="1"/>
  <c r="T49" i="13"/>
  <c r="U49" i="13" s="1"/>
  <c r="V49" i="13" s="1"/>
  <c r="Y49" i="13" s="1"/>
  <c r="H38" i="22" s="1"/>
  <c r="B61" i="17"/>
  <c r="C61" i="17" s="1"/>
  <c r="D60" i="17"/>
  <c r="U42" i="37"/>
  <c r="V42" i="37"/>
  <c r="AB42" i="37"/>
  <c r="AA42" i="37"/>
  <c r="P232" i="21"/>
  <c r="L39" i="33" s="1"/>
  <c r="R237" i="21"/>
  <c r="S237" i="21" s="1"/>
  <c r="R234" i="21"/>
  <c r="S234" i="21" s="1"/>
  <c r="R235" i="21"/>
  <c r="S235" i="21" s="1"/>
  <c r="R236" i="21"/>
  <c r="S236" i="21" s="1"/>
  <c r="O37" i="33"/>
  <c r="AJ56" i="12"/>
  <c r="F34" i="30" s="1"/>
  <c r="C34" i="30" s="1"/>
  <c r="O14" i="34"/>
  <c r="S44" i="37"/>
  <c r="T44" i="37"/>
  <c r="P10" i="33"/>
  <c r="P60" i="33" s="1"/>
  <c r="AJ29" i="17"/>
  <c r="G7" i="30" s="1"/>
  <c r="P8" i="34"/>
  <c r="P20" i="34" s="1"/>
  <c r="AC56" i="12"/>
  <c r="AE56" i="12" s="1"/>
  <c r="AF56" i="12" s="1"/>
  <c r="AI56" i="12" s="1"/>
  <c r="F34" i="22" s="1"/>
  <c r="C34" i="22" s="1"/>
  <c r="P217" i="21"/>
  <c r="R217" i="21" s="1"/>
  <c r="S217" i="21" s="1"/>
  <c r="P214" i="21"/>
  <c r="R214" i="21" s="1"/>
  <c r="S214" i="21" s="1"/>
  <c r="P212" i="21"/>
  <c r="P213" i="21"/>
  <c r="R213" i="21" s="1"/>
  <c r="S213" i="21" s="1"/>
  <c r="P216" i="21"/>
  <c r="R216" i="21" s="1"/>
  <c r="S216" i="21" s="1"/>
  <c r="P215" i="21"/>
  <c r="R215" i="21" s="1"/>
  <c r="S215" i="21" s="1"/>
  <c r="P211" i="21"/>
  <c r="R211" i="21" s="1"/>
  <c r="S204" i="21"/>
  <c r="C33" i="32"/>
  <c r="H33" i="32" s="1"/>
  <c r="S197" i="21"/>
  <c r="C34" i="33"/>
  <c r="H34" i="33" s="1"/>
  <c r="M20" i="34"/>
  <c r="R8" i="34"/>
  <c r="R233" i="21"/>
  <c r="S233" i="21" s="1"/>
  <c r="Y43" i="37"/>
  <c r="Z43" i="37"/>
  <c r="E53" i="21"/>
  <c r="F53" i="21" s="1"/>
  <c r="B54" i="21"/>
  <c r="AJ29" i="16"/>
  <c r="M10" i="33"/>
  <c r="AC44" i="37"/>
  <c r="AD44" i="37"/>
  <c r="R207" i="21"/>
  <c r="S207" i="21" s="1"/>
  <c r="C6" i="22"/>
  <c r="AD60" i="4"/>
  <c r="AE60" i="4" s="1"/>
  <c r="AF60" i="4" s="1"/>
  <c r="AI60" i="4" s="1"/>
  <c r="D38" i="22" s="1"/>
  <c r="AJ60" i="4"/>
  <c r="D38" i="30" s="1"/>
  <c r="C37" i="32"/>
  <c r="H37" i="32" s="1"/>
  <c r="C38" i="33"/>
  <c r="H38" i="33" s="1"/>
  <c r="S225" i="21"/>
  <c r="C6" i="30"/>
  <c r="L35" i="33"/>
  <c r="D61" i="4"/>
  <c r="B62" i="4"/>
  <c r="C62" i="4" s="1"/>
  <c r="R9" i="33"/>
  <c r="S227" i="21"/>
  <c r="S226" i="21"/>
  <c r="AD61" i="16"/>
  <c r="AE61" i="16" s="1"/>
  <c r="AF61" i="16" s="1"/>
  <c r="AI61" i="16" s="1"/>
  <c r="E39" i="22" s="1"/>
  <c r="AJ61" i="16"/>
  <c r="E39" i="30" s="1"/>
  <c r="C5" i="30"/>
  <c r="AD61" i="12"/>
  <c r="AE61" i="12" s="1"/>
  <c r="AF61" i="12" s="1"/>
  <c r="AI61" i="12" s="1"/>
  <c r="F39" i="22" s="1"/>
  <c r="AJ61" i="12"/>
  <c r="F39" i="30" s="1"/>
  <c r="B63" i="16"/>
  <c r="C63" i="16" s="1"/>
  <c r="D62" i="16"/>
  <c r="D46" i="15"/>
  <c r="B47" i="15"/>
  <c r="C47" i="15" s="1"/>
  <c r="I48" i="11"/>
  <c r="I42" i="30" s="1"/>
  <c r="G48" i="11"/>
  <c r="H48" i="11" s="1"/>
  <c r="I42" i="22" s="1"/>
  <c r="AC29" i="17"/>
  <c r="AE29" i="17" s="1"/>
  <c r="AF29" i="17" s="1"/>
  <c r="AI29" i="17" s="1"/>
  <c r="O17" i="21"/>
  <c r="O16" i="21"/>
  <c r="O19" i="21"/>
  <c r="O18" i="21"/>
  <c r="O15" i="21"/>
  <c r="O20" i="21"/>
  <c r="O21" i="21"/>
  <c r="G45" i="15"/>
  <c r="H45" i="15" s="1"/>
  <c r="J39" i="22" s="1"/>
  <c r="K45" i="15"/>
  <c r="J39" i="30" s="1"/>
  <c r="B50" i="11"/>
  <c r="C50" i="11" s="1"/>
  <c r="D49" i="11"/>
  <c r="B63" i="12"/>
  <c r="C63" i="12" s="1"/>
  <c r="D62" i="12"/>
  <c r="O244" i="21" l="1"/>
  <c r="O242" i="21"/>
  <c r="O243" i="21"/>
  <c r="O239" i="21"/>
  <c r="O245" i="21"/>
  <c r="O240" i="21"/>
  <c r="R240" i="21" s="1"/>
  <c r="S240" i="21" s="1"/>
  <c r="O241" i="21"/>
  <c r="P240" i="21"/>
  <c r="P244" i="21"/>
  <c r="P243" i="21"/>
  <c r="P239" i="21"/>
  <c r="P245" i="21"/>
  <c r="P241" i="21"/>
  <c r="P242" i="21"/>
  <c r="AJ62" i="16"/>
  <c r="AD62" i="16"/>
  <c r="AE62" i="16" s="1"/>
  <c r="D51" i="13"/>
  <c r="B52" i="13"/>
  <c r="C52" i="13" s="1"/>
  <c r="Z50" i="13"/>
  <c r="H39" i="30" s="1"/>
  <c r="T50" i="13"/>
  <c r="U50" i="13" s="1"/>
  <c r="V50" i="13" s="1"/>
  <c r="Y50" i="13" s="1"/>
  <c r="H39" i="22" s="1"/>
  <c r="X43" i="37"/>
  <c r="W43" i="37"/>
  <c r="R232" i="21"/>
  <c r="S232" i="21" s="1"/>
  <c r="AA43" i="37"/>
  <c r="AB43" i="37"/>
  <c r="R10" i="33"/>
  <c r="U43" i="37"/>
  <c r="V43" i="37"/>
  <c r="AJ60" i="17"/>
  <c r="G38" i="30" s="1"/>
  <c r="C38" i="30" s="1"/>
  <c r="AD60" i="17"/>
  <c r="AE60" i="17" s="1"/>
  <c r="AF60" i="17" s="1"/>
  <c r="AI60" i="17" s="1"/>
  <c r="G38" i="22" s="1"/>
  <c r="C38" i="22" s="1"/>
  <c r="D61" i="17"/>
  <c r="B62" i="17"/>
  <c r="C62" i="17" s="1"/>
  <c r="C38" i="32"/>
  <c r="H38" i="32" s="1"/>
  <c r="C39" i="33"/>
  <c r="H39" i="33" s="1"/>
  <c r="R241" i="21"/>
  <c r="S241" i="21" s="1"/>
  <c r="C35" i="33"/>
  <c r="H35" i="33" s="1"/>
  <c r="I49" i="11"/>
  <c r="I43" i="30" s="1"/>
  <c r="G49" i="11"/>
  <c r="H49" i="11" s="1"/>
  <c r="I43" i="22" s="1"/>
  <c r="D50" i="11"/>
  <c r="B51" i="11"/>
  <c r="C51" i="11" s="1"/>
  <c r="D47" i="15"/>
  <c r="B48" i="15"/>
  <c r="C48" i="15" s="1"/>
  <c r="P23" i="21"/>
  <c r="P27" i="21"/>
  <c r="P25" i="21"/>
  <c r="P26" i="21"/>
  <c r="P22" i="21"/>
  <c r="P28" i="21"/>
  <c r="P24" i="21"/>
  <c r="AF62" i="16"/>
  <c r="E40" i="30"/>
  <c r="L36" i="33"/>
  <c r="L40" i="33"/>
  <c r="E54" i="21"/>
  <c r="F54" i="21" s="1"/>
  <c r="B55" i="21"/>
  <c r="T45" i="37"/>
  <c r="S45" i="37"/>
  <c r="R14" i="34"/>
  <c r="R20" i="34" s="1"/>
  <c r="O20" i="34"/>
  <c r="S211" i="21"/>
  <c r="P219" i="21"/>
  <c r="P220" i="21"/>
  <c r="P223" i="21"/>
  <c r="P224" i="21"/>
  <c r="P222" i="21"/>
  <c r="P221" i="21"/>
  <c r="P218" i="21"/>
  <c r="P19" i="21"/>
  <c r="R19" i="21" s="1"/>
  <c r="S19" i="21" s="1"/>
  <c r="P17" i="21"/>
  <c r="R17" i="21" s="1"/>
  <c r="S17" i="21" s="1"/>
  <c r="P20" i="21"/>
  <c r="R20" i="21" s="1"/>
  <c r="S20" i="21" s="1"/>
  <c r="P18" i="21"/>
  <c r="R18" i="21" s="1"/>
  <c r="S18" i="21" s="1"/>
  <c r="P21" i="21"/>
  <c r="R21" i="21" s="1"/>
  <c r="S21" i="21" s="1"/>
  <c r="P15" i="21"/>
  <c r="R15" i="21" s="1"/>
  <c r="S15" i="21" s="1"/>
  <c r="P16" i="21"/>
  <c r="R212" i="21"/>
  <c r="C35" i="32" s="1"/>
  <c r="H35" i="32" s="1"/>
  <c r="O23" i="21"/>
  <c r="O22" i="21"/>
  <c r="O28" i="21"/>
  <c r="O25" i="21"/>
  <c r="O24" i="21"/>
  <c r="R24" i="21" s="1"/>
  <c r="S24" i="21" s="1"/>
  <c r="O27" i="21"/>
  <c r="O26" i="21"/>
  <c r="O60" i="33"/>
  <c r="R37" i="33"/>
  <c r="R60" i="33" s="1"/>
  <c r="AD62" i="12"/>
  <c r="AE62" i="12" s="1"/>
  <c r="AF62" i="12" s="1"/>
  <c r="AI62" i="12" s="1"/>
  <c r="F40" i="22" s="1"/>
  <c r="AJ62" i="12"/>
  <c r="F40" i="30" s="1"/>
  <c r="R245" i="21"/>
  <c r="S245" i="21" s="1"/>
  <c r="Z44" i="37"/>
  <c r="Y44" i="37"/>
  <c r="D63" i="12"/>
  <c r="B64" i="12"/>
  <c r="C64" i="12" s="1"/>
  <c r="G7" i="22"/>
  <c r="B63" i="4"/>
  <c r="C63" i="4" s="1"/>
  <c r="D62" i="4"/>
  <c r="R239" i="21"/>
  <c r="O219" i="21"/>
  <c r="O221" i="21"/>
  <c r="O223" i="21"/>
  <c r="O222" i="21"/>
  <c r="O220" i="21"/>
  <c r="O218" i="21"/>
  <c r="O224" i="21"/>
  <c r="M60" i="33"/>
  <c r="D63" i="16"/>
  <c r="B64" i="16"/>
  <c r="C64" i="16" s="1"/>
  <c r="AD61" i="4"/>
  <c r="AE61" i="4" s="1"/>
  <c r="AF61" i="4" s="1"/>
  <c r="AI61" i="4" s="1"/>
  <c r="D39" i="22" s="1"/>
  <c r="AJ61" i="4"/>
  <c r="D39" i="30" s="1"/>
  <c r="AD45" i="37"/>
  <c r="AC45" i="37"/>
  <c r="R243" i="21"/>
  <c r="S243" i="21" s="1"/>
  <c r="R242" i="21"/>
  <c r="S242" i="21" s="1"/>
  <c r="G46" i="15"/>
  <c r="H46" i="15" s="1"/>
  <c r="J40" i="22" s="1"/>
  <c r="K46" i="15"/>
  <c r="J40" i="30" s="1"/>
  <c r="E7" i="30"/>
  <c r="R244" i="21"/>
  <c r="S244" i="21" s="1"/>
  <c r="C34" i="32"/>
  <c r="H34" i="32" s="1"/>
  <c r="O248" i="21" l="1"/>
  <c r="O246" i="21"/>
  <c r="O251" i="21"/>
  <c r="O249" i="21"/>
  <c r="O250" i="21"/>
  <c r="O252" i="21"/>
  <c r="O247" i="21"/>
  <c r="P252" i="21"/>
  <c r="R252" i="21" s="1"/>
  <c r="S252" i="21" s="1"/>
  <c r="P248" i="21"/>
  <c r="P247" i="21"/>
  <c r="P246" i="21"/>
  <c r="R246" i="21" s="1"/>
  <c r="P249" i="21"/>
  <c r="R249" i="21" s="1"/>
  <c r="S249" i="21" s="1"/>
  <c r="P250" i="21"/>
  <c r="P251" i="21"/>
  <c r="AA44" i="37"/>
  <c r="AB44" i="37"/>
  <c r="W44" i="37"/>
  <c r="X44" i="37"/>
  <c r="D62" i="17"/>
  <c r="B63" i="17"/>
  <c r="C63" i="17" s="1"/>
  <c r="AD61" i="17"/>
  <c r="AE61" i="17" s="1"/>
  <c r="AF61" i="17" s="1"/>
  <c r="AI61" i="17" s="1"/>
  <c r="G39" i="22" s="1"/>
  <c r="C39" i="22" s="1"/>
  <c r="AJ61" i="17"/>
  <c r="G39" i="30" s="1"/>
  <c r="C39" i="30" s="1"/>
  <c r="Z51" i="13"/>
  <c r="H40" i="30" s="1"/>
  <c r="T51" i="13"/>
  <c r="U51" i="13" s="1"/>
  <c r="V51" i="13" s="1"/>
  <c r="Y51" i="13" s="1"/>
  <c r="H40" i="22" s="1"/>
  <c r="V44" i="37"/>
  <c r="U44" i="37"/>
  <c r="B53" i="13"/>
  <c r="C53" i="13" s="1"/>
  <c r="D52" i="13"/>
  <c r="R223" i="21"/>
  <c r="S223" i="21" s="1"/>
  <c r="R28" i="21"/>
  <c r="S28" i="21" s="1"/>
  <c r="R222" i="21"/>
  <c r="S222" i="21" s="1"/>
  <c r="R248" i="21"/>
  <c r="S248" i="21" s="1"/>
  <c r="R251" i="21"/>
  <c r="S251" i="21" s="1"/>
  <c r="R221" i="21"/>
  <c r="S221" i="21" s="1"/>
  <c r="R23" i="21"/>
  <c r="S23" i="21" s="1"/>
  <c r="R26" i="21"/>
  <c r="S26" i="21" s="1"/>
  <c r="R27" i="21"/>
  <c r="S27" i="21" s="1"/>
  <c r="R220" i="21"/>
  <c r="S220" i="21" s="1"/>
  <c r="AI62" i="16"/>
  <c r="E40" i="22" s="1"/>
  <c r="L14" i="34"/>
  <c r="R22" i="21"/>
  <c r="I27" i="31"/>
  <c r="R219" i="21"/>
  <c r="S219" i="21" s="1"/>
  <c r="D48" i="15"/>
  <c r="B49" i="15"/>
  <c r="C49" i="15" s="1"/>
  <c r="Z45" i="37"/>
  <c r="Y45" i="37"/>
  <c r="B56" i="21"/>
  <c r="E55" i="21"/>
  <c r="F55" i="21" s="1"/>
  <c r="AC46" i="37"/>
  <c r="AD46" i="37"/>
  <c r="C39" i="32"/>
  <c r="H39" i="32" s="1"/>
  <c r="C40" i="33"/>
  <c r="H40" i="33" s="1"/>
  <c r="S239" i="21"/>
  <c r="R247" i="21"/>
  <c r="S247" i="21" s="1"/>
  <c r="G47" i="15"/>
  <c r="H47" i="15" s="1"/>
  <c r="J41" i="22" s="1"/>
  <c r="K47" i="15"/>
  <c r="J41" i="30" s="1"/>
  <c r="R25" i="21"/>
  <c r="S25" i="21" s="1"/>
  <c r="L37" i="33"/>
  <c r="AD62" i="4"/>
  <c r="AE62" i="4" s="1"/>
  <c r="AF62" i="4" s="1"/>
  <c r="AI62" i="4" s="1"/>
  <c r="D40" i="22" s="1"/>
  <c r="AJ62" i="4"/>
  <c r="D40" i="30" s="1"/>
  <c r="S212" i="21"/>
  <c r="D51" i="11"/>
  <c r="B52" i="11"/>
  <c r="C52" i="11" s="1"/>
  <c r="C8" i="33"/>
  <c r="C7" i="32"/>
  <c r="T46" i="37"/>
  <c r="S46" i="37"/>
  <c r="B64" i="4"/>
  <c r="C64" i="4" s="1"/>
  <c r="D63" i="4"/>
  <c r="R250" i="21"/>
  <c r="S250" i="21" s="1"/>
  <c r="G50" i="11"/>
  <c r="H50" i="11" s="1"/>
  <c r="I44" i="22" s="1"/>
  <c r="I50" i="11"/>
  <c r="I44" i="30" s="1"/>
  <c r="B65" i="16"/>
  <c r="C65" i="16" s="1"/>
  <c r="D64" i="16"/>
  <c r="AD63" i="16"/>
  <c r="AE63" i="16" s="1"/>
  <c r="AF63" i="16" s="1"/>
  <c r="AI63" i="16" s="1"/>
  <c r="E41" i="22" s="1"/>
  <c r="AJ63" i="16"/>
  <c r="E41" i="30" s="1"/>
  <c r="C7" i="22"/>
  <c r="L8" i="33"/>
  <c r="C7" i="30"/>
  <c r="D64" i="12"/>
  <c r="B65" i="12"/>
  <c r="C65" i="12" s="1"/>
  <c r="AD63" i="12"/>
  <c r="AE63" i="12" s="1"/>
  <c r="AF63" i="12" s="1"/>
  <c r="AI63" i="12" s="1"/>
  <c r="F41" i="22" s="1"/>
  <c r="AJ63" i="12"/>
  <c r="F41" i="30" s="1"/>
  <c r="R224" i="21"/>
  <c r="S224" i="21" s="1"/>
  <c r="C36" i="33"/>
  <c r="H36" i="33" s="1"/>
  <c r="R218" i="21"/>
  <c r="L9" i="33"/>
  <c r="P259" i="21" l="1"/>
  <c r="P253" i="21"/>
  <c r="P254" i="21"/>
  <c r="P256" i="21"/>
  <c r="P258" i="21"/>
  <c r="P255" i="21"/>
  <c r="P257" i="21"/>
  <c r="O256" i="21"/>
  <c r="R256" i="21" s="1"/>
  <c r="S256" i="21" s="1"/>
  <c r="O253" i="21"/>
  <c r="O255" i="21"/>
  <c r="R255" i="21" s="1"/>
  <c r="S255" i="21" s="1"/>
  <c r="O259" i="21"/>
  <c r="R259" i="21" s="1"/>
  <c r="S259" i="21" s="1"/>
  <c r="O258" i="21"/>
  <c r="R258" i="21" s="1"/>
  <c r="S258" i="21" s="1"/>
  <c r="O257" i="21"/>
  <c r="O254" i="21"/>
  <c r="U45" i="37"/>
  <c r="V45" i="37"/>
  <c r="D63" i="17"/>
  <c r="B64" i="17"/>
  <c r="C64" i="17" s="1"/>
  <c r="AD62" i="17"/>
  <c r="AE62" i="17" s="1"/>
  <c r="AF62" i="17" s="1"/>
  <c r="AI62" i="17" s="1"/>
  <c r="G40" i="22" s="1"/>
  <c r="AJ62" i="17"/>
  <c r="G40" i="30" s="1"/>
  <c r="C40" i="30" s="1"/>
  <c r="L41" i="33"/>
  <c r="W45" i="37"/>
  <c r="X45" i="37"/>
  <c r="C8" i="32"/>
  <c r="H8" i="32" s="1"/>
  <c r="Z52" i="13"/>
  <c r="H41" i="30" s="1"/>
  <c r="T52" i="13"/>
  <c r="U52" i="13" s="1"/>
  <c r="V52" i="13" s="1"/>
  <c r="Y52" i="13" s="1"/>
  <c r="H41" i="22" s="1"/>
  <c r="AB45" i="37"/>
  <c r="AA45" i="37"/>
  <c r="B54" i="13"/>
  <c r="C54" i="13" s="1"/>
  <c r="D53" i="13"/>
  <c r="S22" i="21"/>
  <c r="L15" i="34"/>
  <c r="R254" i="21"/>
  <c r="S254" i="21" s="1"/>
  <c r="C9" i="33"/>
  <c r="H9" i="33" s="1"/>
  <c r="B13" i="31"/>
  <c r="G13" i="31" s="1"/>
  <c r="C40" i="22"/>
  <c r="O262" i="21" s="1"/>
  <c r="R257" i="21"/>
  <c r="S257" i="21" s="1"/>
  <c r="R253" i="21"/>
  <c r="S253" i="21" s="1"/>
  <c r="B66" i="16"/>
  <c r="C66" i="16" s="1"/>
  <c r="D65" i="16"/>
  <c r="C14" i="34"/>
  <c r="H14" i="34" s="1"/>
  <c r="T15" i="21"/>
  <c r="D16" i="21" s="1"/>
  <c r="H8" i="33"/>
  <c r="B66" i="12"/>
  <c r="C66" i="12" s="1"/>
  <c r="D65" i="12"/>
  <c r="F8" i="35"/>
  <c r="K8" i="35" s="1"/>
  <c r="AD64" i="16"/>
  <c r="AE64" i="16" s="1"/>
  <c r="AF64" i="16" s="1"/>
  <c r="AI64" i="16" s="1"/>
  <c r="E42" i="22" s="1"/>
  <c r="AJ64" i="16"/>
  <c r="P33" i="21"/>
  <c r="P30" i="21"/>
  <c r="P29" i="21"/>
  <c r="P31" i="21"/>
  <c r="P34" i="21"/>
  <c r="P35" i="21"/>
  <c r="P32" i="21"/>
  <c r="B57" i="21"/>
  <c r="E56" i="21"/>
  <c r="F56" i="21" s="1"/>
  <c r="Y46" i="37"/>
  <c r="Z46" i="37"/>
  <c r="T47" i="37"/>
  <c r="S47" i="37"/>
  <c r="O263" i="21"/>
  <c r="O264" i="21"/>
  <c r="O265" i="21"/>
  <c r="B50" i="15"/>
  <c r="C50" i="15" s="1"/>
  <c r="D49" i="15"/>
  <c r="AD63" i="4"/>
  <c r="AE63" i="4" s="1"/>
  <c r="AF63" i="4" s="1"/>
  <c r="AI63" i="4" s="1"/>
  <c r="D41" i="22" s="1"/>
  <c r="AJ63" i="4"/>
  <c r="D41" i="30" s="1"/>
  <c r="G48" i="15"/>
  <c r="H48" i="15" s="1"/>
  <c r="J42" i="22" s="1"/>
  <c r="K48" i="15"/>
  <c r="J42" i="30" s="1"/>
  <c r="S218" i="21"/>
  <c r="K14" i="32" s="1"/>
  <c r="C36" i="32"/>
  <c r="H36" i="32" s="1"/>
  <c r="C37" i="33"/>
  <c r="H37" i="33" s="1"/>
  <c r="B65" i="4"/>
  <c r="C65" i="4" s="1"/>
  <c r="D64" i="4"/>
  <c r="H7" i="32"/>
  <c r="O33" i="21"/>
  <c r="O34" i="21"/>
  <c r="O32" i="21"/>
  <c r="R32" i="21" s="1"/>
  <c r="S32" i="21" s="1"/>
  <c r="O31" i="21"/>
  <c r="O30" i="21"/>
  <c r="O29" i="21"/>
  <c r="O35" i="21"/>
  <c r="L42" i="33"/>
  <c r="D52" i="11"/>
  <c r="B53" i="11"/>
  <c r="C53" i="11" s="1"/>
  <c r="C40" i="32"/>
  <c r="H40" i="32" s="1"/>
  <c r="S246" i="21"/>
  <c r="C41" i="33"/>
  <c r="H41" i="33" s="1"/>
  <c r="I51" i="11"/>
  <c r="I45" i="30" s="1"/>
  <c r="G51" i="11"/>
  <c r="H51" i="11" s="1"/>
  <c r="I45" i="22" s="1"/>
  <c r="AD64" i="12"/>
  <c r="AE64" i="12" s="1"/>
  <c r="AF64" i="12" s="1"/>
  <c r="AI64" i="12" s="1"/>
  <c r="F42" i="22" s="1"/>
  <c r="AJ64" i="12"/>
  <c r="F42" i="30" s="1"/>
  <c r="AD47" i="37"/>
  <c r="AC47" i="37"/>
  <c r="P262" i="21" l="1"/>
  <c r="P265" i="21"/>
  <c r="P263" i="21"/>
  <c r="P260" i="21"/>
  <c r="P266" i="21"/>
  <c r="P261" i="21"/>
  <c r="P264" i="21"/>
  <c r="R264" i="21"/>
  <c r="S264" i="21" s="1"/>
  <c r="W46" i="37"/>
  <c r="X46" i="37"/>
  <c r="C41" i="30"/>
  <c r="P267" i="21" s="1"/>
  <c r="B65" i="17"/>
  <c r="C65" i="17" s="1"/>
  <c r="D64" i="17"/>
  <c r="T53" i="13"/>
  <c r="U53" i="13" s="1"/>
  <c r="V53" i="13" s="1"/>
  <c r="Y53" i="13" s="1"/>
  <c r="H42" i="22" s="1"/>
  <c r="Z53" i="13"/>
  <c r="H42" i="30" s="1"/>
  <c r="AJ63" i="17"/>
  <c r="G41" i="30" s="1"/>
  <c r="AD63" i="17"/>
  <c r="AE63" i="17" s="1"/>
  <c r="AF63" i="17" s="1"/>
  <c r="AI63" i="17" s="1"/>
  <c r="G41" i="22" s="1"/>
  <c r="B55" i="13"/>
  <c r="C55" i="13" s="1"/>
  <c r="D54" i="13"/>
  <c r="O261" i="21"/>
  <c r="AA46" i="37"/>
  <c r="AB46" i="37"/>
  <c r="V46" i="37"/>
  <c r="U46" i="37"/>
  <c r="Q7" i="31"/>
  <c r="R263" i="21"/>
  <c r="S263" i="21" s="1"/>
  <c r="R265" i="21"/>
  <c r="S265" i="21" s="1"/>
  <c r="R30" i="21"/>
  <c r="S30" i="21" s="1"/>
  <c r="C15" i="34"/>
  <c r="H15" i="34" s="1"/>
  <c r="R33" i="21"/>
  <c r="S33" i="21" s="1"/>
  <c r="R31" i="21"/>
  <c r="S31" i="21" s="1"/>
  <c r="O260" i="21"/>
  <c r="R260" i="21" s="1"/>
  <c r="S260" i="21" s="1"/>
  <c r="K15" i="32"/>
  <c r="O266" i="21"/>
  <c r="R266" i="21" s="1"/>
  <c r="S266" i="21" s="1"/>
  <c r="C16" i="21"/>
  <c r="G16" i="21"/>
  <c r="H16" i="21" s="1"/>
  <c r="J16" i="21" s="1"/>
  <c r="T16" i="21" s="1"/>
  <c r="D17" i="21" s="1"/>
  <c r="R29" i="21"/>
  <c r="Y47" i="37"/>
  <c r="Z47" i="37"/>
  <c r="T48" i="37"/>
  <c r="S48" i="37"/>
  <c r="L10" i="33"/>
  <c r="L8" i="34"/>
  <c r="R34" i="21"/>
  <c r="S34" i="21" s="1"/>
  <c r="E42" i="30"/>
  <c r="AC48" i="37"/>
  <c r="AD48" i="37"/>
  <c r="P268" i="21"/>
  <c r="P269" i="21"/>
  <c r="P270" i="21"/>
  <c r="P273" i="21"/>
  <c r="C41" i="22"/>
  <c r="E57" i="21"/>
  <c r="F57" i="21" s="1"/>
  <c r="B58" i="21"/>
  <c r="AD65" i="16"/>
  <c r="AE65" i="16" s="1"/>
  <c r="AF65" i="16" s="1"/>
  <c r="AI65" i="16" s="1"/>
  <c r="E43" i="22" s="1"/>
  <c r="AJ65" i="16"/>
  <c r="E43" i="30" s="1"/>
  <c r="R35" i="21"/>
  <c r="S35" i="21" s="1"/>
  <c r="G49" i="15"/>
  <c r="H49" i="15" s="1"/>
  <c r="J43" i="22" s="1"/>
  <c r="K49" i="15"/>
  <c r="J43" i="30" s="1"/>
  <c r="B67" i="16"/>
  <c r="C67" i="16" s="1"/>
  <c r="D66" i="16"/>
  <c r="G52" i="11"/>
  <c r="H52" i="11" s="1"/>
  <c r="I46" i="22" s="1"/>
  <c r="I52" i="11"/>
  <c r="I46" i="30" s="1"/>
  <c r="AD64" i="4"/>
  <c r="AE64" i="4" s="1"/>
  <c r="AF64" i="4" s="1"/>
  <c r="AI64" i="4" s="1"/>
  <c r="D42" i="22" s="1"/>
  <c r="AJ64" i="4"/>
  <c r="D42" i="30" s="1"/>
  <c r="B51" i="15"/>
  <c r="C51" i="15" s="1"/>
  <c r="D50" i="15"/>
  <c r="L43" i="33"/>
  <c r="AD65" i="12"/>
  <c r="AE65" i="12" s="1"/>
  <c r="AF65" i="12" s="1"/>
  <c r="AI65" i="12" s="1"/>
  <c r="F43" i="22" s="1"/>
  <c r="AJ65" i="12"/>
  <c r="F43" i="30" s="1"/>
  <c r="B67" i="12"/>
  <c r="C67" i="12" s="1"/>
  <c r="D66" i="12"/>
  <c r="D65" i="4"/>
  <c r="B66" i="4"/>
  <c r="C66" i="4" s="1"/>
  <c r="C41" i="32"/>
  <c r="H41" i="32" s="1"/>
  <c r="B54" i="11"/>
  <c r="C54" i="11" s="1"/>
  <c r="D53" i="11"/>
  <c r="C42" i="33"/>
  <c r="H42" i="33" s="1"/>
  <c r="R262" i="21"/>
  <c r="S262" i="21" s="1"/>
  <c r="R261" i="21"/>
  <c r="AD64" i="17" l="1"/>
  <c r="AE64" i="17" s="1"/>
  <c r="AF64" i="17" s="1"/>
  <c r="AI64" i="17" s="1"/>
  <c r="G42" i="22" s="1"/>
  <c r="C42" i="22" s="1"/>
  <c r="AJ64" i="17"/>
  <c r="G42" i="30" s="1"/>
  <c r="B66" i="17"/>
  <c r="C66" i="17" s="1"/>
  <c r="D65" i="17"/>
  <c r="V47" i="37"/>
  <c r="U47" i="37"/>
  <c r="W47" i="37"/>
  <c r="X47" i="37"/>
  <c r="AA47" i="37"/>
  <c r="AB47" i="37"/>
  <c r="Z54" i="13"/>
  <c r="H43" i="30" s="1"/>
  <c r="T54" i="13"/>
  <c r="U54" i="13" s="1"/>
  <c r="V54" i="13" s="1"/>
  <c r="Y54" i="13" s="1"/>
  <c r="H43" i="22" s="1"/>
  <c r="P272" i="21"/>
  <c r="L44" i="33" s="1"/>
  <c r="D55" i="13"/>
  <c r="B56" i="13"/>
  <c r="C56" i="13" s="1"/>
  <c r="P271" i="21"/>
  <c r="C42" i="32"/>
  <c r="H42" i="32" s="1"/>
  <c r="C42" i="30"/>
  <c r="G17" i="21"/>
  <c r="H17" i="21" s="1"/>
  <c r="J17" i="21" s="1"/>
  <c r="T17" i="21" s="1"/>
  <c r="D18" i="21" s="1"/>
  <c r="C17" i="21"/>
  <c r="P274" i="21"/>
  <c r="P279" i="21"/>
  <c r="P280" i="21"/>
  <c r="P276" i="21"/>
  <c r="P277" i="21"/>
  <c r="P275" i="21"/>
  <c r="P278" i="21"/>
  <c r="AC49" i="37"/>
  <c r="AD49" i="37"/>
  <c r="E58" i="21"/>
  <c r="F58" i="21" s="1"/>
  <c r="B59" i="21"/>
  <c r="S49" i="37"/>
  <c r="T49" i="37"/>
  <c r="B67" i="4"/>
  <c r="C67" i="4" s="1"/>
  <c r="D66" i="4"/>
  <c r="S261" i="21"/>
  <c r="B52" i="15"/>
  <c r="C52" i="15" s="1"/>
  <c r="D51" i="15"/>
  <c r="AD65" i="4"/>
  <c r="AE65" i="4" s="1"/>
  <c r="AF65" i="4" s="1"/>
  <c r="AI65" i="4" s="1"/>
  <c r="D43" i="22" s="1"/>
  <c r="AJ65" i="4"/>
  <c r="D43" i="30" s="1"/>
  <c r="I53" i="11"/>
  <c r="I47" i="30" s="1"/>
  <c r="G53" i="11"/>
  <c r="H53" i="11" s="1"/>
  <c r="I47" i="22" s="1"/>
  <c r="AD66" i="12"/>
  <c r="AE66" i="12" s="1"/>
  <c r="AF66" i="12" s="1"/>
  <c r="AI66" i="12" s="1"/>
  <c r="F44" i="22" s="1"/>
  <c r="AJ66" i="12"/>
  <c r="F44" i="30" s="1"/>
  <c r="O267" i="21"/>
  <c r="O269" i="21"/>
  <c r="R269" i="21" s="1"/>
  <c r="S269" i="21" s="1"/>
  <c r="O273" i="21"/>
  <c r="R273" i="21" s="1"/>
  <c r="S273" i="21" s="1"/>
  <c r="O268" i="21"/>
  <c r="R268" i="21" s="1"/>
  <c r="S268" i="21" s="1"/>
  <c r="O270" i="21"/>
  <c r="R270" i="21" s="1"/>
  <c r="S270" i="21" s="1"/>
  <c r="O271" i="21"/>
  <c r="R271" i="21" s="1"/>
  <c r="S271" i="21" s="1"/>
  <c r="O272" i="21"/>
  <c r="R272" i="21" s="1"/>
  <c r="S272" i="21" s="1"/>
  <c r="Z48" i="37"/>
  <c r="Y48" i="37"/>
  <c r="D54" i="11"/>
  <c r="B55" i="11"/>
  <c r="C55" i="11" s="1"/>
  <c r="AD66" i="16"/>
  <c r="AE66" i="16" s="1"/>
  <c r="AF66" i="16" s="1"/>
  <c r="AI66" i="16" s="1"/>
  <c r="E44" i="22" s="1"/>
  <c r="AJ66" i="16"/>
  <c r="E44" i="30" s="1"/>
  <c r="S29" i="21"/>
  <c r="C9" i="32"/>
  <c r="C10" i="33"/>
  <c r="C8" i="34"/>
  <c r="B68" i="12"/>
  <c r="C68" i="12" s="1"/>
  <c r="D67" i="12"/>
  <c r="D67" i="16"/>
  <c r="B68" i="16"/>
  <c r="C68" i="16" s="1"/>
  <c r="C43" i="33"/>
  <c r="H43" i="33" s="1"/>
  <c r="K50" i="15"/>
  <c r="J44" i="30" s="1"/>
  <c r="G50" i="15"/>
  <c r="H50" i="15" s="1"/>
  <c r="J44" i="22" s="1"/>
  <c r="O276" i="21" l="1"/>
  <c r="O274" i="21"/>
  <c r="O278" i="21"/>
  <c r="O275" i="21"/>
  <c r="O279" i="21"/>
  <c r="O280" i="21"/>
  <c r="O277" i="21"/>
  <c r="Z55" i="13"/>
  <c r="H44" i="30" s="1"/>
  <c r="T55" i="13"/>
  <c r="U55" i="13" s="1"/>
  <c r="V55" i="13" s="1"/>
  <c r="Y55" i="13" s="1"/>
  <c r="H44" i="22" s="1"/>
  <c r="C43" i="22"/>
  <c r="O281" i="21" s="1"/>
  <c r="AA48" i="37"/>
  <c r="AB48" i="37"/>
  <c r="X48" i="37"/>
  <c r="W48" i="37"/>
  <c r="U48" i="37"/>
  <c r="V48" i="37"/>
  <c r="AD65" i="17"/>
  <c r="AE65" i="17" s="1"/>
  <c r="AF65" i="17" s="1"/>
  <c r="AI65" i="17" s="1"/>
  <c r="G43" i="22" s="1"/>
  <c r="AJ65" i="17"/>
  <c r="G43" i="30" s="1"/>
  <c r="D66" i="17"/>
  <c r="B67" i="17"/>
  <c r="C67" i="17" s="1"/>
  <c r="D56" i="13"/>
  <c r="B57" i="13"/>
  <c r="C57" i="13" s="1"/>
  <c r="R279" i="21"/>
  <c r="S279" i="21" s="1"/>
  <c r="R277" i="21"/>
  <c r="S277" i="21" s="1"/>
  <c r="R280" i="21"/>
  <c r="S280" i="21" s="1"/>
  <c r="R275" i="21"/>
  <c r="S275" i="21" s="1"/>
  <c r="R278" i="21"/>
  <c r="S278" i="21" s="1"/>
  <c r="R274" i="21"/>
  <c r="R276" i="21"/>
  <c r="S276" i="21" s="1"/>
  <c r="C18" i="21"/>
  <c r="G18" i="21"/>
  <c r="H18" i="21" s="1"/>
  <c r="D55" i="11"/>
  <c r="B56" i="11"/>
  <c r="C56" i="11" s="1"/>
  <c r="D68" i="12"/>
  <c r="B69" i="12"/>
  <c r="C69" i="12" s="1"/>
  <c r="I54" i="11"/>
  <c r="I48" i="30" s="1"/>
  <c r="G54" i="11"/>
  <c r="H54" i="11" s="1"/>
  <c r="I48" i="22" s="1"/>
  <c r="AD67" i="16"/>
  <c r="AE67" i="16" s="1"/>
  <c r="AF67" i="16" s="1"/>
  <c r="AI67" i="16" s="1"/>
  <c r="E45" i="22" s="1"/>
  <c r="AJ67" i="16"/>
  <c r="E45" i="30" s="1"/>
  <c r="H9" i="32"/>
  <c r="AD67" i="12"/>
  <c r="AE67" i="12" s="1"/>
  <c r="AF67" i="12" s="1"/>
  <c r="AI67" i="12" s="1"/>
  <c r="F45" i="22" s="1"/>
  <c r="AJ67" i="12"/>
  <c r="F45" i="30" s="1"/>
  <c r="K20" i="32"/>
  <c r="C43" i="30"/>
  <c r="AC50" i="37"/>
  <c r="AD50" i="37"/>
  <c r="O285" i="21"/>
  <c r="O287" i="21"/>
  <c r="K51" i="15"/>
  <c r="J45" i="30" s="1"/>
  <c r="G51" i="15"/>
  <c r="H51" i="15" s="1"/>
  <c r="J45" i="22" s="1"/>
  <c r="B53" i="15"/>
  <c r="C53" i="15" s="1"/>
  <c r="D52" i="15"/>
  <c r="R267" i="21"/>
  <c r="AD66" i="4"/>
  <c r="AE66" i="4" s="1"/>
  <c r="AF66" i="4" s="1"/>
  <c r="AI66" i="4" s="1"/>
  <c r="D44" i="22" s="1"/>
  <c r="AJ66" i="4"/>
  <c r="D44" i="30" s="1"/>
  <c r="B68" i="4"/>
  <c r="C68" i="4" s="1"/>
  <c r="D67" i="4"/>
  <c r="L45" i="33"/>
  <c r="S50" i="37"/>
  <c r="T50" i="37"/>
  <c r="Z49" i="37"/>
  <c r="Y49" i="37"/>
  <c r="B60" i="21"/>
  <c r="E59" i="21"/>
  <c r="F59" i="21" s="1"/>
  <c r="H8" i="34"/>
  <c r="B69" i="16"/>
  <c r="C69" i="16" s="1"/>
  <c r="D68" i="16"/>
  <c r="H10" i="33"/>
  <c r="C45" i="33" l="1"/>
  <c r="H45" i="33" s="1"/>
  <c r="X49" i="37"/>
  <c r="W49" i="37"/>
  <c r="AA49" i="37"/>
  <c r="AB49" i="37"/>
  <c r="Z56" i="13"/>
  <c r="H45" i="30" s="1"/>
  <c r="T56" i="13"/>
  <c r="U56" i="13" s="1"/>
  <c r="V56" i="13" s="1"/>
  <c r="Y56" i="13" s="1"/>
  <c r="H45" i="22" s="1"/>
  <c r="B68" i="17"/>
  <c r="C68" i="17" s="1"/>
  <c r="D67" i="17"/>
  <c r="O286" i="21"/>
  <c r="AJ66" i="17"/>
  <c r="G44" i="30" s="1"/>
  <c r="C44" i="30" s="1"/>
  <c r="AD66" i="17"/>
  <c r="AE66" i="17" s="1"/>
  <c r="AF66" i="17" s="1"/>
  <c r="AI66" i="17" s="1"/>
  <c r="G44" i="22" s="1"/>
  <c r="C44" i="22" s="1"/>
  <c r="D57" i="13"/>
  <c r="B58" i="13"/>
  <c r="C58" i="13" s="1"/>
  <c r="O284" i="21"/>
  <c r="O283" i="21"/>
  <c r="O282" i="21"/>
  <c r="U49" i="37"/>
  <c r="V49" i="37"/>
  <c r="C44" i="32"/>
  <c r="H44" i="32" s="1"/>
  <c r="S274" i="21"/>
  <c r="D68" i="4"/>
  <c r="B69" i="4"/>
  <c r="C69" i="4" s="1"/>
  <c r="AD68" i="16"/>
  <c r="AE68" i="16" s="1"/>
  <c r="AF68" i="16" s="1"/>
  <c r="AI68" i="16" s="1"/>
  <c r="E46" i="22" s="1"/>
  <c r="AJ68" i="16"/>
  <c r="E46" i="30" s="1"/>
  <c r="D69" i="16"/>
  <c r="B70" i="16"/>
  <c r="C70" i="16" s="1"/>
  <c r="C43" i="32"/>
  <c r="C44" i="33"/>
  <c r="S267" i="21"/>
  <c r="E60" i="21"/>
  <c r="F60" i="21" s="1"/>
  <c r="B61" i="21"/>
  <c r="Z50" i="37"/>
  <c r="Y50" i="37"/>
  <c r="G52" i="15"/>
  <c r="H52" i="15" s="1"/>
  <c r="J46" i="22" s="1"/>
  <c r="K52" i="15"/>
  <c r="J46" i="30" s="1"/>
  <c r="B70" i="12"/>
  <c r="C70" i="12" s="1"/>
  <c r="D69" i="12"/>
  <c r="AD67" i="4"/>
  <c r="AE67" i="4" s="1"/>
  <c r="AF67" i="4" s="1"/>
  <c r="AI67" i="4" s="1"/>
  <c r="D45" i="22" s="1"/>
  <c r="AJ67" i="4"/>
  <c r="D45" i="30" s="1"/>
  <c r="D53" i="15"/>
  <c r="B54" i="15"/>
  <c r="C54" i="15" s="1"/>
  <c r="AD68" i="12"/>
  <c r="AE68" i="12" s="1"/>
  <c r="AF68" i="12" s="1"/>
  <c r="AI68" i="12" s="1"/>
  <c r="F46" i="22" s="1"/>
  <c r="AJ68" i="12"/>
  <c r="F46" i="30" s="1"/>
  <c r="AD51" i="37"/>
  <c r="AC51" i="37"/>
  <c r="B57" i="11"/>
  <c r="C57" i="11" s="1"/>
  <c r="D56" i="11"/>
  <c r="J18" i="21"/>
  <c r="T18" i="21" s="1"/>
  <c r="D19" i="21" s="1"/>
  <c r="T51" i="37"/>
  <c r="S51" i="37"/>
  <c r="P287" i="21"/>
  <c r="P283" i="21"/>
  <c r="R283" i="21" s="1"/>
  <c r="S283" i="21" s="1"/>
  <c r="P286" i="21"/>
  <c r="P281" i="21"/>
  <c r="P285" i="21"/>
  <c r="R285" i="21" s="1"/>
  <c r="S285" i="21" s="1"/>
  <c r="P282" i="21"/>
  <c r="R282" i="21" s="1"/>
  <c r="S282" i="21" s="1"/>
  <c r="P284" i="21"/>
  <c r="R284" i="21" s="1"/>
  <c r="S284" i="21" s="1"/>
  <c r="G55" i="11"/>
  <c r="H55" i="11" s="1"/>
  <c r="I49" i="22" s="1"/>
  <c r="I55" i="11"/>
  <c r="I49" i="30" s="1"/>
  <c r="P290" i="21" l="1"/>
  <c r="P289" i="21"/>
  <c r="P294" i="21"/>
  <c r="P292" i="21"/>
  <c r="P291" i="21"/>
  <c r="P293" i="21"/>
  <c r="P288" i="21"/>
  <c r="O292" i="21"/>
  <c r="R292" i="21" s="1"/>
  <c r="S292" i="21" s="1"/>
  <c r="O293" i="21"/>
  <c r="O291" i="21"/>
  <c r="R291" i="21" s="1"/>
  <c r="S291" i="21" s="1"/>
  <c r="O294" i="21"/>
  <c r="R294" i="21" s="1"/>
  <c r="S294" i="21" s="1"/>
  <c r="O290" i="21"/>
  <c r="O288" i="21"/>
  <c r="R288" i="21" s="1"/>
  <c r="O289" i="21"/>
  <c r="R289" i="21" s="1"/>
  <c r="S289" i="21" s="1"/>
  <c r="U50" i="37"/>
  <c r="V50" i="37"/>
  <c r="R286" i="21"/>
  <c r="S286" i="21" s="1"/>
  <c r="D58" i="13"/>
  <c r="B59" i="13"/>
  <c r="C59" i="13" s="1"/>
  <c r="T57" i="13"/>
  <c r="U57" i="13" s="1"/>
  <c r="V57" i="13" s="1"/>
  <c r="Y57" i="13" s="1"/>
  <c r="H46" i="22" s="1"/>
  <c r="Z57" i="13"/>
  <c r="H46" i="30" s="1"/>
  <c r="AD67" i="17"/>
  <c r="AE67" i="17" s="1"/>
  <c r="AF67" i="17" s="1"/>
  <c r="AI67" i="17" s="1"/>
  <c r="G45" i="22" s="1"/>
  <c r="C45" i="22" s="1"/>
  <c r="AJ67" i="17"/>
  <c r="G45" i="30" s="1"/>
  <c r="C45" i="30" s="1"/>
  <c r="B69" i="17"/>
  <c r="C69" i="17" s="1"/>
  <c r="D68" i="17"/>
  <c r="AA50" i="37"/>
  <c r="AB50" i="37"/>
  <c r="W50" i="37"/>
  <c r="X50" i="37"/>
  <c r="L16" i="34"/>
  <c r="AD69" i="16"/>
  <c r="AE69" i="16" s="1"/>
  <c r="AF69" i="16" s="1"/>
  <c r="AI69" i="16" s="1"/>
  <c r="E47" i="22" s="1"/>
  <c r="AJ69" i="16"/>
  <c r="E47" i="30" s="1"/>
  <c r="R290" i="21"/>
  <c r="S290" i="21" s="1"/>
  <c r="L47" i="33"/>
  <c r="R293" i="21"/>
  <c r="S293" i="21" s="1"/>
  <c r="K53" i="15"/>
  <c r="J47" i="30" s="1"/>
  <c r="G53" i="15"/>
  <c r="H53" i="15" s="1"/>
  <c r="J47" i="22" s="1"/>
  <c r="R287" i="21"/>
  <c r="S287" i="21" s="1"/>
  <c r="AD69" i="12"/>
  <c r="AE69" i="12" s="1"/>
  <c r="AF69" i="12" s="1"/>
  <c r="AI69" i="12" s="1"/>
  <c r="F47" i="22" s="1"/>
  <c r="AJ69" i="12"/>
  <c r="F47" i="30" s="1"/>
  <c r="B55" i="15"/>
  <c r="C55" i="15" s="1"/>
  <c r="D54" i="15"/>
  <c r="T52" i="37"/>
  <c r="S52" i="37"/>
  <c r="L46" i="33"/>
  <c r="I56" i="11"/>
  <c r="I50" i="30" s="1"/>
  <c r="G56" i="11"/>
  <c r="H56" i="11" s="1"/>
  <c r="I50" i="22" s="1"/>
  <c r="B62" i="21"/>
  <c r="E61" i="21"/>
  <c r="F61" i="21" s="1"/>
  <c r="B58" i="11"/>
  <c r="C58" i="11" s="1"/>
  <c r="D57" i="11"/>
  <c r="H44" i="33"/>
  <c r="D69" i="4"/>
  <c r="B70" i="4"/>
  <c r="C70" i="4" s="1"/>
  <c r="G19" i="21"/>
  <c r="H19" i="21" s="1"/>
  <c r="J19" i="21" s="1"/>
  <c r="T19" i="21" s="1"/>
  <c r="D20" i="21" s="1"/>
  <c r="C19" i="21"/>
  <c r="AC52" i="37"/>
  <c r="AD52" i="37"/>
  <c r="H43" i="32"/>
  <c r="AD68" i="4"/>
  <c r="AE68" i="4" s="1"/>
  <c r="AF68" i="4" s="1"/>
  <c r="AI68" i="4" s="1"/>
  <c r="D46" i="22" s="1"/>
  <c r="AJ68" i="4"/>
  <c r="D46" i="30" s="1"/>
  <c r="Z51" i="37"/>
  <c r="Y51" i="37"/>
  <c r="B71" i="12"/>
  <c r="C71" i="12" s="1"/>
  <c r="D70" i="12"/>
  <c r="R281" i="21"/>
  <c r="D70" i="16"/>
  <c r="B71" i="16"/>
  <c r="C71" i="16" s="1"/>
  <c r="O300" i="21" l="1"/>
  <c r="O298" i="21"/>
  <c r="O297" i="21"/>
  <c r="O296" i="21"/>
  <c r="O295" i="21"/>
  <c r="R295" i="21" s="1"/>
  <c r="S295" i="21" s="1"/>
  <c r="O301" i="21"/>
  <c r="O299" i="21"/>
  <c r="P300" i="21"/>
  <c r="P296" i="21"/>
  <c r="P295" i="21"/>
  <c r="P297" i="21"/>
  <c r="P298" i="21"/>
  <c r="P301" i="21"/>
  <c r="P299" i="21"/>
  <c r="R299" i="21" s="1"/>
  <c r="S299" i="21" s="1"/>
  <c r="AA51" i="37"/>
  <c r="AB51" i="37"/>
  <c r="D69" i="17"/>
  <c r="B70" i="17"/>
  <c r="C70" i="17" s="1"/>
  <c r="C46" i="30"/>
  <c r="P302" i="21" s="1"/>
  <c r="AJ68" i="17"/>
  <c r="G46" i="30" s="1"/>
  <c r="AD68" i="17"/>
  <c r="AE68" i="17" s="1"/>
  <c r="AF68" i="17" s="1"/>
  <c r="AI68" i="17" s="1"/>
  <c r="G46" i="22" s="1"/>
  <c r="C46" i="22" s="1"/>
  <c r="T58" i="13"/>
  <c r="U58" i="13" s="1"/>
  <c r="V58" i="13" s="1"/>
  <c r="Y58" i="13" s="1"/>
  <c r="H47" i="22" s="1"/>
  <c r="Z58" i="13"/>
  <c r="H47" i="30" s="1"/>
  <c r="D59" i="13"/>
  <c r="B60" i="13"/>
  <c r="C60" i="13" s="1"/>
  <c r="W51" i="37"/>
  <c r="X51" i="37"/>
  <c r="V51" i="37"/>
  <c r="U51" i="37"/>
  <c r="R296" i="21"/>
  <c r="S296" i="21" s="1"/>
  <c r="R298" i="21"/>
  <c r="S298" i="21" s="1"/>
  <c r="G20" i="21"/>
  <c r="H20" i="21" s="1"/>
  <c r="J20" i="21" s="1"/>
  <c r="T20" i="21" s="1"/>
  <c r="D21" i="21" s="1"/>
  <c r="C20" i="21"/>
  <c r="P305" i="21"/>
  <c r="P303" i="21"/>
  <c r="P308" i="21"/>
  <c r="P304" i="21"/>
  <c r="B72" i="12"/>
  <c r="C72" i="12" s="1"/>
  <c r="D71" i="12"/>
  <c r="G57" i="11"/>
  <c r="H57" i="11" s="1"/>
  <c r="I51" i="22" s="1"/>
  <c r="I57" i="11"/>
  <c r="I51" i="30" s="1"/>
  <c r="Z52" i="37"/>
  <c r="Y52" i="37"/>
  <c r="B59" i="11"/>
  <c r="C59" i="11" s="1"/>
  <c r="D58" i="11"/>
  <c r="T53" i="37"/>
  <c r="S53" i="37"/>
  <c r="R300" i="21"/>
  <c r="S300" i="21" s="1"/>
  <c r="R297" i="21"/>
  <c r="S297" i="21" s="1"/>
  <c r="G54" i="15"/>
  <c r="H54" i="15" s="1"/>
  <c r="J48" i="22" s="1"/>
  <c r="K54" i="15"/>
  <c r="J48" i="30" s="1"/>
  <c r="AC53" i="37"/>
  <c r="AD53" i="37"/>
  <c r="AD69" i="4"/>
  <c r="AE69" i="4" s="1"/>
  <c r="AF69" i="4" s="1"/>
  <c r="AI69" i="4" s="1"/>
  <c r="D47" i="22" s="1"/>
  <c r="AJ69" i="4"/>
  <c r="D47" i="30" s="1"/>
  <c r="D55" i="15"/>
  <c r="B56" i="15"/>
  <c r="C56" i="15" s="1"/>
  <c r="S288" i="21"/>
  <c r="C47" i="33"/>
  <c r="H47" i="33" s="1"/>
  <c r="C46" i="32"/>
  <c r="H46" i="32" s="1"/>
  <c r="D71" i="16"/>
  <c r="B72" i="16"/>
  <c r="C72" i="16" s="1"/>
  <c r="S281" i="21"/>
  <c r="C45" i="32"/>
  <c r="C46" i="33"/>
  <c r="C16" i="34"/>
  <c r="E62" i="21"/>
  <c r="F62" i="21" s="1"/>
  <c r="B63" i="21"/>
  <c r="R301" i="21"/>
  <c r="S301" i="21" s="1"/>
  <c r="AD70" i="16"/>
  <c r="AE70" i="16" s="1"/>
  <c r="AF70" i="16" s="1"/>
  <c r="AI70" i="16" s="1"/>
  <c r="E48" i="22" s="1"/>
  <c r="AJ70" i="16"/>
  <c r="E48" i="30" s="1"/>
  <c r="D70" i="4"/>
  <c r="B71" i="4"/>
  <c r="C71" i="4" s="1"/>
  <c r="AD70" i="12"/>
  <c r="AE70" i="12" s="1"/>
  <c r="AF70" i="12" s="1"/>
  <c r="AI70" i="12" s="1"/>
  <c r="F48" i="22" s="1"/>
  <c r="AJ70" i="12"/>
  <c r="F48" i="30" s="1"/>
  <c r="O304" i="21" l="1"/>
  <c r="O307" i="21"/>
  <c r="O305" i="21"/>
  <c r="O306" i="21"/>
  <c r="O303" i="21"/>
  <c r="R303" i="21" s="1"/>
  <c r="S303" i="21" s="1"/>
  <c r="O302" i="21"/>
  <c r="O308" i="21"/>
  <c r="R308" i="21" s="1"/>
  <c r="S308" i="21" s="1"/>
  <c r="X52" i="37"/>
  <c r="W52" i="37"/>
  <c r="D60" i="13"/>
  <c r="B61" i="13"/>
  <c r="C61" i="13" s="1"/>
  <c r="L48" i="33"/>
  <c r="Z59" i="13"/>
  <c r="H48" i="30" s="1"/>
  <c r="T59" i="13"/>
  <c r="U59" i="13" s="1"/>
  <c r="V59" i="13" s="1"/>
  <c r="Y59" i="13" s="1"/>
  <c r="H48" i="22" s="1"/>
  <c r="P307" i="21"/>
  <c r="D70" i="17"/>
  <c r="B71" i="17"/>
  <c r="C71" i="17" s="1"/>
  <c r="AJ69" i="17"/>
  <c r="G47" i="30" s="1"/>
  <c r="AD69" i="17"/>
  <c r="AE69" i="17" s="1"/>
  <c r="AF69" i="17" s="1"/>
  <c r="AI69" i="17" s="1"/>
  <c r="G47" i="22" s="1"/>
  <c r="C47" i="22" s="1"/>
  <c r="P306" i="21"/>
  <c r="R306" i="21" s="1"/>
  <c r="S306" i="21" s="1"/>
  <c r="V52" i="37"/>
  <c r="U52" i="37"/>
  <c r="C47" i="30"/>
  <c r="AB52" i="37"/>
  <c r="AA52" i="37"/>
  <c r="L49" i="33"/>
  <c r="R304" i="21"/>
  <c r="S304" i="21" s="1"/>
  <c r="R307" i="21"/>
  <c r="S307" i="21" s="1"/>
  <c r="R302" i="21"/>
  <c r="S302" i="21" s="1"/>
  <c r="R305" i="21"/>
  <c r="S305" i="21" s="1"/>
  <c r="G21" i="21"/>
  <c r="H21" i="21" s="1"/>
  <c r="J21" i="21" s="1"/>
  <c r="T21" i="21" s="1"/>
  <c r="D22" i="21" s="1"/>
  <c r="C21" i="21"/>
  <c r="I58" i="11"/>
  <c r="I52" i="30" s="1"/>
  <c r="G58" i="11"/>
  <c r="H58" i="11" s="1"/>
  <c r="I52" i="22" s="1"/>
  <c r="AD54" i="37"/>
  <c r="AC54" i="37"/>
  <c r="D59" i="11"/>
  <c r="B60" i="11"/>
  <c r="C60" i="11" s="1"/>
  <c r="Y53" i="37"/>
  <c r="Z53" i="37"/>
  <c r="B72" i="4"/>
  <c r="C72" i="4" s="1"/>
  <c r="D71" i="4"/>
  <c r="B64" i="21"/>
  <c r="E63" i="21"/>
  <c r="F63" i="21" s="1"/>
  <c r="AD71" i="16"/>
  <c r="AE71" i="16" s="1"/>
  <c r="AF71" i="16" s="1"/>
  <c r="AI71" i="16" s="1"/>
  <c r="E49" i="22" s="1"/>
  <c r="AJ71" i="16"/>
  <c r="E49" i="30" s="1"/>
  <c r="B73" i="16"/>
  <c r="C73" i="16" s="1"/>
  <c r="D72" i="16"/>
  <c r="C48" i="33"/>
  <c r="H48" i="33" s="1"/>
  <c r="AD70" i="4"/>
  <c r="AE70" i="4" s="1"/>
  <c r="AF70" i="4" s="1"/>
  <c r="AI70" i="4" s="1"/>
  <c r="D48" i="22" s="1"/>
  <c r="AJ70" i="4"/>
  <c r="D48" i="30" s="1"/>
  <c r="AD71" i="12"/>
  <c r="AE71" i="12" s="1"/>
  <c r="AF71" i="12" s="1"/>
  <c r="AI71" i="12" s="1"/>
  <c r="F49" i="22" s="1"/>
  <c r="AJ71" i="12"/>
  <c r="F49" i="30" s="1"/>
  <c r="C47" i="32"/>
  <c r="H47" i="32" s="1"/>
  <c r="D72" i="12"/>
  <c r="B73" i="12"/>
  <c r="C73" i="12" s="1"/>
  <c r="H45" i="32"/>
  <c r="P312" i="21"/>
  <c r="P309" i="21"/>
  <c r="P313" i="21"/>
  <c r="P314" i="21"/>
  <c r="P315" i="21"/>
  <c r="P311" i="21"/>
  <c r="P310" i="21"/>
  <c r="H16" i="34"/>
  <c r="H46" i="33"/>
  <c r="D56" i="15"/>
  <c r="B57" i="15"/>
  <c r="C57" i="15" s="1"/>
  <c r="S54" i="37"/>
  <c r="T54" i="37"/>
  <c r="K16" i="32"/>
  <c r="G55" i="15"/>
  <c r="H55" i="15" s="1"/>
  <c r="J49" i="22" s="1"/>
  <c r="K55" i="15"/>
  <c r="J49" i="30" s="1"/>
  <c r="O311" i="21" l="1"/>
  <c r="O310" i="21"/>
  <c r="O313" i="21"/>
  <c r="O309" i="21"/>
  <c r="R309" i="21" s="1"/>
  <c r="O314" i="21"/>
  <c r="O312" i="21"/>
  <c r="O315" i="21"/>
  <c r="AB53" i="37"/>
  <c r="AA53" i="37"/>
  <c r="B62" i="13"/>
  <c r="C62" i="13" s="1"/>
  <c r="D61" i="13"/>
  <c r="Z60" i="13"/>
  <c r="H49" i="30" s="1"/>
  <c r="T60" i="13"/>
  <c r="U60" i="13" s="1"/>
  <c r="V60" i="13" s="1"/>
  <c r="Y60" i="13" s="1"/>
  <c r="H49" i="22" s="1"/>
  <c r="W53" i="37"/>
  <c r="X53" i="37"/>
  <c r="V53" i="37"/>
  <c r="U53" i="37"/>
  <c r="B72" i="17"/>
  <c r="C72" i="17" s="1"/>
  <c r="D71" i="17"/>
  <c r="AD70" i="17"/>
  <c r="AE70" i="17" s="1"/>
  <c r="AF70" i="17" s="1"/>
  <c r="AI70" i="17" s="1"/>
  <c r="G48" i="22" s="1"/>
  <c r="C48" i="22" s="1"/>
  <c r="AJ70" i="17"/>
  <c r="G48" i="30" s="1"/>
  <c r="C48" i="30" s="1"/>
  <c r="R312" i="21"/>
  <c r="S312" i="21" s="1"/>
  <c r="R311" i="21"/>
  <c r="S311" i="21" s="1"/>
  <c r="R314" i="21"/>
  <c r="S314" i="21" s="1"/>
  <c r="R310" i="21"/>
  <c r="S310" i="21" s="1"/>
  <c r="C49" i="33"/>
  <c r="H49" i="33" s="1"/>
  <c r="C48" i="32"/>
  <c r="H48" i="32" s="1"/>
  <c r="G22" i="21"/>
  <c r="H22" i="21" s="1"/>
  <c r="I9" i="33"/>
  <c r="C22" i="21"/>
  <c r="D73" i="16"/>
  <c r="B74" i="16"/>
  <c r="C74" i="16" s="1"/>
  <c r="B61" i="11"/>
  <c r="C61" i="11" s="1"/>
  <c r="D60" i="11"/>
  <c r="G59" i="11"/>
  <c r="H59" i="11" s="1"/>
  <c r="I53" i="22" s="1"/>
  <c r="I59" i="11"/>
  <c r="I53" i="30" s="1"/>
  <c r="D73" i="12"/>
  <c r="B74" i="12"/>
  <c r="C74" i="12" s="1"/>
  <c r="E64" i="21"/>
  <c r="F64" i="21" s="1"/>
  <c r="B65" i="21"/>
  <c r="AC55" i="37"/>
  <c r="AD55" i="37"/>
  <c r="AD71" i="4"/>
  <c r="AE71" i="4" s="1"/>
  <c r="AF71" i="4" s="1"/>
  <c r="AI71" i="4" s="1"/>
  <c r="D49" i="22" s="1"/>
  <c r="AJ71" i="4"/>
  <c r="D49" i="30" s="1"/>
  <c r="T55" i="37"/>
  <c r="S55" i="37"/>
  <c r="D72" i="4"/>
  <c r="B73" i="4"/>
  <c r="C73" i="4" s="1"/>
  <c r="AD72" i="12"/>
  <c r="AE72" i="12" s="1"/>
  <c r="AF72" i="12" s="1"/>
  <c r="AI72" i="12" s="1"/>
  <c r="F50" i="22" s="1"/>
  <c r="AJ72" i="12"/>
  <c r="F50" i="30" s="1"/>
  <c r="B58" i="15"/>
  <c r="C58" i="15" s="1"/>
  <c r="D57" i="15"/>
  <c r="R315" i="21"/>
  <c r="S315" i="21" s="1"/>
  <c r="K56" i="15"/>
  <c r="J50" i="30" s="1"/>
  <c r="G56" i="15"/>
  <c r="H56" i="15" s="1"/>
  <c r="J50" i="22" s="1"/>
  <c r="AD72" i="16"/>
  <c r="AE72" i="16" s="1"/>
  <c r="AF72" i="16" s="1"/>
  <c r="AI72" i="16" s="1"/>
  <c r="E50" i="22" s="1"/>
  <c r="AJ72" i="16"/>
  <c r="E50" i="30" s="1"/>
  <c r="Z54" i="37"/>
  <c r="Y54" i="37"/>
  <c r="S309" i="21"/>
  <c r="L50" i="33"/>
  <c r="R313" i="21"/>
  <c r="S313" i="21" s="1"/>
  <c r="J8" i="33"/>
  <c r="P316" i="21" l="1"/>
  <c r="P321" i="21"/>
  <c r="P319" i="21"/>
  <c r="P322" i="21"/>
  <c r="P318" i="21"/>
  <c r="P317" i="21"/>
  <c r="P320" i="21"/>
  <c r="O320" i="21"/>
  <c r="O321" i="21"/>
  <c r="O318" i="21"/>
  <c r="R318" i="21" s="1"/>
  <c r="S318" i="21" s="1"/>
  <c r="O317" i="21"/>
  <c r="R317" i="21" s="1"/>
  <c r="S317" i="21" s="1"/>
  <c r="O316" i="21"/>
  <c r="R316" i="21" s="1"/>
  <c r="S316" i="21" s="1"/>
  <c r="O319" i="21"/>
  <c r="R319" i="21" s="1"/>
  <c r="O322" i="21"/>
  <c r="R322" i="21" s="1"/>
  <c r="S322" i="21" s="1"/>
  <c r="X54" i="37"/>
  <c r="W54" i="37"/>
  <c r="T61" i="13"/>
  <c r="U61" i="13" s="1"/>
  <c r="V61" i="13" s="1"/>
  <c r="Y61" i="13" s="1"/>
  <c r="H50" i="22" s="1"/>
  <c r="Z61" i="13"/>
  <c r="H50" i="30" s="1"/>
  <c r="D62" i="13"/>
  <c r="B63" i="13"/>
  <c r="C63" i="13" s="1"/>
  <c r="AA54" i="37"/>
  <c r="AB54" i="37"/>
  <c r="C49" i="30"/>
  <c r="P328" i="21" s="1"/>
  <c r="AJ71" i="17"/>
  <c r="G49" i="30" s="1"/>
  <c r="AD71" i="17"/>
  <c r="AE71" i="17" s="1"/>
  <c r="AF71" i="17" s="1"/>
  <c r="AI71" i="17" s="1"/>
  <c r="G49" i="22" s="1"/>
  <c r="C49" i="22" s="1"/>
  <c r="D72" i="17"/>
  <c r="B73" i="17"/>
  <c r="C73" i="17" s="1"/>
  <c r="U54" i="37"/>
  <c r="V54" i="37"/>
  <c r="B74" i="4"/>
  <c r="C74" i="4" s="1"/>
  <c r="D73" i="4"/>
  <c r="G60" i="11"/>
  <c r="H60" i="11" s="1"/>
  <c r="I54" i="22" s="1"/>
  <c r="I60" i="11"/>
  <c r="I54" i="30" s="1"/>
  <c r="C50" i="33"/>
  <c r="P329" i="21"/>
  <c r="P325" i="21"/>
  <c r="P324" i="21"/>
  <c r="B62" i="11"/>
  <c r="C62" i="11" s="1"/>
  <c r="D62" i="11" s="1"/>
  <c r="D61" i="11"/>
  <c r="AC56" i="37"/>
  <c r="AD56" i="37"/>
  <c r="D74" i="16"/>
  <c r="B75" i="16"/>
  <c r="C75" i="16" s="1"/>
  <c r="E65" i="21"/>
  <c r="F65" i="21" s="1"/>
  <c r="B66" i="21"/>
  <c r="AD73" i="16"/>
  <c r="AE73" i="16" s="1"/>
  <c r="AF73" i="16" s="1"/>
  <c r="AI73" i="16" s="1"/>
  <c r="E51" i="22" s="1"/>
  <c r="AJ73" i="16"/>
  <c r="E51" i="30" s="1"/>
  <c r="AD72" i="4"/>
  <c r="AE72" i="4" s="1"/>
  <c r="AF72" i="4" s="1"/>
  <c r="AI72" i="4" s="1"/>
  <c r="D50" i="22" s="1"/>
  <c r="AJ72" i="4"/>
  <c r="D50" i="30" s="1"/>
  <c r="Z55" i="37"/>
  <c r="Y55" i="37"/>
  <c r="K57" i="15"/>
  <c r="J51" i="30" s="1"/>
  <c r="G57" i="15"/>
  <c r="H57" i="15" s="1"/>
  <c r="J51" i="22" s="1"/>
  <c r="D74" i="12"/>
  <c r="B75" i="12"/>
  <c r="C75" i="12" s="1"/>
  <c r="C49" i="32"/>
  <c r="R321" i="21"/>
  <c r="S321" i="21" s="1"/>
  <c r="R320" i="21"/>
  <c r="S320" i="21" s="1"/>
  <c r="L51" i="33"/>
  <c r="L17" i="34"/>
  <c r="D58" i="15"/>
  <c r="B59" i="15"/>
  <c r="C59" i="15" s="1"/>
  <c r="AD73" i="12"/>
  <c r="AE73" i="12" s="1"/>
  <c r="AF73" i="12" s="1"/>
  <c r="AI73" i="12" s="1"/>
  <c r="F51" i="22" s="1"/>
  <c r="AJ73" i="12"/>
  <c r="F51" i="30" s="1"/>
  <c r="T56" i="37"/>
  <c r="S56" i="37"/>
  <c r="J22" i="21"/>
  <c r="T22" i="21" s="1"/>
  <c r="D23" i="21" s="1"/>
  <c r="O324" i="21" l="1"/>
  <c r="O323" i="21"/>
  <c r="O327" i="21"/>
  <c r="O325" i="21"/>
  <c r="R325" i="21" s="1"/>
  <c r="S325" i="21" s="1"/>
  <c r="O329" i="21"/>
  <c r="R329" i="21" s="1"/>
  <c r="S329" i="21" s="1"/>
  <c r="O326" i="21"/>
  <c r="R326" i="21" s="1"/>
  <c r="S326" i="21" s="1"/>
  <c r="O328" i="21"/>
  <c r="V55" i="37"/>
  <c r="U55" i="37"/>
  <c r="B74" i="17"/>
  <c r="C74" i="17" s="1"/>
  <c r="D73" i="17"/>
  <c r="AJ72" i="17"/>
  <c r="G50" i="30" s="1"/>
  <c r="C50" i="30" s="1"/>
  <c r="AD72" i="17"/>
  <c r="AE72" i="17" s="1"/>
  <c r="AF72" i="17" s="1"/>
  <c r="AI72" i="17" s="1"/>
  <c r="G50" i="22" s="1"/>
  <c r="C50" i="22" s="1"/>
  <c r="AB55" i="37"/>
  <c r="AA55" i="37"/>
  <c r="B64" i="13"/>
  <c r="C64" i="13" s="1"/>
  <c r="D63" i="13"/>
  <c r="T62" i="13"/>
  <c r="U62" i="13" s="1"/>
  <c r="V62" i="13" s="1"/>
  <c r="Y62" i="13" s="1"/>
  <c r="H51" i="22" s="1"/>
  <c r="Z62" i="13"/>
  <c r="H51" i="30" s="1"/>
  <c r="P327" i="21"/>
  <c r="P323" i="21"/>
  <c r="P326" i="21"/>
  <c r="X55" i="37"/>
  <c r="W55" i="37"/>
  <c r="L52" i="33"/>
  <c r="K17" i="32"/>
  <c r="C17" i="34"/>
  <c r="T57" i="37"/>
  <c r="S57" i="37"/>
  <c r="C51" i="33"/>
  <c r="H51" i="33" s="1"/>
  <c r="C50" i="32"/>
  <c r="H50" i="32" s="1"/>
  <c r="E66" i="21"/>
  <c r="F66" i="21" s="1"/>
  <c r="B67" i="21"/>
  <c r="R323" i="21"/>
  <c r="H49" i="32"/>
  <c r="R328" i="21"/>
  <c r="S328" i="21" s="1"/>
  <c r="K58" i="15"/>
  <c r="J52" i="30" s="1"/>
  <c r="G58" i="15"/>
  <c r="H58" i="15" s="1"/>
  <c r="J52" i="22" s="1"/>
  <c r="D75" i="16"/>
  <c r="B76" i="16"/>
  <c r="C76" i="16" s="1"/>
  <c r="R324" i="21"/>
  <c r="S324" i="21" s="1"/>
  <c r="H50" i="33"/>
  <c r="S319" i="21"/>
  <c r="B76" i="12"/>
  <c r="C76" i="12" s="1"/>
  <c r="D75" i="12"/>
  <c r="D59" i="15"/>
  <c r="B60" i="15"/>
  <c r="C60" i="15" s="1"/>
  <c r="AD74" i="12"/>
  <c r="AE74" i="12" s="1"/>
  <c r="AF74" i="12" s="1"/>
  <c r="AI74" i="12" s="1"/>
  <c r="F52" i="22" s="1"/>
  <c r="AJ74" i="12"/>
  <c r="F52" i="30" s="1"/>
  <c r="H17" i="34"/>
  <c r="AD74" i="16"/>
  <c r="AE74" i="16" s="1"/>
  <c r="AF74" i="16" s="1"/>
  <c r="AI74" i="16" s="1"/>
  <c r="E52" i="22" s="1"/>
  <c r="AJ74" i="16"/>
  <c r="E52" i="30" s="1"/>
  <c r="G23" i="21"/>
  <c r="H23" i="21" s="1"/>
  <c r="J23" i="21" s="1"/>
  <c r="T23" i="21" s="1"/>
  <c r="D24" i="21" s="1"/>
  <c r="C23" i="21"/>
  <c r="R327" i="21"/>
  <c r="S327" i="21" s="1"/>
  <c r="Z56" i="37"/>
  <c r="Y56" i="37"/>
  <c r="AC57" i="37"/>
  <c r="AD57" i="37"/>
  <c r="G61" i="11"/>
  <c r="H61" i="11" s="1"/>
  <c r="I55" i="22" s="1"/>
  <c r="I61" i="11"/>
  <c r="I55" i="30" s="1"/>
  <c r="AD73" i="4"/>
  <c r="AE73" i="4" s="1"/>
  <c r="AF73" i="4" s="1"/>
  <c r="AI73" i="4" s="1"/>
  <c r="D51" i="22" s="1"/>
  <c r="AJ73" i="4"/>
  <c r="D51" i="30" s="1"/>
  <c r="I62" i="11"/>
  <c r="G62" i="11"/>
  <c r="H62" i="11" s="1"/>
  <c r="D74" i="4"/>
  <c r="B75" i="4"/>
  <c r="C75" i="4" s="1"/>
  <c r="O336" i="21" l="1"/>
  <c r="O335" i="21"/>
  <c r="O332" i="21"/>
  <c r="O331" i="21"/>
  <c r="O333" i="21"/>
  <c r="O334" i="21"/>
  <c r="O330" i="21"/>
  <c r="R330" i="21" s="1"/>
  <c r="S330" i="21" s="1"/>
  <c r="P336" i="21"/>
  <c r="P335" i="21"/>
  <c r="P331" i="21"/>
  <c r="P333" i="21"/>
  <c r="P334" i="21"/>
  <c r="R334" i="21" s="1"/>
  <c r="S334" i="21" s="1"/>
  <c r="P330" i="21"/>
  <c r="L53" i="33" s="1"/>
  <c r="P332" i="21"/>
  <c r="R332" i="21" s="1"/>
  <c r="S332" i="21" s="1"/>
  <c r="X56" i="37"/>
  <c r="W56" i="37"/>
  <c r="AJ73" i="17"/>
  <c r="G51" i="30" s="1"/>
  <c r="AD73" i="17"/>
  <c r="AE73" i="17" s="1"/>
  <c r="AF73" i="17" s="1"/>
  <c r="AI73" i="17" s="1"/>
  <c r="G51" i="22" s="1"/>
  <c r="C51" i="22" s="1"/>
  <c r="B75" i="17"/>
  <c r="C75" i="17" s="1"/>
  <c r="D74" i="17"/>
  <c r="V56" i="37"/>
  <c r="U56" i="37"/>
  <c r="Z63" i="13"/>
  <c r="H52" i="30" s="1"/>
  <c r="T63" i="13"/>
  <c r="U63" i="13" s="1"/>
  <c r="V63" i="13" s="1"/>
  <c r="Y63" i="13" s="1"/>
  <c r="H52" i="22" s="1"/>
  <c r="C51" i="30"/>
  <c r="P343" i="21" s="1"/>
  <c r="D64" i="13"/>
  <c r="B65" i="13"/>
  <c r="C65" i="13" s="1"/>
  <c r="AA56" i="37"/>
  <c r="AB56" i="37"/>
  <c r="R333" i="21"/>
  <c r="S333" i="21" s="1"/>
  <c r="C52" i="33"/>
  <c r="H52" i="33" s="1"/>
  <c r="S323" i="21"/>
  <c r="C51" i="32"/>
  <c r="H51" i="32" s="1"/>
  <c r="B68" i="21"/>
  <c r="E67" i="21"/>
  <c r="F67" i="21" s="1"/>
  <c r="B61" i="15"/>
  <c r="C61" i="15" s="1"/>
  <c r="D60" i="15"/>
  <c r="AD75" i="12"/>
  <c r="AE75" i="12" s="1"/>
  <c r="AF75" i="12" s="1"/>
  <c r="AI75" i="12" s="1"/>
  <c r="F53" i="22" s="1"/>
  <c r="AJ75" i="12"/>
  <c r="F53" i="30" s="1"/>
  <c r="Y57" i="37"/>
  <c r="Z57" i="37"/>
  <c r="K59" i="15"/>
  <c r="J53" i="30" s="1"/>
  <c r="G59" i="15"/>
  <c r="H59" i="15" s="1"/>
  <c r="J53" i="22" s="1"/>
  <c r="D75" i="4"/>
  <c r="B76" i="4"/>
  <c r="C76" i="4" s="1"/>
  <c r="AD74" i="4"/>
  <c r="AE74" i="4" s="1"/>
  <c r="AF74" i="4" s="1"/>
  <c r="AI74" i="4" s="1"/>
  <c r="D52" i="22" s="1"/>
  <c r="AJ74" i="4"/>
  <c r="D52" i="30" s="1"/>
  <c r="G24" i="21"/>
  <c r="H24" i="21" s="1"/>
  <c r="J24" i="21" s="1"/>
  <c r="T24" i="21" s="1"/>
  <c r="D25" i="21" s="1"/>
  <c r="C24" i="21"/>
  <c r="D76" i="12"/>
  <c r="B77" i="12"/>
  <c r="C77" i="12" s="1"/>
  <c r="AD75" i="16"/>
  <c r="AE75" i="16" s="1"/>
  <c r="AF75" i="16" s="1"/>
  <c r="AI75" i="16" s="1"/>
  <c r="E53" i="22" s="1"/>
  <c r="AJ75" i="16"/>
  <c r="E53" i="30" s="1"/>
  <c r="T58" i="37"/>
  <c r="S58" i="37"/>
  <c r="AD58" i="37"/>
  <c r="AC58" i="37"/>
  <c r="B77" i="16"/>
  <c r="C77" i="16" s="1"/>
  <c r="D76" i="16"/>
  <c r="I56" i="22"/>
  <c r="I57" i="22" s="1"/>
  <c r="H63" i="11"/>
  <c r="I56" i="30"/>
  <c r="I57" i="30" s="1"/>
  <c r="I63" i="11"/>
  <c r="P337" i="21"/>
  <c r="P338" i="21"/>
  <c r="P340" i="21"/>
  <c r="O341" i="21" l="1"/>
  <c r="O338" i="21"/>
  <c r="O342" i="21"/>
  <c r="O337" i="21"/>
  <c r="O339" i="21"/>
  <c r="R339" i="21" s="1"/>
  <c r="S339" i="21" s="1"/>
  <c r="O343" i="21"/>
  <c r="R343" i="21" s="1"/>
  <c r="S343" i="21" s="1"/>
  <c r="O340" i="21"/>
  <c r="D65" i="13"/>
  <c r="B66" i="13"/>
  <c r="C66" i="13" s="1"/>
  <c r="T64" i="13"/>
  <c r="U64" i="13" s="1"/>
  <c r="V64" i="13" s="1"/>
  <c r="Y64" i="13" s="1"/>
  <c r="H53" i="22" s="1"/>
  <c r="Z64" i="13"/>
  <c r="H53" i="30" s="1"/>
  <c r="C52" i="30"/>
  <c r="P349" i="21" s="1"/>
  <c r="C52" i="22"/>
  <c r="O344" i="21" s="1"/>
  <c r="V57" i="37"/>
  <c r="U57" i="37"/>
  <c r="P342" i="21"/>
  <c r="P341" i="21"/>
  <c r="AD74" i="17"/>
  <c r="AE74" i="17" s="1"/>
  <c r="AF74" i="17" s="1"/>
  <c r="AI74" i="17" s="1"/>
  <c r="G52" i="22" s="1"/>
  <c r="AJ74" i="17"/>
  <c r="G52" i="30" s="1"/>
  <c r="D75" i="17"/>
  <c r="B76" i="17"/>
  <c r="C76" i="17" s="1"/>
  <c r="R331" i="21"/>
  <c r="S331" i="21" s="1"/>
  <c r="X57" i="37"/>
  <c r="W57" i="37"/>
  <c r="R335" i="21"/>
  <c r="S335" i="21" s="1"/>
  <c r="P339" i="21"/>
  <c r="AA57" i="37"/>
  <c r="AB57" i="37"/>
  <c r="R336" i="21"/>
  <c r="S336" i="21" s="1"/>
  <c r="R337" i="21"/>
  <c r="R342" i="21"/>
  <c r="S342" i="21" s="1"/>
  <c r="E68" i="21"/>
  <c r="F68" i="21" s="1"/>
  <c r="B69" i="21"/>
  <c r="R338" i="21"/>
  <c r="S338" i="21" s="1"/>
  <c r="S337" i="21"/>
  <c r="O350" i="21"/>
  <c r="B62" i="15"/>
  <c r="C62" i="15" s="1"/>
  <c r="D62" i="15" s="1"/>
  <c r="D61" i="15"/>
  <c r="R340" i="21"/>
  <c r="S340" i="21" s="1"/>
  <c r="D76" i="4"/>
  <c r="B77" i="4"/>
  <c r="C77" i="4" s="1"/>
  <c r="AD75" i="4"/>
  <c r="AE75" i="4" s="1"/>
  <c r="AF75" i="4" s="1"/>
  <c r="AI75" i="4" s="1"/>
  <c r="D53" i="22" s="1"/>
  <c r="AJ75" i="4"/>
  <c r="D53" i="30" s="1"/>
  <c r="AC59" i="37"/>
  <c r="AD59" i="37"/>
  <c r="P344" i="21"/>
  <c r="P345" i="21"/>
  <c r="P348" i="21"/>
  <c r="P347" i="21"/>
  <c r="P350" i="21"/>
  <c r="P346" i="21"/>
  <c r="K60" i="15"/>
  <c r="J54" i="30" s="1"/>
  <c r="G60" i="15"/>
  <c r="H60" i="15" s="1"/>
  <c r="J54" i="22" s="1"/>
  <c r="R341" i="21"/>
  <c r="S341" i="21" s="1"/>
  <c r="AD76" i="12"/>
  <c r="AE76" i="12" s="1"/>
  <c r="AF76" i="12" s="1"/>
  <c r="AI76" i="12" s="1"/>
  <c r="F54" i="22" s="1"/>
  <c r="AJ76" i="12"/>
  <c r="F54" i="30" s="1"/>
  <c r="AD76" i="16"/>
  <c r="AE76" i="16" s="1"/>
  <c r="AF76" i="16" s="1"/>
  <c r="AI76" i="16" s="1"/>
  <c r="E54" i="22" s="1"/>
  <c r="AJ76" i="16"/>
  <c r="E54" i="30" s="1"/>
  <c r="G25" i="21"/>
  <c r="H25" i="21" s="1"/>
  <c r="J25" i="21" s="1"/>
  <c r="T25" i="21" s="1"/>
  <c r="D26" i="21" s="1"/>
  <c r="C25" i="21"/>
  <c r="B78" i="16"/>
  <c r="C78" i="16" s="1"/>
  <c r="D78" i="16" s="1"/>
  <c r="D77" i="16"/>
  <c r="L54" i="33"/>
  <c r="T59" i="37"/>
  <c r="S59" i="37"/>
  <c r="Z58" i="37"/>
  <c r="Y58" i="37"/>
  <c r="D77" i="12"/>
  <c r="B78" i="12"/>
  <c r="C78" i="12" s="1"/>
  <c r="D78" i="12" s="1"/>
  <c r="O347" i="21" l="1"/>
  <c r="W58" i="37"/>
  <c r="X58" i="37"/>
  <c r="B67" i="13"/>
  <c r="C67" i="13" s="1"/>
  <c r="D67" i="13" s="1"/>
  <c r="D66" i="13"/>
  <c r="Z65" i="13"/>
  <c r="H54" i="30" s="1"/>
  <c r="T65" i="13"/>
  <c r="U65" i="13" s="1"/>
  <c r="V65" i="13" s="1"/>
  <c r="Y65" i="13" s="1"/>
  <c r="H54" i="22" s="1"/>
  <c r="B77" i="17"/>
  <c r="C77" i="17" s="1"/>
  <c r="D76" i="17"/>
  <c r="O346" i="21"/>
  <c r="R346" i="21" s="1"/>
  <c r="S346" i="21" s="1"/>
  <c r="AA58" i="37"/>
  <c r="AB58" i="37"/>
  <c r="AD75" i="17"/>
  <c r="AE75" i="17" s="1"/>
  <c r="AF75" i="17" s="1"/>
  <c r="AI75" i="17" s="1"/>
  <c r="G53" i="22" s="1"/>
  <c r="C53" i="22" s="1"/>
  <c r="AJ75" i="17"/>
  <c r="G53" i="30" s="1"/>
  <c r="C53" i="30" s="1"/>
  <c r="O349" i="21"/>
  <c r="R349" i="21" s="1"/>
  <c r="O345" i="21"/>
  <c r="C52" i="32"/>
  <c r="H52" i="32" s="1"/>
  <c r="O348" i="21"/>
  <c r="C53" i="33"/>
  <c r="H53" i="33" s="1"/>
  <c r="V58" i="37"/>
  <c r="U58" i="37"/>
  <c r="R345" i="21"/>
  <c r="S345" i="21" s="1"/>
  <c r="R348" i="21"/>
  <c r="S348" i="21" s="1"/>
  <c r="R344" i="21"/>
  <c r="S344" i="21" s="1"/>
  <c r="S347" i="21"/>
  <c r="C54" i="33"/>
  <c r="H54" i="33" s="1"/>
  <c r="AD78" i="16"/>
  <c r="AE78" i="16" s="1"/>
  <c r="AF78" i="16" s="1"/>
  <c r="AI78" i="16" s="1"/>
  <c r="AJ78" i="16"/>
  <c r="B78" i="4"/>
  <c r="C78" i="4" s="1"/>
  <c r="D78" i="4" s="1"/>
  <c r="D77" i="4"/>
  <c r="C53" i="32"/>
  <c r="H53" i="32" s="1"/>
  <c r="L18" i="34"/>
  <c r="AD76" i="4"/>
  <c r="AE76" i="4" s="1"/>
  <c r="AF76" i="4" s="1"/>
  <c r="AI76" i="4" s="1"/>
  <c r="D54" i="22" s="1"/>
  <c r="AJ76" i="4"/>
  <c r="D54" i="30" s="1"/>
  <c r="Z59" i="37"/>
  <c r="Y59" i="37"/>
  <c r="AD77" i="16"/>
  <c r="AE77" i="16" s="1"/>
  <c r="AF77" i="16" s="1"/>
  <c r="AI77" i="16" s="1"/>
  <c r="E55" i="22" s="1"/>
  <c r="AJ77" i="16"/>
  <c r="E55" i="30" s="1"/>
  <c r="AD78" i="12"/>
  <c r="AE78" i="12" s="1"/>
  <c r="AF78" i="12" s="1"/>
  <c r="AI78" i="12" s="1"/>
  <c r="AJ78" i="12"/>
  <c r="G26" i="21"/>
  <c r="H26" i="21" s="1"/>
  <c r="J26" i="21" s="1"/>
  <c r="T26" i="21" s="1"/>
  <c r="D27" i="21" s="1"/>
  <c r="C26" i="21"/>
  <c r="AD77" i="12"/>
  <c r="AE77" i="12" s="1"/>
  <c r="AF77" i="12" s="1"/>
  <c r="AI77" i="12" s="1"/>
  <c r="F55" i="22" s="1"/>
  <c r="AJ77" i="12"/>
  <c r="F55" i="30" s="1"/>
  <c r="L55" i="33"/>
  <c r="K61" i="15"/>
  <c r="J55" i="30" s="1"/>
  <c r="G61" i="15"/>
  <c r="H61" i="15" s="1"/>
  <c r="J55" i="22" s="1"/>
  <c r="G62" i="15"/>
  <c r="H62" i="15" s="1"/>
  <c r="K62" i="15"/>
  <c r="B70" i="21"/>
  <c r="E69" i="21"/>
  <c r="F69" i="21" s="1"/>
  <c r="R350" i="21"/>
  <c r="S350" i="21" s="1"/>
  <c r="O352" i="21" l="1"/>
  <c r="O354" i="21"/>
  <c r="O355" i="21"/>
  <c r="O357" i="21"/>
  <c r="O353" i="21"/>
  <c r="O351" i="21"/>
  <c r="O356" i="21"/>
  <c r="P352" i="21"/>
  <c r="P357" i="21"/>
  <c r="P356" i="21"/>
  <c r="R356" i="21" s="1"/>
  <c r="S356" i="21" s="1"/>
  <c r="P351" i="21"/>
  <c r="P354" i="21"/>
  <c r="P355" i="21"/>
  <c r="P353" i="21"/>
  <c r="L56" i="33" s="1"/>
  <c r="AA59" i="37"/>
  <c r="AB59" i="37"/>
  <c r="AJ76" i="17"/>
  <c r="G54" i="30" s="1"/>
  <c r="AD76" i="17"/>
  <c r="AE76" i="17" s="1"/>
  <c r="AF76" i="17" s="1"/>
  <c r="AI76" i="17" s="1"/>
  <c r="G54" i="22" s="1"/>
  <c r="C54" i="22" s="1"/>
  <c r="D77" i="17"/>
  <c r="B78" i="17"/>
  <c r="C78" i="17" s="1"/>
  <c r="D78" i="17" s="1"/>
  <c r="V59" i="37"/>
  <c r="U59" i="37"/>
  <c r="Z66" i="13"/>
  <c r="H55" i="30" s="1"/>
  <c r="T66" i="13"/>
  <c r="U66" i="13" s="1"/>
  <c r="V66" i="13" s="1"/>
  <c r="Y66" i="13" s="1"/>
  <c r="H55" i="22" s="1"/>
  <c r="T67" i="13"/>
  <c r="U67" i="13" s="1"/>
  <c r="V67" i="13" s="1"/>
  <c r="Y67" i="13" s="1"/>
  <c r="H56" i="22" s="1"/>
  <c r="Z67" i="13"/>
  <c r="H56" i="30" s="1"/>
  <c r="H57" i="30" s="1"/>
  <c r="W59" i="37"/>
  <c r="X59" i="37"/>
  <c r="C54" i="30"/>
  <c r="P358" i="21" s="1"/>
  <c r="R351" i="21"/>
  <c r="K18" i="32"/>
  <c r="C18" i="34"/>
  <c r="R352" i="21"/>
  <c r="S352" i="21" s="1"/>
  <c r="R355" i="21"/>
  <c r="S355" i="21" s="1"/>
  <c r="C27" i="21"/>
  <c r="G27" i="21"/>
  <c r="H27" i="21" s="1"/>
  <c r="J27" i="21" s="1"/>
  <c r="T27" i="21" s="1"/>
  <c r="D28" i="21" s="1"/>
  <c r="AD78" i="4"/>
  <c r="AE78" i="4" s="1"/>
  <c r="AF78" i="4" s="1"/>
  <c r="AI78" i="4" s="1"/>
  <c r="AJ78" i="4"/>
  <c r="E56" i="30"/>
  <c r="E57" i="30" s="1"/>
  <c r="AJ79" i="16"/>
  <c r="E56" i="22"/>
  <c r="E57" i="22" s="1"/>
  <c r="AI79" i="16"/>
  <c r="F56" i="22"/>
  <c r="F57" i="22" s="1"/>
  <c r="AI79" i="12"/>
  <c r="AD77" i="4"/>
  <c r="AE77" i="4" s="1"/>
  <c r="AF77" i="4" s="1"/>
  <c r="AI77" i="4" s="1"/>
  <c r="D55" i="22" s="1"/>
  <c r="AJ77" i="4"/>
  <c r="D55" i="30" s="1"/>
  <c r="J56" i="22"/>
  <c r="J57" i="22" s="1"/>
  <c r="H63" i="15"/>
  <c r="H18" i="34"/>
  <c r="S351" i="21"/>
  <c r="S349" i="21"/>
  <c r="E70" i="21"/>
  <c r="F70" i="21" s="1"/>
  <c r="B71" i="21"/>
  <c r="F56" i="30"/>
  <c r="F57" i="30" s="1"/>
  <c r="AJ79" i="12"/>
  <c r="J56" i="30"/>
  <c r="J57" i="30" s="1"/>
  <c r="K63" i="15"/>
  <c r="C54" i="32"/>
  <c r="H54" i="32" s="1"/>
  <c r="P360" i="21"/>
  <c r="R354" i="21"/>
  <c r="S354" i="21" s="1"/>
  <c r="C55" i="33"/>
  <c r="H55" i="33" l="1"/>
  <c r="H60" i="33" s="1"/>
  <c r="C60" i="33"/>
  <c r="O360" i="21"/>
  <c r="O358" i="21"/>
  <c r="O359" i="21"/>
  <c r="O362" i="21"/>
  <c r="O361" i="21"/>
  <c r="O363" i="21"/>
  <c r="O364" i="21"/>
  <c r="H57" i="22"/>
  <c r="Y68" i="13"/>
  <c r="P359" i="21"/>
  <c r="R359" i="21" s="1"/>
  <c r="S359" i="21" s="1"/>
  <c r="AJ78" i="17"/>
  <c r="G56" i="30" s="1"/>
  <c r="AD78" i="17"/>
  <c r="AE78" i="17" s="1"/>
  <c r="AF78" i="17" s="1"/>
  <c r="AI78" i="17" s="1"/>
  <c r="G56" i="22" s="1"/>
  <c r="P362" i="21"/>
  <c r="R362" i="21" s="1"/>
  <c r="S362" i="21" s="1"/>
  <c r="P361" i="21"/>
  <c r="R361" i="21" s="1"/>
  <c r="S361" i="21" s="1"/>
  <c r="AD77" i="17"/>
  <c r="AE77" i="17" s="1"/>
  <c r="AF77" i="17" s="1"/>
  <c r="AI77" i="17" s="1"/>
  <c r="AJ77" i="17"/>
  <c r="P364" i="21"/>
  <c r="P363" i="21"/>
  <c r="R353" i="21"/>
  <c r="S353" i="21" s="1"/>
  <c r="R357" i="21"/>
  <c r="S357" i="21" s="1"/>
  <c r="Z68" i="13"/>
  <c r="R363" i="21"/>
  <c r="S363" i="21" s="1"/>
  <c r="R364" i="21"/>
  <c r="S364" i="21" s="1"/>
  <c r="R358" i="21"/>
  <c r="S358" i="21" s="1"/>
  <c r="C28" i="21"/>
  <c r="G28" i="21"/>
  <c r="H28" i="21" s="1"/>
  <c r="J9" i="33" s="1"/>
  <c r="E71" i="21"/>
  <c r="F71" i="21" s="1"/>
  <c r="B72" i="21"/>
  <c r="D56" i="22"/>
  <c r="AI79" i="4"/>
  <c r="D56" i="30"/>
  <c r="AJ79" i="4"/>
  <c r="C55" i="32"/>
  <c r="H55" i="32" s="1"/>
  <c r="C56" i="33"/>
  <c r="H56" i="33" s="1"/>
  <c r="R360" i="21"/>
  <c r="S360" i="21" s="1"/>
  <c r="L57" i="33"/>
  <c r="G55" i="30" l="1"/>
  <c r="C55" i="30" s="1"/>
  <c r="AJ79" i="17"/>
  <c r="G55" i="22"/>
  <c r="C55" i="22" s="1"/>
  <c r="AI79" i="17"/>
  <c r="C57" i="33"/>
  <c r="H57" i="33" s="1"/>
  <c r="C56" i="30"/>
  <c r="D57" i="30"/>
  <c r="C56" i="22"/>
  <c r="D57" i="22"/>
  <c r="E72" i="21"/>
  <c r="F72" i="21" s="1"/>
  <c r="B73" i="21"/>
  <c r="C56" i="32"/>
  <c r="H56" i="32" s="1"/>
  <c r="J28" i="21"/>
  <c r="T28" i="21" s="1"/>
  <c r="D29" i="21" s="1"/>
  <c r="G57" i="22" l="1"/>
  <c r="O366" i="21"/>
  <c r="O367" i="21"/>
  <c r="O371" i="21"/>
  <c r="O368" i="21"/>
  <c r="O370" i="21"/>
  <c r="O369" i="21"/>
  <c r="R369" i="21" s="1"/>
  <c r="S369" i="21" s="1"/>
  <c r="O365" i="21"/>
  <c r="R365" i="21" s="1"/>
  <c r="S365" i="21" s="1"/>
  <c r="P366" i="21"/>
  <c r="P368" i="21"/>
  <c r="P371" i="21"/>
  <c r="P365" i="21"/>
  <c r="P370" i="21"/>
  <c r="P367" i="21"/>
  <c r="P369" i="21"/>
  <c r="G57" i="30"/>
  <c r="I10" i="33"/>
  <c r="G29" i="21"/>
  <c r="H29" i="21" s="1"/>
  <c r="C29" i="21"/>
  <c r="B74" i="21"/>
  <c r="E73" i="21"/>
  <c r="F73" i="21" s="1"/>
  <c r="O379" i="21"/>
  <c r="O377" i="21"/>
  <c r="O376" i="21"/>
  <c r="O374" i="21"/>
  <c r="O378" i="21"/>
  <c r="O372" i="21"/>
  <c r="O373" i="21"/>
  <c r="O375" i="21"/>
  <c r="C57" i="22"/>
  <c r="P374" i="21"/>
  <c r="P378" i="21"/>
  <c r="P373" i="21"/>
  <c r="P375" i="21"/>
  <c r="P376" i="21"/>
  <c r="P377" i="21"/>
  <c r="P379" i="21"/>
  <c r="P372" i="21"/>
  <c r="C57" i="30"/>
  <c r="R370" i="21" l="1"/>
  <c r="S370" i="21" s="1"/>
  <c r="R371" i="21"/>
  <c r="S371" i="21" s="1"/>
  <c r="R367" i="21"/>
  <c r="S367" i="21" s="1"/>
  <c r="R366" i="21"/>
  <c r="S366" i="21" s="1"/>
  <c r="L58" i="33"/>
  <c r="R368" i="21"/>
  <c r="S368" i="21" s="1"/>
  <c r="R377" i="21"/>
  <c r="S377" i="21" s="1"/>
  <c r="R373" i="21"/>
  <c r="S373" i="21" s="1"/>
  <c r="R376" i="21"/>
  <c r="S376" i="21" s="1"/>
  <c r="R379" i="21"/>
  <c r="O380" i="21"/>
  <c r="J29" i="21"/>
  <c r="T29" i="21" s="1"/>
  <c r="D30" i="21" s="1"/>
  <c r="R375" i="21"/>
  <c r="S375" i="21" s="1"/>
  <c r="R372" i="21"/>
  <c r="R378" i="21"/>
  <c r="S378" i="21" s="1"/>
  <c r="L59" i="33"/>
  <c r="J27" i="31"/>
  <c r="P380" i="21"/>
  <c r="H27" i="31"/>
  <c r="L19" i="34"/>
  <c r="L20" i="34" s="1"/>
  <c r="B75" i="21"/>
  <c r="E74" i="21"/>
  <c r="F74" i="21" s="1"/>
  <c r="R374" i="21"/>
  <c r="S374" i="21" s="1"/>
  <c r="C57" i="32" l="1"/>
  <c r="H57" i="32" s="1"/>
  <c r="C58" i="33"/>
  <c r="H58" i="33" s="1"/>
  <c r="C30" i="21"/>
  <c r="G30" i="21"/>
  <c r="H30" i="21" s="1"/>
  <c r="S379" i="21"/>
  <c r="E8" i="36"/>
  <c r="J8" i="36" s="1"/>
  <c r="B19" i="31"/>
  <c r="R380" i="21"/>
  <c r="C58" i="32"/>
  <c r="C59" i="33"/>
  <c r="S372" i="21"/>
  <c r="C19" i="34"/>
  <c r="B76" i="21"/>
  <c r="E75" i="21"/>
  <c r="F75" i="21" s="1"/>
  <c r="H19" i="34" l="1"/>
  <c r="H20" i="34" s="1"/>
  <c r="C20" i="34"/>
  <c r="H58" i="32"/>
  <c r="H59" i="32" s="1"/>
  <c r="C59" i="32"/>
  <c r="E76" i="21"/>
  <c r="F76" i="21" s="1"/>
  <c r="B77" i="21"/>
  <c r="G19" i="31"/>
  <c r="G22" i="31" s="1"/>
  <c r="R7" i="31"/>
  <c r="B22" i="31"/>
  <c r="S380" i="21"/>
  <c r="K19" i="32"/>
  <c r="K21" i="32" s="1"/>
  <c r="J30" i="21"/>
  <c r="T30" i="21" s="1"/>
  <c r="D31" i="21" s="1"/>
  <c r="B78" i="21" l="1"/>
  <c r="E77" i="21"/>
  <c r="F77" i="21" s="1"/>
  <c r="C31" i="21"/>
  <c r="G31" i="21"/>
  <c r="H31" i="21" s="1"/>
  <c r="E78" i="21" l="1"/>
  <c r="F78" i="21" s="1"/>
  <c r="B79" i="21"/>
  <c r="J31" i="21"/>
  <c r="T31" i="21" s="1"/>
  <c r="D32" i="21" s="1"/>
  <c r="G32" i="21" l="1"/>
  <c r="H32" i="21" s="1"/>
  <c r="J32" i="21" s="1"/>
  <c r="T32" i="21" s="1"/>
  <c r="D33" i="21" s="1"/>
  <c r="C32" i="21"/>
  <c r="B80" i="21"/>
  <c r="E79" i="21"/>
  <c r="F79" i="21" s="1"/>
  <c r="G33" i="21" l="1"/>
  <c r="H33" i="21" s="1"/>
  <c r="J33" i="21" s="1"/>
  <c r="T33" i="21" s="1"/>
  <c r="D34" i="21" s="1"/>
  <c r="C33" i="21"/>
  <c r="B81" i="21"/>
  <c r="E80" i="21"/>
  <c r="F80" i="21" s="1"/>
  <c r="G34" i="21" l="1"/>
  <c r="H34" i="21" s="1"/>
  <c r="J34" i="21" s="1"/>
  <c r="T34" i="21" s="1"/>
  <c r="D35" i="21" s="1"/>
  <c r="C34" i="21"/>
  <c r="B82" i="21"/>
  <c r="E81" i="21"/>
  <c r="F81" i="21" s="1"/>
  <c r="C35" i="21" l="1"/>
  <c r="G35" i="21"/>
  <c r="H35" i="21" s="1"/>
  <c r="J10" i="33" s="1"/>
  <c r="E82" i="21"/>
  <c r="F82" i="21" s="1"/>
  <c r="B83" i="21"/>
  <c r="E83" i="21" l="1"/>
  <c r="F83" i="21" s="1"/>
  <c r="B84" i="21"/>
  <c r="J35" i="21"/>
  <c r="T35" i="21" s="1"/>
  <c r="D36" i="21" s="1"/>
  <c r="C36" i="21" l="1"/>
  <c r="I11" i="33"/>
  <c r="G36" i="21"/>
  <c r="H36" i="21" s="1"/>
  <c r="E84" i="21"/>
  <c r="F84" i="21" s="1"/>
  <c r="B85" i="21"/>
  <c r="B86" i="21" l="1"/>
  <c r="E85" i="21"/>
  <c r="F85" i="21" s="1"/>
  <c r="J36" i="21"/>
  <c r="T36" i="21" s="1"/>
  <c r="D37" i="21" s="1"/>
  <c r="G37" i="21" l="1"/>
  <c r="H37" i="21" s="1"/>
  <c r="J37" i="21" s="1"/>
  <c r="T37" i="21" s="1"/>
  <c r="D38" i="21" s="1"/>
  <c r="C37" i="21"/>
  <c r="B87" i="21"/>
  <c r="E86" i="21"/>
  <c r="F86" i="21" s="1"/>
  <c r="G38" i="21" l="1"/>
  <c r="H38" i="21" s="1"/>
  <c r="J38" i="21" s="1"/>
  <c r="T38" i="21" s="1"/>
  <c r="D39" i="21" s="1"/>
  <c r="C38" i="21"/>
  <c r="B88" i="21"/>
  <c r="E87" i="21"/>
  <c r="F87" i="21" s="1"/>
  <c r="C39" i="21" l="1"/>
  <c r="G39" i="21"/>
  <c r="H39" i="21" s="1"/>
  <c r="B89" i="21"/>
  <c r="E88" i="21"/>
  <c r="F88" i="21" s="1"/>
  <c r="B90" i="21" l="1"/>
  <c r="E89" i="21"/>
  <c r="F89" i="21" s="1"/>
  <c r="J39" i="21"/>
  <c r="T39" i="21" s="1"/>
  <c r="D40" i="21" s="1"/>
  <c r="B91" i="21" l="1"/>
  <c r="E90" i="21"/>
  <c r="F90" i="21" s="1"/>
  <c r="G40" i="21"/>
  <c r="H40" i="21" s="1"/>
  <c r="J40" i="21" s="1"/>
  <c r="T40" i="21" s="1"/>
  <c r="D41" i="21" s="1"/>
  <c r="C40" i="21"/>
  <c r="C41" i="21" l="1"/>
  <c r="G41" i="21"/>
  <c r="H41" i="21" s="1"/>
  <c r="J41" i="21" s="1"/>
  <c r="T41" i="21" s="1"/>
  <c r="D42" i="21" s="1"/>
  <c r="E91" i="21"/>
  <c r="F91" i="21" s="1"/>
  <c r="B92" i="21"/>
  <c r="G42" i="21" l="1"/>
  <c r="H42" i="21" s="1"/>
  <c r="J11" i="33" s="1"/>
  <c r="C42" i="21"/>
  <c r="B93" i="21"/>
  <c r="E92" i="21"/>
  <c r="F92" i="21" s="1"/>
  <c r="J42" i="21" l="1"/>
  <c r="T42" i="21" s="1"/>
  <c r="D43" i="21" s="1"/>
  <c r="I12" i="33" s="1"/>
  <c r="E93" i="21"/>
  <c r="F93" i="21" s="1"/>
  <c r="B94" i="21"/>
  <c r="C43" i="21" l="1"/>
  <c r="G43" i="21"/>
  <c r="H43" i="21" s="1"/>
  <c r="J43" i="21" s="1"/>
  <c r="T43" i="21" s="1"/>
  <c r="D44" i="21" s="1"/>
  <c r="G44" i="21" s="1"/>
  <c r="H44" i="21" s="1"/>
  <c r="J8" i="34" s="1"/>
  <c r="E94" i="21"/>
  <c r="F94" i="21" s="1"/>
  <c r="B95" i="21"/>
  <c r="C44" i="21" l="1"/>
  <c r="B96" i="21"/>
  <c r="E95" i="21"/>
  <c r="F95" i="21" s="1"/>
  <c r="J44" i="21"/>
  <c r="T44" i="21" s="1"/>
  <c r="D45" i="21" s="1"/>
  <c r="G45" i="21" l="1"/>
  <c r="H45" i="21" s="1"/>
  <c r="I9" i="34"/>
  <c r="C45" i="21"/>
  <c r="J45" i="21"/>
  <c r="T45" i="21" s="1"/>
  <c r="D46" i="21" s="1"/>
  <c r="B97" i="21"/>
  <c r="E96" i="21"/>
  <c r="F96" i="21" s="1"/>
  <c r="C46" i="21" l="1"/>
  <c r="G46" i="21"/>
  <c r="H46" i="21" s="1"/>
  <c r="J46" i="21" s="1"/>
  <c r="T46" i="21" s="1"/>
  <c r="D47" i="21" s="1"/>
  <c r="E97" i="21"/>
  <c r="F97" i="21" s="1"/>
  <c r="B98" i="21"/>
  <c r="C47" i="21" l="1"/>
  <c r="G47" i="21"/>
  <c r="H47" i="21" s="1"/>
  <c r="J47" i="21" s="1"/>
  <c r="T47" i="21" s="1"/>
  <c r="D48" i="21" s="1"/>
  <c r="B99" i="21"/>
  <c r="E98" i="21"/>
  <c r="F98" i="21" s="1"/>
  <c r="B100" i="21" l="1"/>
  <c r="E99" i="21"/>
  <c r="F99" i="21" s="1"/>
  <c r="C48" i="21"/>
  <c r="G48" i="21"/>
  <c r="H48" i="21" s="1"/>
  <c r="J48" i="21" s="1"/>
  <c r="T48" i="21" s="1"/>
  <c r="D49" i="21" s="1"/>
  <c r="C49" i="21" l="1"/>
  <c r="G49" i="21"/>
  <c r="H49" i="21" s="1"/>
  <c r="B101" i="21"/>
  <c r="E100" i="21"/>
  <c r="F100" i="21" s="1"/>
  <c r="J12" i="33" l="1"/>
  <c r="J49" i="21"/>
  <c r="T49" i="21" s="1"/>
  <c r="D50" i="21" s="1"/>
  <c r="E101" i="21"/>
  <c r="F101" i="21" s="1"/>
  <c r="B102" i="21"/>
  <c r="E102" i="21" l="1"/>
  <c r="F102" i="21" s="1"/>
  <c r="B103" i="21"/>
  <c r="C50" i="21"/>
  <c r="I13" i="33"/>
  <c r="G50" i="21"/>
  <c r="H50" i="21" s="1"/>
  <c r="J50" i="21" s="1"/>
  <c r="T50" i="21" s="1"/>
  <c r="D51" i="21" s="1"/>
  <c r="C51" i="21" l="1"/>
  <c r="G51" i="21"/>
  <c r="H51" i="21" s="1"/>
  <c r="J51" i="21" s="1"/>
  <c r="T51" i="21" s="1"/>
  <c r="D52" i="21" s="1"/>
  <c r="B104" i="21"/>
  <c r="E103" i="21"/>
  <c r="F103" i="21" s="1"/>
  <c r="C52" i="21" l="1"/>
  <c r="G52" i="21"/>
  <c r="H52" i="21" s="1"/>
  <c r="J52" i="21" s="1"/>
  <c r="T52" i="21" s="1"/>
  <c r="D53" i="21" s="1"/>
  <c r="E104" i="21"/>
  <c r="F104" i="21" s="1"/>
  <c r="B105" i="21"/>
  <c r="G53" i="21" l="1"/>
  <c r="H53" i="21" s="1"/>
  <c r="J53" i="21" s="1"/>
  <c r="T53" i="21" s="1"/>
  <c r="D54" i="21" s="1"/>
  <c r="C53" i="21"/>
  <c r="B106" i="21"/>
  <c r="E105" i="21"/>
  <c r="F105" i="21" s="1"/>
  <c r="C54" i="21" l="1"/>
  <c r="G54" i="21"/>
  <c r="H54" i="21" s="1"/>
  <c r="B107" i="21"/>
  <c r="E106" i="21"/>
  <c r="F106" i="21" s="1"/>
  <c r="E107" i="21" l="1"/>
  <c r="F107" i="21" s="1"/>
  <c r="B108" i="21"/>
  <c r="J54" i="21"/>
  <c r="T54" i="21" s="1"/>
  <c r="D55" i="21" s="1"/>
  <c r="C55" i="21" l="1"/>
  <c r="G55" i="21"/>
  <c r="H55" i="21" s="1"/>
  <c r="B109" i="21"/>
  <c r="E108" i="21"/>
  <c r="F108" i="21" s="1"/>
  <c r="J55" i="21" l="1"/>
  <c r="T55" i="21" s="1"/>
  <c r="D56" i="21" s="1"/>
  <c r="E109" i="21"/>
  <c r="F109" i="21" s="1"/>
  <c r="B110" i="21"/>
  <c r="B111" i="21" l="1"/>
  <c r="E110" i="21"/>
  <c r="F110" i="21" s="1"/>
  <c r="C56" i="21"/>
  <c r="G56" i="21"/>
  <c r="H56" i="21" s="1"/>
  <c r="J13" i="33" s="1"/>
  <c r="J56" i="21" l="1"/>
  <c r="T56" i="21" s="1"/>
  <c r="D57" i="21" s="1"/>
  <c r="B112" i="21"/>
  <c r="E111" i="21"/>
  <c r="F111" i="21" s="1"/>
  <c r="E112" i="21" l="1"/>
  <c r="F112" i="21" s="1"/>
  <c r="B113" i="21"/>
  <c r="G57" i="21"/>
  <c r="H57" i="21" s="1"/>
  <c r="J57" i="21" s="1"/>
  <c r="T57" i="21" s="1"/>
  <c r="D58" i="21" s="1"/>
  <c r="I14" i="33"/>
  <c r="C57" i="21"/>
  <c r="C58" i="21" l="1"/>
  <c r="G58" i="21"/>
  <c r="H58" i="21" s="1"/>
  <c r="B114" i="21"/>
  <c r="E113" i="21"/>
  <c r="F113" i="21" s="1"/>
  <c r="B115" i="21" l="1"/>
  <c r="E114" i="21"/>
  <c r="F114" i="21" s="1"/>
  <c r="J58" i="21"/>
  <c r="T58" i="21" s="1"/>
  <c r="D59" i="21" s="1"/>
  <c r="G59" i="21" l="1"/>
  <c r="H59" i="21" s="1"/>
  <c r="C59" i="21"/>
  <c r="E115" i="21"/>
  <c r="F115" i="21" s="1"/>
  <c r="B116" i="21"/>
  <c r="E116" i="21" l="1"/>
  <c r="F116" i="21" s="1"/>
  <c r="B117" i="21"/>
  <c r="J59" i="21"/>
  <c r="T59" i="21" s="1"/>
  <c r="D60" i="21" s="1"/>
  <c r="G60" i="21" l="1"/>
  <c r="H60" i="21" s="1"/>
  <c r="J60" i="21" s="1"/>
  <c r="T60" i="21" s="1"/>
  <c r="D61" i="21" s="1"/>
  <c r="C60" i="21"/>
  <c r="E117" i="21"/>
  <c r="F117" i="21" s="1"/>
  <c r="B118" i="21"/>
  <c r="G61" i="21" l="1"/>
  <c r="H61" i="21" s="1"/>
  <c r="J61" i="21" s="1"/>
  <c r="T61" i="21" s="1"/>
  <c r="D62" i="21" s="1"/>
  <c r="C61" i="21"/>
  <c r="E118" i="21"/>
  <c r="F118" i="21" s="1"/>
  <c r="B119" i="21"/>
  <c r="C62" i="21" l="1"/>
  <c r="G62" i="21"/>
  <c r="H62" i="21" s="1"/>
  <c r="J62" i="21" s="1"/>
  <c r="T62" i="21" s="1"/>
  <c r="D63" i="21" s="1"/>
  <c r="B120" i="21"/>
  <c r="E119" i="21"/>
  <c r="F119" i="21" s="1"/>
  <c r="E120" i="21" l="1"/>
  <c r="F120" i="21" s="1"/>
  <c r="B121" i="21"/>
  <c r="G63" i="21"/>
  <c r="H63" i="21" s="1"/>
  <c r="J14" i="33" s="1"/>
  <c r="C63" i="21"/>
  <c r="J63" i="21" l="1"/>
  <c r="T63" i="21" s="1"/>
  <c r="D64" i="21" s="1"/>
  <c r="B122" i="21"/>
  <c r="E121" i="21"/>
  <c r="F121" i="21" s="1"/>
  <c r="E122" i="21" l="1"/>
  <c r="F122" i="21" s="1"/>
  <c r="B123" i="21"/>
  <c r="G64" i="21"/>
  <c r="H64" i="21" s="1"/>
  <c r="J64" i="21" s="1"/>
  <c r="T64" i="21" s="1"/>
  <c r="D65" i="21" s="1"/>
  <c r="I15" i="33"/>
  <c r="C64" i="21"/>
  <c r="G65" i="21" l="1"/>
  <c r="H65" i="21" s="1"/>
  <c r="J65" i="21" s="1"/>
  <c r="T65" i="21" s="1"/>
  <c r="D66" i="21" s="1"/>
  <c r="C65" i="21"/>
  <c r="E123" i="21"/>
  <c r="F123" i="21" s="1"/>
  <c r="B124" i="21"/>
  <c r="C66" i="21" l="1"/>
  <c r="G66" i="21"/>
  <c r="H66" i="21" s="1"/>
  <c r="J66" i="21" s="1"/>
  <c r="T66" i="21" s="1"/>
  <c r="D67" i="21" s="1"/>
  <c r="B125" i="21"/>
  <c r="E124" i="21"/>
  <c r="F124" i="21" s="1"/>
  <c r="C67" i="21" l="1"/>
  <c r="G67" i="21"/>
  <c r="H67" i="21" s="1"/>
  <c r="E125" i="21"/>
  <c r="F125" i="21" s="1"/>
  <c r="B126" i="21"/>
  <c r="B127" i="21" l="1"/>
  <c r="E126" i="21"/>
  <c r="F126" i="21" s="1"/>
  <c r="J67" i="21"/>
  <c r="T67" i="21" s="1"/>
  <c r="D68" i="21" s="1"/>
  <c r="C68" i="21" l="1"/>
  <c r="G68" i="21"/>
  <c r="H68" i="21" s="1"/>
  <c r="J68" i="21" s="1"/>
  <c r="T68" i="21" s="1"/>
  <c r="D69" i="21" s="1"/>
  <c r="B128" i="21"/>
  <c r="E127" i="21"/>
  <c r="F127" i="21" s="1"/>
  <c r="C69" i="21" l="1"/>
  <c r="G69" i="21"/>
  <c r="H69" i="21" s="1"/>
  <c r="J69" i="21" s="1"/>
  <c r="T69" i="21" s="1"/>
  <c r="D70" i="21" s="1"/>
  <c r="B129" i="21"/>
  <c r="E128" i="21"/>
  <c r="F128" i="21" s="1"/>
  <c r="G70" i="21" l="1"/>
  <c r="H70" i="21" s="1"/>
  <c r="J15" i="33" s="1"/>
  <c r="C70" i="21"/>
  <c r="E129" i="21"/>
  <c r="F129" i="21" s="1"/>
  <c r="B130" i="21"/>
  <c r="B131" i="21" l="1"/>
  <c r="E130" i="21"/>
  <c r="F130" i="21" s="1"/>
  <c r="J70" i="21"/>
  <c r="T70" i="21" s="1"/>
  <c r="D71" i="21" s="1"/>
  <c r="C71" i="21" l="1"/>
  <c r="G71" i="21"/>
  <c r="H71" i="21" s="1"/>
  <c r="I16" i="33"/>
  <c r="E131" i="21"/>
  <c r="F131" i="21" s="1"/>
  <c r="B132" i="21"/>
  <c r="E132" i="21" l="1"/>
  <c r="F132" i="21" s="1"/>
  <c r="B133" i="21"/>
  <c r="J71" i="21"/>
  <c r="T71" i="21" s="1"/>
  <c r="D72" i="21" s="1"/>
  <c r="G72" i="21" l="1"/>
  <c r="H72" i="21" s="1"/>
  <c r="J72" i="21" s="1"/>
  <c r="T72" i="21" s="1"/>
  <c r="D73" i="21" s="1"/>
  <c r="C72" i="21"/>
  <c r="B134" i="21"/>
  <c r="E133" i="21"/>
  <c r="F133" i="21" s="1"/>
  <c r="C73" i="21" l="1"/>
  <c r="G73" i="21"/>
  <c r="H73" i="21" s="1"/>
  <c r="J73" i="21" s="1"/>
  <c r="T73" i="21" s="1"/>
  <c r="D74" i="21" s="1"/>
  <c r="E134" i="21"/>
  <c r="F134" i="21" s="1"/>
  <c r="B135" i="21"/>
  <c r="C74" i="21" l="1"/>
  <c r="G74" i="21"/>
  <c r="H74" i="21" s="1"/>
  <c r="E135" i="21"/>
  <c r="F135" i="21" s="1"/>
  <c r="B136" i="21"/>
  <c r="B137" i="21" l="1"/>
  <c r="E136" i="21"/>
  <c r="F136" i="21" s="1"/>
  <c r="J74" i="21"/>
  <c r="T74" i="21" s="1"/>
  <c r="D75" i="21" s="1"/>
  <c r="C75" i="21" l="1"/>
  <c r="G75" i="21"/>
  <c r="H75" i="21" s="1"/>
  <c r="J9" i="34" s="1"/>
  <c r="E137" i="21"/>
  <c r="F137" i="21" s="1"/>
  <c r="B138" i="21"/>
  <c r="E138" i="21" l="1"/>
  <c r="F138" i="21" s="1"/>
  <c r="B139" i="21"/>
  <c r="J75" i="21"/>
  <c r="T75" i="21" s="1"/>
  <c r="D76" i="21" s="1"/>
  <c r="E139" i="21" l="1"/>
  <c r="F139" i="21" s="1"/>
  <c r="B140" i="21"/>
  <c r="G76" i="21"/>
  <c r="H76" i="21" s="1"/>
  <c r="J76" i="21" s="1"/>
  <c r="T76" i="21" s="1"/>
  <c r="D77" i="21" s="1"/>
  <c r="C76" i="21"/>
  <c r="I10" i="34"/>
  <c r="G77" i="21" l="1"/>
  <c r="H77" i="21" s="1"/>
  <c r="J16" i="33" s="1"/>
  <c r="C77" i="21"/>
  <c r="B141" i="21"/>
  <c r="E140" i="21"/>
  <c r="F140" i="21" s="1"/>
  <c r="B142" i="21" l="1"/>
  <c r="E141" i="21"/>
  <c r="F141" i="21" s="1"/>
  <c r="J77" i="21"/>
  <c r="T77" i="21" s="1"/>
  <c r="D78" i="21" s="1"/>
  <c r="C78" i="21" l="1"/>
  <c r="I17" i="33"/>
  <c r="G78" i="21"/>
  <c r="H78" i="21" s="1"/>
  <c r="B143" i="21"/>
  <c r="E142" i="21"/>
  <c r="F142" i="21" s="1"/>
  <c r="J78" i="21" l="1"/>
  <c r="T78" i="21" s="1"/>
  <c r="D79" i="21" s="1"/>
  <c r="E143" i="21"/>
  <c r="F143" i="21" s="1"/>
  <c r="B144" i="21"/>
  <c r="B145" i="21" l="1"/>
  <c r="E144" i="21"/>
  <c r="F144" i="21" s="1"/>
  <c r="C79" i="21"/>
  <c r="G79" i="21"/>
  <c r="H79" i="21" s="1"/>
  <c r="J79" i="21" l="1"/>
  <c r="T79" i="21" s="1"/>
  <c r="D80" i="21" s="1"/>
  <c r="B146" i="21"/>
  <c r="E145" i="21"/>
  <c r="F145" i="21" s="1"/>
  <c r="E146" i="21" l="1"/>
  <c r="F146" i="21" s="1"/>
  <c r="B147" i="21"/>
  <c r="C80" i="21"/>
  <c r="G80" i="21"/>
  <c r="H80" i="21" s="1"/>
  <c r="B148" i="21" l="1"/>
  <c r="E147" i="21"/>
  <c r="F147" i="21" s="1"/>
  <c r="J80" i="21"/>
  <c r="T80" i="21" s="1"/>
  <c r="D81" i="21" s="1"/>
  <c r="C81" i="21" l="1"/>
  <c r="G81" i="21"/>
  <c r="H81" i="21" s="1"/>
  <c r="E148" i="21"/>
  <c r="F148" i="21" s="1"/>
  <c r="B149" i="21"/>
  <c r="E149" i="21" l="1"/>
  <c r="F149" i="21" s="1"/>
  <c r="B150" i="21"/>
  <c r="J81" i="21"/>
  <c r="T81" i="21" s="1"/>
  <c r="D82" i="21" s="1"/>
  <c r="C82" i="21" l="1"/>
  <c r="G82" i="21"/>
  <c r="H82" i="21" s="1"/>
  <c r="J82" i="21" s="1"/>
  <c r="T82" i="21" s="1"/>
  <c r="D83" i="21" s="1"/>
  <c r="B151" i="21"/>
  <c r="E150" i="21"/>
  <c r="F150" i="21" s="1"/>
  <c r="C83" i="21" l="1"/>
  <c r="G83" i="21"/>
  <c r="H83" i="21" s="1"/>
  <c r="J83" i="21" s="1"/>
  <c r="T83" i="21" s="1"/>
  <c r="D84" i="21" s="1"/>
  <c r="B152" i="21"/>
  <c r="E151" i="21"/>
  <c r="F151" i="21" s="1"/>
  <c r="C84" i="21" l="1"/>
  <c r="G84" i="21"/>
  <c r="H84" i="21" s="1"/>
  <c r="J17" i="33" s="1"/>
  <c r="B153" i="21"/>
  <c r="E152" i="21"/>
  <c r="F152" i="21" s="1"/>
  <c r="J84" i="21" l="1"/>
  <c r="T84" i="21" s="1"/>
  <c r="D85" i="21" s="1"/>
  <c r="B154" i="21"/>
  <c r="E153" i="21"/>
  <c r="F153" i="21" s="1"/>
  <c r="E154" i="21" l="1"/>
  <c r="F154" i="21" s="1"/>
  <c r="B155" i="21"/>
  <c r="I18" i="33"/>
  <c r="G85" i="21"/>
  <c r="H85" i="21" s="1"/>
  <c r="C85" i="21"/>
  <c r="B156" i="21" l="1"/>
  <c r="E155" i="21"/>
  <c r="F155" i="21" s="1"/>
  <c r="J85" i="21"/>
  <c r="T85" i="21" s="1"/>
  <c r="D86" i="21" s="1"/>
  <c r="B157" i="21" l="1"/>
  <c r="E156" i="21"/>
  <c r="F156" i="21" s="1"/>
  <c r="G86" i="21"/>
  <c r="H86" i="21" s="1"/>
  <c r="C86" i="21"/>
  <c r="J86" i="21" l="1"/>
  <c r="T86" i="21" s="1"/>
  <c r="D87" i="21" s="1"/>
  <c r="E157" i="21"/>
  <c r="F157" i="21" s="1"/>
  <c r="B158" i="21"/>
  <c r="B159" i="21" l="1"/>
  <c r="E158" i="21"/>
  <c r="F158" i="21" s="1"/>
  <c r="C87" i="21"/>
  <c r="G87" i="21"/>
  <c r="H87" i="21" s="1"/>
  <c r="J87" i="21" l="1"/>
  <c r="T87" i="21" s="1"/>
  <c r="D88" i="21" s="1"/>
  <c r="B160" i="21"/>
  <c r="E159" i="21"/>
  <c r="F159" i="21" s="1"/>
  <c r="B161" i="21" l="1"/>
  <c r="E160" i="21"/>
  <c r="F160" i="21" s="1"/>
  <c r="C88" i="21"/>
  <c r="G88" i="21"/>
  <c r="H88" i="21" s="1"/>
  <c r="J88" i="21" s="1"/>
  <c r="T88" i="21" s="1"/>
  <c r="D89" i="21" s="1"/>
  <c r="G89" i="21" l="1"/>
  <c r="H89" i="21" s="1"/>
  <c r="J89" i="21" s="1"/>
  <c r="T89" i="21" s="1"/>
  <c r="D90" i="21" s="1"/>
  <c r="C89" i="21"/>
  <c r="B162" i="21"/>
  <c r="E161" i="21"/>
  <c r="F161" i="21" s="1"/>
  <c r="G90" i="21" l="1"/>
  <c r="H90" i="21" s="1"/>
  <c r="J90" i="21" s="1"/>
  <c r="T90" i="21" s="1"/>
  <c r="D91" i="21" s="1"/>
  <c r="C90" i="21"/>
  <c r="E162" i="21"/>
  <c r="F162" i="21" s="1"/>
  <c r="B163" i="21"/>
  <c r="G91" i="21" l="1"/>
  <c r="H91" i="21" s="1"/>
  <c r="J18" i="33" s="1"/>
  <c r="C91" i="21"/>
  <c r="B164" i="21"/>
  <c r="E163" i="21"/>
  <c r="F163" i="21" s="1"/>
  <c r="B165" i="21" l="1"/>
  <c r="E164" i="21"/>
  <c r="F164" i="21" s="1"/>
  <c r="J91" i="21"/>
  <c r="T91" i="21" s="1"/>
  <c r="D92" i="21" s="1"/>
  <c r="C92" i="21" l="1"/>
  <c r="I19" i="33"/>
  <c r="G92" i="21"/>
  <c r="H92" i="21" s="1"/>
  <c r="E165" i="21"/>
  <c r="F165" i="21" s="1"/>
  <c r="B166" i="21"/>
  <c r="B167" i="21" l="1"/>
  <c r="E166" i="21"/>
  <c r="F166" i="21" s="1"/>
  <c r="J92" i="21"/>
  <c r="T92" i="21" s="1"/>
  <c r="D93" i="21" s="1"/>
  <c r="C93" i="21" l="1"/>
  <c r="G93" i="21"/>
  <c r="H93" i="21" s="1"/>
  <c r="J93" i="21" s="1"/>
  <c r="T93" i="21" s="1"/>
  <c r="D94" i="21" s="1"/>
  <c r="B168" i="21"/>
  <c r="E167" i="21"/>
  <c r="F167" i="21" s="1"/>
  <c r="C94" i="21" l="1"/>
  <c r="G94" i="21"/>
  <c r="H94" i="21" s="1"/>
  <c r="J94" i="21" s="1"/>
  <c r="T94" i="21" s="1"/>
  <c r="D95" i="21" s="1"/>
  <c r="E168" i="21"/>
  <c r="F168" i="21" s="1"/>
  <c r="B169" i="21"/>
  <c r="C95" i="21" l="1"/>
  <c r="G95" i="21"/>
  <c r="H95" i="21" s="1"/>
  <c r="E169" i="21"/>
  <c r="F169" i="21" s="1"/>
  <c r="B170" i="21"/>
  <c r="B171" i="21" l="1"/>
  <c r="E170" i="21"/>
  <c r="F170" i="21" s="1"/>
  <c r="J95" i="21"/>
  <c r="T95" i="21" s="1"/>
  <c r="D96" i="21" s="1"/>
  <c r="G96" i="21" l="1"/>
  <c r="H96" i="21" s="1"/>
  <c r="J96" i="21" s="1"/>
  <c r="T96" i="21" s="1"/>
  <c r="D97" i="21" s="1"/>
  <c r="C96" i="21"/>
  <c r="E171" i="21"/>
  <c r="F171" i="21" s="1"/>
  <c r="B172" i="21"/>
  <c r="G97" i="21" l="1"/>
  <c r="H97" i="21" s="1"/>
  <c r="J97" i="21" s="1"/>
  <c r="T97" i="21" s="1"/>
  <c r="D98" i="21" s="1"/>
  <c r="C97" i="21"/>
  <c r="B173" i="21"/>
  <c r="E172" i="21"/>
  <c r="F172" i="21" s="1"/>
  <c r="C98" i="21" l="1"/>
  <c r="G98" i="21"/>
  <c r="H98" i="21" s="1"/>
  <c r="J19" i="33" s="1"/>
  <c r="E173" i="21"/>
  <c r="F173" i="21" s="1"/>
  <c r="B174" i="21"/>
  <c r="E174" i="21" l="1"/>
  <c r="F174" i="21" s="1"/>
  <c r="B175" i="21"/>
  <c r="J98" i="21"/>
  <c r="T98" i="21" s="1"/>
  <c r="D99" i="21" s="1"/>
  <c r="C99" i="21" l="1"/>
  <c r="G99" i="21"/>
  <c r="H99" i="21" s="1"/>
  <c r="I20" i="33"/>
  <c r="B176" i="21"/>
  <c r="E175" i="21"/>
  <c r="F175" i="21" s="1"/>
  <c r="B177" i="21" l="1"/>
  <c r="E176" i="21"/>
  <c r="F176" i="21" s="1"/>
  <c r="J99" i="21"/>
  <c r="T99" i="21" s="1"/>
  <c r="D100" i="21" s="1"/>
  <c r="G100" i="21" l="1"/>
  <c r="H100" i="21" s="1"/>
  <c r="J100" i="21" s="1"/>
  <c r="T100" i="21" s="1"/>
  <c r="D101" i="21" s="1"/>
  <c r="C100" i="21"/>
  <c r="E177" i="21"/>
  <c r="F177" i="21" s="1"/>
  <c r="B178" i="21"/>
  <c r="G101" i="21" l="1"/>
  <c r="H101" i="21" s="1"/>
  <c r="J101" i="21" s="1"/>
  <c r="T101" i="21" s="1"/>
  <c r="D102" i="21" s="1"/>
  <c r="C101" i="21"/>
  <c r="E178" i="21"/>
  <c r="F178" i="21" s="1"/>
  <c r="B179" i="21"/>
  <c r="G102" i="21" l="1"/>
  <c r="H102" i="21" s="1"/>
  <c r="J102" i="21" s="1"/>
  <c r="T102" i="21" s="1"/>
  <c r="D103" i="21" s="1"/>
  <c r="C102" i="21"/>
  <c r="E179" i="21"/>
  <c r="F179" i="21" s="1"/>
  <c r="B180" i="21"/>
  <c r="G103" i="21" l="1"/>
  <c r="H103" i="21" s="1"/>
  <c r="J103" i="21" s="1"/>
  <c r="T103" i="21" s="1"/>
  <c r="D104" i="21" s="1"/>
  <c r="C103" i="21"/>
  <c r="B181" i="21"/>
  <c r="E180" i="21"/>
  <c r="F180" i="21" s="1"/>
  <c r="C104" i="21" l="1"/>
  <c r="G104" i="21"/>
  <c r="H104" i="21" s="1"/>
  <c r="J104" i="21" s="1"/>
  <c r="T104" i="21" s="1"/>
  <c r="D105" i="21" s="1"/>
  <c r="B182" i="21"/>
  <c r="E181" i="21"/>
  <c r="F181" i="21" s="1"/>
  <c r="C105" i="21" l="1"/>
  <c r="G105" i="21"/>
  <c r="H105" i="21" s="1"/>
  <c r="J20" i="33" s="1"/>
  <c r="B183" i="21"/>
  <c r="E182" i="21"/>
  <c r="F182" i="21" s="1"/>
  <c r="E183" i="21" l="1"/>
  <c r="F183" i="21" s="1"/>
  <c r="B184" i="21"/>
  <c r="J105" i="21"/>
  <c r="T105" i="21" s="1"/>
  <c r="D106" i="21" s="1"/>
  <c r="G106" i="21" l="1"/>
  <c r="H106" i="21" s="1"/>
  <c r="J106" i="21" s="1"/>
  <c r="T106" i="21" s="1"/>
  <c r="D107" i="21" s="1"/>
  <c r="C106" i="21"/>
  <c r="I21" i="33"/>
  <c r="B185" i="21"/>
  <c r="E184" i="21"/>
  <c r="F184" i="21" s="1"/>
  <c r="I11" i="34" l="1"/>
  <c r="C107" i="21"/>
  <c r="G107" i="21"/>
  <c r="H107" i="21" s="1"/>
  <c r="E185" i="21"/>
  <c r="F185" i="21" s="1"/>
  <c r="B186" i="21"/>
  <c r="J10" i="34"/>
  <c r="J107" i="21" l="1"/>
  <c r="T107" i="21" s="1"/>
  <c r="D108" i="21" s="1"/>
  <c r="B187" i="21"/>
  <c r="E186" i="21"/>
  <c r="F186" i="21" s="1"/>
  <c r="B188" i="21" l="1"/>
  <c r="E187" i="21"/>
  <c r="F187" i="21" s="1"/>
  <c r="C108" i="21"/>
  <c r="G108" i="21"/>
  <c r="H108" i="21" s="1"/>
  <c r="J108" i="21" l="1"/>
  <c r="T108" i="21" s="1"/>
  <c r="D109" i="21" s="1"/>
  <c r="E188" i="21"/>
  <c r="F188" i="21" s="1"/>
  <c r="B189" i="21"/>
  <c r="B190" i="21" l="1"/>
  <c r="E189" i="21"/>
  <c r="F189" i="21" s="1"/>
  <c r="G109" i="21"/>
  <c r="H109" i="21" s="1"/>
  <c r="C109" i="21"/>
  <c r="J109" i="21" l="1"/>
  <c r="T109" i="21" s="1"/>
  <c r="D110" i="21" s="1"/>
  <c r="B191" i="21"/>
  <c r="E190" i="21"/>
  <c r="F190" i="21" s="1"/>
  <c r="E191" i="21" l="1"/>
  <c r="F191" i="21" s="1"/>
  <c r="B192" i="21"/>
  <c r="G110" i="21"/>
  <c r="H110" i="21" s="1"/>
  <c r="C110" i="21"/>
  <c r="E192" i="21" l="1"/>
  <c r="F192" i="21" s="1"/>
  <c r="B193" i="21"/>
  <c r="J110" i="21"/>
  <c r="T110" i="21" s="1"/>
  <c r="D111" i="21" s="1"/>
  <c r="C111" i="21" l="1"/>
  <c r="G111" i="21"/>
  <c r="H111" i="21" s="1"/>
  <c r="J111" i="21" s="1"/>
  <c r="T111" i="21" s="1"/>
  <c r="D112" i="21" s="1"/>
  <c r="E193" i="21"/>
  <c r="F193" i="21" s="1"/>
  <c r="B194" i="21"/>
  <c r="C112" i="21" l="1"/>
  <c r="G112" i="21"/>
  <c r="H112" i="21" s="1"/>
  <c r="J21" i="33" s="1"/>
  <c r="E194" i="21"/>
  <c r="F194" i="21" s="1"/>
  <c r="B195" i="21"/>
  <c r="B196" i="21" l="1"/>
  <c r="E195" i="21"/>
  <c r="F195" i="21" s="1"/>
  <c r="J112" i="21"/>
  <c r="T112" i="21" s="1"/>
  <c r="D113" i="21" s="1"/>
  <c r="I22" i="33" l="1"/>
  <c r="C113" i="21"/>
  <c r="G113" i="21"/>
  <c r="H113" i="21" s="1"/>
  <c r="E196" i="21"/>
  <c r="F196" i="21" s="1"/>
  <c r="B197" i="21"/>
  <c r="B198" i="21" l="1"/>
  <c r="E197" i="21"/>
  <c r="F197" i="21" s="1"/>
  <c r="J113" i="21"/>
  <c r="T113" i="21" s="1"/>
  <c r="D114" i="21" s="1"/>
  <c r="G114" i="21" l="1"/>
  <c r="H114" i="21" s="1"/>
  <c r="C114" i="21"/>
  <c r="B199" i="21"/>
  <c r="E198" i="21"/>
  <c r="F198" i="21" s="1"/>
  <c r="E199" i="21" l="1"/>
  <c r="F199" i="21" s="1"/>
  <c r="B200" i="21"/>
  <c r="J114" i="21"/>
  <c r="T114" i="21" s="1"/>
  <c r="D115" i="21" s="1"/>
  <c r="C115" i="21" l="1"/>
  <c r="G115" i="21"/>
  <c r="H115" i="21" s="1"/>
  <c r="J115" i="21" s="1"/>
  <c r="T115" i="21" s="1"/>
  <c r="D116" i="21" s="1"/>
  <c r="B201" i="21"/>
  <c r="E200" i="21"/>
  <c r="F200" i="21" s="1"/>
  <c r="G116" i="21" l="1"/>
  <c r="H116" i="21" s="1"/>
  <c r="J116" i="21" s="1"/>
  <c r="T116" i="21" s="1"/>
  <c r="D117" i="21" s="1"/>
  <c r="C116" i="21"/>
  <c r="E201" i="21"/>
  <c r="F201" i="21" s="1"/>
  <c r="B202" i="21"/>
  <c r="G117" i="21" l="1"/>
  <c r="H117" i="21" s="1"/>
  <c r="J117" i="21" s="1"/>
  <c r="T117" i="21" s="1"/>
  <c r="D118" i="21" s="1"/>
  <c r="C117" i="21"/>
  <c r="E202" i="21"/>
  <c r="F202" i="21" s="1"/>
  <c r="B203" i="21"/>
  <c r="C118" i="21" l="1"/>
  <c r="G118" i="21"/>
  <c r="H118" i="21" s="1"/>
  <c r="J118" i="21" s="1"/>
  <c r="T118" i="21" s="1"/>
  <c r="D119" i="21" s="1"/>
  <c r="B204" i="21"/>
  <c r="E203" i="21"/>
  <c r="F203" i="21" s="1"/>
  <c r="G119" i="21" l="1"/>
  <c r="H119" i="21" s="1"/>
  <c r="J22" i="33" s="1"/>
  <c r="C119" i="21"/>
  <c r="B205" i="21"/>
  <c r="E204" i="21"/>
  <c r="F204" i="21" s="1"/>
  <c r="B206" i="21" l="1"/>
  <c r="E205" i="21"/>
  <c r="F205" i="21" s="1"/>
  <c r="J119" i="21"/>
  <c r="T119" i="21" s="1"/>
  <c r="D120" i="21" s="1"/>
  <c r="G120" i="21" l="1"/>
  <c r="H120" i="21" s="1"/>
  <c r="J120" i="21" s="1"/>
  <c r="T120" i="21" s="1"/>
  <c r="D121" i="21" s="1"/>
  <c r="I23" i="33"/>
  <c r="C120" i="21"/>
  <c r="B207" i="21"/>
  <c r="E206" i="21"/>
  <c r="F206" i="21" s="1"/>
  <c r="C121" i="21" l="1"/>
  <c r="G121" i="21"/>
  <c r="H121" i="21" s="1"/>
  <c r="J121" i="21" s="1"/>
  <c r="T121" i="21" s="1"/>
  <c r="D122" i="21" s="1"/>
  <c r="B208" i="21"/>
  <c r="E207" i="21"/>
  <c r="F207" i="21" s="1"/>
  <c r="C122" i="21" l="1"/>
  <c r="G122" i="21"/>
  <c r="H122" i="21" s="1"/>
  <c r="B209" i="21"/>
  <c r="E208" i="21"/>
  <c r="F208" i="21" s="1"/>
  <c r="E209" i="21" l="1"/>
  <c r="F209" i="21" s="1"/>
  <c r="B210" i="21"/>
  <c r="J122" i="21"/>
  <c r="T122" i="21" s="1"/>
  <c r="D123" i="21" s="1"/>
  <c r="G123" i="21" l="1"/>
  <c r="H123" i="21" s="1"/>
  <c r="C123" i="21"/>
  <c r="B211" i="21"/>
  <c r="E210" i="21"/>
  <c r="F210" i="21" s="1"/>
  <c r="B212" i="21" l="1"/>
  <c r="E211" i="21"/>
  <c r="F211" i="21" s="1"/>
  <c r="J123" i="21"/>
  <c r="T123" i="21" s="1"/>
  <c r="D124" i="21" s="1"/>
  <c r="C124" i="21" l="1"/>
  <c r="G124" i="21"/>
  <c r="H124" i="21" s="1"/>
  <c r="J124" i="21" s="1"/>
  <c r="T124" i="21" s="1"/>
  <c r="D125" i="21" s="1"/>
  <c r="B213" i="21"/>
  <c r="E212" i="21"/>
  <c r="F212" i="21" s="1"/>
  <c r="G125" i="21" l="1"/>
  <c r="H125" i="21" s="1"/>
  <c r="J125" i="21" s="1"/>
  <c r="T125" i="21" s="1"/>
  <c r="D126" i="21" s="1"/>
  <c r="C125" i="21"/>
  <c r="B214" i="21"/>
  <c r="E213" i="21"/>
  <c r="F213" i="21" s="1"/>
  <c r="C126" i="21" l="1"/>
  <c r="G126" i="21"/>
  <c r="H126" i="21" s="1"/>
  <c r="J23" i="33" s="1"/>
  <c r="E214" i="21"/>
  <c r="F214" i="21" s="1"/>
  <c r="B215" i="21"/>
  <c r="B216" i="21" l="1"/>
  <c r="E215" i="21"/>
  <c r="F215" i="21" s="1"/>
  <c r="J126" i="21"/>
  <c r="T126" i="21" s="1"/>
  <c r="D127" i="21" s="1"/>
  <c r="G127" i="21" l="1"/>
  <c r="H127" i="21" s="1"/>
  <c r="J127" i="21" s="1"/>
  <c r="T127" i="21" s="1"/>
  <c r="D128" i="21" s="1"/>
  <c r="I24" i="33"/>
  <c r="C127" i="21"/>
  <c r="E216" i="21"/>
  <c r="F216" i="21" s="1"/>
  <c r="B217" i="21"/>
  <c r="B218" i="21" l="1"/>
  <c r="E217" i="21"/>
  <c r="F217" i="21" s="1"/>
  <c r="C128" i="21"/>
  <c r="G128" i="21"/>
  <c r="H128" i="21" s="1"/>
  <c r="J128" i="21" l="1"/>
  <c r="T128" i="21" s="1"/>
  <c r="D129" i="21" s="1"/>
  <c r="B219" i="21"/>
  <c r="E218" i="21"/>
  <c r="F218" i="21" s="1"/>
  <c r="E219" i="21" l="1"/>
  <c r="F219" i="21" s="1"/>
  <c r="B220" i="21"/>
  <c r="C129" i="21"/>
  <c r="G129" i="21"/>
  <c r="H129" i="21" s="1"/>
  <c r="J129" i="21" l="1"/>
  <c r="T129" i="21" s="1"/>
  <c r="D130" i="21" s="1"/>
  <c r="E220" i="21"/>
  <c r="F220" i="21" s="1"/>
  <c r="B221" i="21"/>
  <c r="B222" i="21" l="1"/>
  <c r="E221" i="21"/>
  <c r="F221" i="21" s="1"/>
  <c r="C130" i="21"/>
  <c r="G130" i="21"/>
  <c r="H130" i="21" s="1"/>
  <c r="J130" i="21" s="1"/>
  <c r="T130" i="21" s="1"/>
  <c r="D131" i="21" s="1"/>
  <c r="C131" i="21" l="1"/>
  <c r="G131" i="21"/>
  <c r="H131" i="21" s="1"/>
  <c r="J131" i="21" s="1"/>
  <c r="T131" i="21" s="1"/>
  <c r="D132" i="21" s="1"/>
  <c r="B223" i="21"/>
  <c r="E222" i="21"/>
  <c r="F222" i="21" s="1"/>
  <c r="G132" i="21" l="1"/>
  <c r="H132" i="21" s="1"/>
  <c r="J132" i="21" s="1"/>
  <c r="T132" i="21" s="1"/>
  <c r="D133" i="21" s="1"/>
  <c r="C132" i="21"/>
  <c r="E223" i="21"/>
  <c r="F223" i="21" s="1"/>
  <c r="B224" i="21"/>
  <c r="E224" i="21" l="1"/>
  <c r="F224" i="21" s="1"/>
  <c r="B225" i="21"/>
  <c r="G133" i="21"/>
  <c r="H133" i="21" s="1"/>
  <c r="J24" i="33" s="1"/>
  <c r="C133" i="21"/>
  <c r="B226" i="21" l="1"/>
  <c r="E225" i="21"/>
  <c r="F225" i="21" s="1"/>
  <c r="J133" i="21"/>
  <c r="T133" i="21" s="1"/>
  <c r="D134" i="21" s="1"/>
  <c r="I25" i="33" l="1"/>
  <c r="C134" i="21"/>
  <c r="G134" i="21"/>
  <c r="H134" i="21" s="1"/>
  <c r="J134" i="21" s="1"/>
  <c r="T134" i="21" s="1"/>
  <c r="D135" i="21" s="1"/>
  <c r="B227" i="21"/>
  <c r="E226" i="21"/>
  <c r="F226" i="21" s="1"/>
  <c r="G135" i="21" l="1"/>
  <c r="H135" i="21" s="1"/>
  <c r="J135" i="21" s="1"/>
  <c r="T135" i="21" s="1"/>
  <c r="D136" i="21" s="1"/>
  <c r="I12" i="34"/>
  <c r="C135" i="21"/>
  <c r="E227" i="21"/>
  <c r="F227" i="21" s="1"/>
  <c r="B228" i="21"/>
  <c r="J11" i="34"/>
  <c r="B229" i="21" l="1"/>
  <c r="E228" i="21"/>
  <c r="F228" i="21" s="1"/>
  <c r="C136" i="21"/>
  <c r="G136" i="21"/>
  <c r="H136" i="21" s="1"/>
  <c r="J136" i="21" l="1"/>
  <c r="T136" i="21" s="1"/>
  <c r="D137" i="21" s="1"/>
  <c r="B230" i="21"/>
  <c r="E229" i="21"/>
  <c r="F229" i="21" s="1"/>
  <c r="E230" i="21" l="1"/>
  <c r="F230" i="21" s="1"/>
  <c r="B231" i="21"/>
  <c r="C137" i="21"/>
  <c r="G137" i="21"/>
  <c r="H137" i="21" s="1"/>
  <c r="J137" i="21" l="1"/>
  <c r="T137" i="21" s="1"/>
  <c r="D138" i="21" s="1"/>
  <c r="B232" i="21"/>
  <c r="E231" i="21"/>
  <c r="F231" i="21" s="1"/>
  <c r="C138" i="21" l="1"/>
  <c r="G138" i="21"/>
  <c r="H138" i="21" s="1"/>
  <c r="E232" i="21"/>
  <c r="F232" i="21" s="1"/>
  <c r="B233" i="21"/>
  <c r="B234" i="21" l="1"/>
  <c r="E233" i="21"/>
  <c r="F233" i="21" s="1"/>
  <c r="J138" i="21"/>
  <c r="T138" i="21" s="1"/>
  <c r="D139" i="21" s="1"/>
  <c r="G139" i="21" l="1"/>
  <c r="H139" i="21" s="1"/>
  <c r="J139" i="21" s="1"/>
  <c r="T139" i="21" s="1"/>
  <c r="D140" i="21" s="1"/>
  <c r="C139" i="21"/>
  <c r="B235" i="21"/>
  <c r="E234" i="21"/>
  <c r="F234" i="21" s="1"/>
  <c r="C140" i="21" l="1"/>
  <c r="G140" i="21"/>
  <c r="H140" i="21" s="1"/>
  <c r="J25" i="33" s="1"/>
  <c r="E235" i="21"/>
  <c r="F235" i="21" s="1"/>
  <c r="B236" i="21"/>
  <c r="B237" i="21" l="1"/>
  <c r="E236" i="21"/>
  <c r="F236" i="21" s="1"/>
  <c r="J140" i="21"/>
  <c r="T140" i="21" s="1"/>
  <c r="D141" i="21" s="1"/>
  <c r="G141" i="21" l="1"/>
  <c r="H141" i="21" s="1"/>
  <c r="J141" i="21" s="1"/>
  <c r="T141" i="21" s="1"/>
  <c r="D142" i="21" s="1"/>
  <c r="I26" i="33"/>
  <c r="C141" i="21"/>
  <c r="E237" i="21"/>
  <c r="F237" i="21" s="1"/>
  <c r="B238" i="21"/>
  <c r="C142" i="21" l="1"/>
  <c r="G142" i="21"/>
  <c r="H142" i="21" s="1"/>
  <c r="J142" i="21" s="1"/>
  <c r="T142" i="21" s="1"/>
  <c r="D143" i="21" s="1"/>
  <c r="B239" i="21"/>
  <c r="E238" i="21"/>
  <c r="F238" i="21" s="1"/>
  <c r="G143" i="21" l="1"/>
  <c r="H143" i="21" s="1"/>
  <c r="J143" i="21" s="1"/>
  <c r="T143" i="21" s="1"/>
  <c r="D144" i="21" s="1"/>
  <c r="C143" i="21"/>
  <c r="B240" i="21"/>
  <c r="E239" i="21"/>
  <c r="F239" i="21" s="1"/>
  <c r="G144" i="21" l="1"/>
  <c r="H144" i="21" s="1"/>
  <c r="J144" i="21" s="1"/>
  <c r="T144" i="21" s="1"/>
  <c r="D145" i="21" s="1"/>
  <c r="C144" i="21"/>
  <c r="B241" i="21"/>
  <c r="E240" i="21"/>
  <c r="F240" i="21" s="1"/>
  <c r="G145" i="21" l="1"/>
  <c r="H145" i="21" s="1"/>
  <c r="J145" i="21" s="1"/>
  <c r="T145" i="21" s="1"/>
  <c r="D146" i="21" s="1"/>
  <c r="C145" i="21"/>
  <c r="E241" i="21"/>
  <c r="F241" i="21" s="1"/>
  <c r="B242" i="21"/>
  <c r="C146" i="21" l="1"/>
  <c r="G146" i="21"/>
  <c r="H146" i="21" s="1"/>
  <c r="J146" i="21" s="1"/>
  <c r="T146" i="21" s="1"/>
  <c r="D147" i="21" s="1"/>
  <c r="E242" i="21"/>
  <c r="F242" i="21" s="1"/>
  <c r="B243" i="21"/>
  <c r="C147" i="21" l="1"/>
  <c r="G147" i="21"/>
  <c r="H147" i="21" s="1"/>
  <c r="J26" i="33" s="1"/>
  <c r="B244" i="21"/>
  <c r="E243" i="21"/>
  <c r="F243" i="21" s="1"/>
  <c r="E244" i="21" l="1"/>
  <c r="F244" i="21" s="1"/>
  <c r="B245" i="21"/>
  <c r="J147" i="21"/>
  <c r="T147" i="21" s="1"/>
  <c r="D148" i="21" s="1"/>
  <c r="C148" i="21" l="1"/>
  <c r="I27" i="33"/>
  <c r="G148" i="21"/>
  <c r="H148" i="21" s="1"/>
  <c r="B246" i="21"/>
  <c r="E245" i="21"/>
  <c r="F245" i="21" s="1"/>
  <c r="J148" i="21" l="1"/>
  <c r="T148" i="21" s="1"/>
  <c r="D149" i="21" s="1"/>
  <c r="B247" i="21"/>
  <c r="E246" i="21"/>
  <c r="F246" i="21" s="1"/>
  <c r="B248" i="21" l="1"/>
  <c r="E247" i="21"/>
  <c r="F247" i="21" s="1"/>
  <c r="G149" i="21"/>
  <c r="H149" i="21" s="1"/>
  <c r="J149" i="21" s="1"/>
  <c r="T149" i="21" s="1"/>
  <c r="D150" i="21" s="1"/>
  <c r="C149" i="21"/>
  <c r="G150" i="21" l="1"/>
  <c r="H150" i="21" s="1"/>
  <c r="J150" i="21" s="1"/>
  <c r="T150" i="21" s="1"/>
  <c r="D151" i="21" s="1"/>
  <c r="C150" i="21"/>
  <c r="E248" i="21"/>
  <c r="F248" i="21" s="1"/>
  <c r="B249" i="21"/>
  <c r="G151" i="21" l="1"/>
  <c r="H151" i="21" s="1"/>
  <c r="J151" i="21" s="1"/>
  <c r="T151" i="21" s="1"/>
  <c r="D152" i="21" s="1"/>
  <c r="C151" i="21"/>
  <c r="E249" i="21"/>
  <c r="F249" i="21" s="1"/>
  <c r="B250" i="21"/>
  <c r="C152" i="21" l="1"/>
  <c r="G152" i="21"/>
  <c r="H152" i="21" s="1"/>
  <c r="J152" i="21" s="1"/>
  <c r="T152" i="21" s="1"/>
  <c r="D153" i="21" s="1"/>
  <c r="B251" i="21"/>
  <c r="E250" i="21"/>
  <c r="F250" i="21" s="1"/>
  <c r="C153" i="21" l="1"/>
  <c r="G153" i="21"/>
  <c r="H153" i="21" s="1"/>
  <c r="J153" i="21" s="1"/>
  <c r="T153" i="21" s="1"/>
  <c r="D154" i="21" s="1"/>
  <c r="B252" i="21"/>
  <c r="E251" i="21"/>
  <c r="F251" i="21" s="1"/>
  <c r="G154" i="21" l="1"/>
  <c r="H154" i="21" s="1"/>
  <c r="J27" i="33" s="1"/>
  <c r="C154" i="21"/>
  <c r="E252" i="21"/>
  <c r="F252" i="21" s="1"/>
  <c r="B253" i="21"/>
  <c r="B254" i="21" l="1"/>
  <c r="E253" i="21"/>
  <c r="F253" i="21" s="1"/>
  <c r="J154" i="21"/>
  <c r="T154" i="21" s="1"/>
  <c r="D155" i="21" s="1"/>
  <c r="G155" i="21" l="1"/>
  <c r="H155" i="21" s="1"/>
  <c r="I28" i="33"/>
  <c r="C155" i="21"/>
  <c r="E254" i="21"/>
  <c r="F254" i="21" s="1"/>
  <c r="B255" i="21"/>
  <c r="B256" i="21" l="1"/>
  <c r="E255" i="21"/>
  <c r="F255" i="21" s="1"/>
  <c r="J155" i="21"/>
  <c r="T155" i="21" s="1"/>
  <c r="D156" i="21" s="1"/>
  <c r="G156" i="21" l="1"/>
  <c r="H156" i="21" s="1"/>
  <c r="J156" i="21" s="1"/>
  <c r="T156" i="21" s="1"/>
  <c r="D157" i="21" s="1"/>
  <c r="C156" i="21"/>
  <c r="B257" i="21"/>
  <c r="E256" i="21"/>
  <c r="F256" i="21" s="1"/>
  <c r="C157" i="21" l="1"/>
  <c r="G157" i="21"/>
  <c r="H157" i="21" s="1"/>
  <c r="J157" i="21" s="1"/>
  <c r="T157" i="21" s="1"/>
  <c r="D158" i="21" s="1"/>
  <c r="B258" i="21"/>
  <c r="E257" i="21"/>
  <c r="F257" i="21" s="1"/>
  <c r="C158" i="21" l="1"/>
  <c r="G158" i="21"/>
  <c r="H158" i="21" s="1"/>
  <c r="B259" i="21"/>
  <c r="E258" i="21"/>
  <c r="F258" i="21" s="1"/>
  <c r="E259" i="21" l="1"/>
  <c r="F259" i="21" s="1"/>
  <c r="B260" i="21"/>
  <c r="J158" i="21"/>
  <c r="T158" i="21" s="1"/>
  <c r="D159" i="21" s="1"/>
  <c r="C159" i="21" l="1"/>
  <c r="G159" i="21"/>
  <c r="H159" i="21" s="1"/>
  <c r="J159" i="21" s="1"/>
  <c r="T159" i="21" s="1"/>
  <c r="D160" i="21" s="1"/>
  <c r="E260" i="21"/>
  <c r="F260" i="21" s="1"/>
  <c r="B261" i="21"/>
  <c r="G160" i="21" l="1"/>
  <c r="H160" i="21" s="1"/>
  <c r="J160" i="21" s="1"/>
  <c r="T160" i="21" s="1"/>
  <c r="D161" i="21" s="1"/>
  <c r="C160" i="21"/>
  <c r="B262" i="21"/>
  <c r="E261" i="21"/>
  <c r="F261" i="21" s="1"/>
  <c r="G161" i="21" l="1"/>
  <c r="H161" i="21" s="1"/>
  <c r="J28" i="33" s="1"/>
  <c r="C161" i="21"/>
  <c r="E262" i="21"/>
  <c r="F262" i="21" s="1"/>
  <c r="B263" i="21"/>
  <c r="B264" i="21" l="1"/>
  <c r="E263" i="21"/>
  <c r="F263" i="21" s="1"/>
  <c r="J161" i="21"/>
  <c r="T161" i="21" s="1"/>
  <c r="D162" i="21" s="1"/>
  <c r="C162" i="21" l="1"/>
  <c r="G162" i="21"/>
  <c r="H162" i="21" s="1"/>
  <c r="J162" i="21" s="1"/>
  <c r="T162" i="21" s="1"/>
  <c r="D163" i="21" s="1"/>
  <c r="I29" i="33"/>
  <c r="B265" i="21"/>
  <c r="E264" i="21"/>
  <c r="F264" i="21" s="1"/>
  <c r="B266" i="21" l="1"/>
  <c r="E265" i="21"/>
  <c r="F265" i="21" s="1"/>
  <c r="C163" i="21"/>
  <c r="G163" i="21"/>
  <c r="H163" i="21" s="1"/>
  <c r="J163" i="21" l="1"/>
  <c r="T163" i="21" s="1"/>
  <c r="D164" i="21" s="1"/>
  <c r="E266" i="21"/>
  <c r="F266" i="21" s="1"/>
  <c r="B267" i="21"/>
  <c r="E267" i="21" l="1"/>
  <c r="F267" i="21" s="1"/>
  <c r="B268" i="21"/>
  <c r="G164" i="21"/>
  <c r="H164" i="21" s="1"/>
  <c r="C164" i="21"/>
  <c r="B269" i="21" l="1"/>
  <c r="E268" i="21"/>
  <c r="F268" i="21" s="1"/>
  <c r="J164" i="21"/>
  <c r="T164" i="21" s="1"/>
  <c r="D165" i="21" s="1"/>
  <c r="E269" i="21" l="1"/>
  <c r="F269" i="21" s="1"/>
  <c r="B270" i="21"/>
  <c r="C165" i="21"/>
  <c r="G165" i="21"/>
  <c r="H165" i="21" s="1"/>
  <c r="J12" i="34" s="1"/>
  <c r="J165" i="21" l="1"/>
  <c r="T165" i="21" s="1"/>
  <c r="D166" i="21" s="1"/>
  <c r="E270" i="21"/>
  <c r="F270" i="21" s="1"/>
  <c r="B271" i="21"/>
  <c r="B272" i="21" l="1"/>
  <c r="E271" i="21"/>
  <c r="F271" i="21" s="1"/>
  <c r="I13" i="34"/>
  <c r="C166" i="21"/>
  <c r="G166" i="21"/>
  <c r="H166" i="21" s="1"/>
  <c r="J166" i="21" s="1"/>
  <c r="T166" i="21" s="1"/>
  <c r="D167" i="21" s="1"/>
  <c r="C167" i="21" l="1"/>
  <c r="G167" i="21"/>
  <c r="H167" i="21" s="1"/>
  <c r="J167" i="21" s="1"/>
  <c r="T167" i="21" s="1"/>
  <c r="D168" i="21" s="1"/>
  <c r="B273" i="21"/>
  <c r="E272" i="21"/>
  <c r="F272" i="21" s="1"/>
  <c r="C168" i="21" l="1"/>
  <c r="G168" i="21"/>
  <c r="H168" i="21" s="1"/>
  <c r="J168" i="21" s="1"/>
  <c r="T168" i="21" s="1"/>
  <c r="D169" i="21" s="1"/>
  <c r="B274" i="21"/>
  <c r="E273" i="21"/>
  <c r="F273" i="21" s="1"/>
  <c r="G169" i="21" l="1"/>
  <c r="H169" i="21" s="1"/>
  <c r="J169" i="21" s="1"/>
  <c r="T169" i="21" s="1"/>
  <c r="D170" i="21" s="1"/>
  <c r="I30" i="33"/>
  <c r="C169" i="21"/>
  <c r="B275" i="21"/>
  <c r="E274" i="21"/>
  <c r="F274" i="21" s="1"/>
  <c r="J29" i="33"/>
  <c r="B276" i="21" l="1"/>
  <c r="E275" i="21"/>
  <c r="F275" i="21" s="1"/>
  <c r="C170" i="21"/>
  <c r="G170" i="21"/>
  <c r="H170" i="21" s="1"/>
  <c r="J170" i="21" l="1"/>
  <c r="T170" i="21" s="1"/>
  <c r="D171" i="21" s="1"/>
  <c r="E276" i="21"/>
  <c r="F276" i="21" s="1"/>
  <c r="B277" i="21"/>
  <c r="E277" i="21" l="1"/>
  <c r="F277" i="21" s="1"/>
  <c r="B278" i="21"/>
  <c r="C171" i="21"/>
  <c r="G171" i="21"/>
  <c r="H171" i="21" s="1"/>
  <c r="J171" i="21" l="1"/>
  <c r="T171" i="21" s="1"/>
  <c r="D172" i="21" s="1"/>
  <c r="B279" i="21"/>
  <c r="E278" i="21"/>
  <c r="F278" i="21" s="1"/>
  <c r="E279" i="21" l="1"/>
  <c r="F279" i="21" s="1"/>
  <c r="B280" i="21"/>
  <c r="C172" i="21"/>
  <c r="G172" i="21"/>
  <c r="H172" i="21" s="1"/>
  <c r="J172" i="21" l="1"/>
  <c r="T172" i="21" s="1"/>
  <c r="D173" i="21" s="1"/>
  <c r="E280" i="21"/>
  <c r="F280" i="21" s="1"/>
  <c r="B281" i="21"/>
  <c r="E281" i="21" l="1"/>
  <c r="F281" i="21" s="1"/>
  <c r="B282" i="21"/>
  <c r="G173" i="21"/>
  <c r="H173" i="21" s="1"/>
  <c r="J173" i="21" s="1"/>
  <c r="T173" i="21" s="1"/>
  <c r="D174" i="21" s="1"/>
  <c r="C173" i="21"/>
  <c r="C174" i="21" l="1"/>
  <c r="G174" i="21"/>
  <c r="H174" i="21" s="1"/>
  <c r="J174" i="21" s="1"/>
  <c r="T174" i="21" s="1"/>
  <c r="D175" i="21" s="1"/>
  <c r="E282" i="21"/>
  <c r="F282" i="21" s="1"/>
  <c r="B283" i="21"/>
  <c r="C175" i="21" l="1"/>
  <c r="G175" i="21"/>
  <c r="H175" i="21" s="1"/>
  <c r="J30" i="33" s="1"/>
  <c r="B284" i="21"/>
  <c r="E283" i="21"/>
  <c r="F283" i="21" s="1"/>
  <c r="E284" i="21" l="1"/>
  <c r="F284" i="21" s="1"/>
  <c r="B285" i="21"/>
  <c r="J175" i="21"/>
  <c r="T175" i="21" s="1"/>
  <c r="D176" i="21" s="1"/>
  <c r="E285" i="21" l="1"/>
  <c r="F285" i="21" s="1"/>
  <c r="B286" i="21"/>
  <c r="C176" i="21"/>
  <c r="G176" i="21"/>
  <c r="H176" i="21" s="1"/>
  <c r="J176" i="21" s="1"/>
  <c r="T176" i="21" s="1"/>
  <c r="D177" i="21" s="1"/>
  <c r="I31" i="33"/>
  <c r="G177" i="21" l="1"/>
  <c r="H177" i="21" s="1"/>
  <c r="J177" i="21" s="1"/>
  <c r="T177" i="21" s="1"/>
  <c r="D178" i="21" s="1"/>
  <c r="C177" i="21"/>
  <c r="E286" i="21"/>
  <c r="F286" i="21" s="1"/>
  <c r="B287" i="21"/>
  <c r="B288" i="21" l="1"/>
  <c r="E287" i="21"/>
  <c r="F287" i="21" s="1"/>
  <c r="G178" i="21"/>
  <c r="H178" i="21" s="1"/>
  <c r="C178" i="21"/>
  <c r="J178" i="21" l="1"/>
  <c r="T178" i="21" s="1"/>
  <c r="D179" i="21" s="1"/>
  <c r="E288" i="21"/>
  <c r="F288" i="21" s="1"/>
  <c r="B289" i="21"/>
  <c r="B290" i="21" l="1"/>
  <c r="E289" i="21"/>
  <c r="F289" i="21" s="1"/>
  <c r="G179" i="21"/>
  <c r="H179" i="21" s="1"/>
  <c r="J179" i="21" s="1"/>
  <c r="T179" i="21" s="1"/>
  <c r="D180" i="21" s="1"/>
  <c r="C179" i="21"/>
  <c r="G180" i="21" l="1"/>
  <c r="H180" i="21" s="1"/>
  <c r="J180" i="21" s="1"/>
  <c r="T180" i="21" s="1"/>
  <c r="D181" i="21" s="1"/>
  <c r="C180" i="21"/>
  <c r="B291" i="21"/>
  <c r="E290" i="21"/>
  <c r="F290" i="21" s="1"/>
  <c r="G181" i="21" l="1"/>
  <c r="H181" i="21" s="1"/>
  <c r="J181" i="21" s="1"/>
  <c r="T181" i="21" s="1"/>
  <c r="D182" i="21" s="1"/>
  <c r="C181" i="21"/>
  <c r="B292" i="21"/>
  <c r="E291" i="21"/>
  <c r="F291" i="21" s="1"/>
  <c r="G182" i="21" l="1"/>
  <c r="H182" i="21" s="1"/>
  <c r="J31" i="33" s="1"/>
  <c r="C182" i="21"/>
  <c r="B293" i="21"/>
  <c r="E292" i="21"/>
  <c r="F292" i="21" s="1"/>
  <c r="J182" i="21" l="1"/>
  <c r="T182" i="21" s="1"/>
  <c r="D183" i="21" s="1"/>
  <c r="E293" i="21"/>
  <c r="F293" i="21" s="1"/>
  <c r="B294" i="21"/>
  <c r="B295" i="21" l="1"/>
  <c r="E294" i="21"/>
  <c r="F294" i="21" s="1"/>
  <c r="G183" i="21"/>
  <c r="H183" i="21" s="1"/>
  <c r="J183" i="21" s="1"/>
  <c r="T183" i="21" s="1"/>
  <c r="D184" i="21" s="1"/>
  <c r="I32" i="33"/>
  <c r="C183" i="21"/>
  <c r="G184" i="21" l="1"/>
  <c r="H184" i="21" s="1"/>
  <c r="J184" i="21" s="1"/>
  <c r="T184" i="21" s="1"/>
  <c r="D185" i="21" s="1"/>
  <c r="C184" i="21"/>
  <c r="E295" i="21"/>
  <c r="F295" i="21" s="1"/>
  <c r="B296" i="21"/>
  <c r="G185" i="21" l="1"/>
  <c r="H185" i="21" s="1"/>
  <c r="J185" i="21" s="1"/>
  <c r="T185" i="21" s="1"/>
  <c r="D186" i="21" s="1"/>
  <c r="C185" i="21"/>
  <c r="E296" i="21"/>
  <c r="F296" i="21" s="1"/>
  <c r="B297" i="21"/>
  <c r="G186" i="21" l="1"/>
  <c r="H186" i="21" s="1"/>
  <c r="J186" i="21" s="1"/>
  <c r="T186" i="21" s="1"/>
  <c r="D187" i="21" s="1"/>
  <c r="C186" i="21"/>
  <c r="B298" i="21"/>
  <c r="E297" i="21"/>
  <c r="F297" i="21" s="1"/>
  <c r="G187" i="21" l="1"/>
  <c r="H187" i="21" s="1"/>
  <c r="J187" i="21" s="1"/>
  <c r="T187" i="21" s="1"/>
  <c r="D188" i="21" s="1"/>
  <c r="C187" i="21"/>
  <c r="E298" i="21"/>
  <c r="F298" i="21" s="1"/>
  <c r="B299" i="21"/>
  <c r="C188" i="21" l="1"/>
  <c r="G188" i="21"/>
  <c r="H188" i="21" s="1"/>
  <c r="J188" i="21" s="1"/>
  <c r="T188" i="21" s="1"/>
  <c r="D189" i="21" s="1"/>
  <c r="E299" i="21"/>
  <c r="F299" i="21" s="1"/>
  <c r="B300" i="21"/>
  <c r="C189" i="21" l="1"/>
  <c r="G189" i="21"/>
  <c r="H189" i="21" s="1"/>
  <c r="J32" i="33" s="1"/>
  <c r="B301" i="21"/>
  <c r="E300" i="21"/>
  <c r="F300" i="21" s="1"/>
  <c r="E301" i="21" l="1"/>
  <c r="F301" i="21" s="1"/>
  <c r="B302" i="21"/>
  <c r="J189" i="21"/>
  <c r="T189" i="21" s="1"/>
  <c r="D190" i="21" s="1"/>
  <c r="E302" i="21" l="1"/>
  <c r="F302" i="21" s="1"/>
  <c r="B303" i="21"/>
  <c r="G190" i="21"/>
  <c r="H190" i="21" s="1"/>
  <c r="C190" i="21"/>
  <c r="I33" i="33"/>
  <c r="B304" i="21" l="1"/>
  <c r="E303" i="21"/>
  <c r="F303" i="21" s="1"/>
  <c r="J190" i="21"/>
  <c r="T190" i="21" s="1"/>
  <c r="D191" i="21" s="1"/>
  <c r="G191" i="21" l="1"/>
  <c r="H191" i="21" s="1"/>
  <c r="J191" i="21" s="1"/>
  <c r="T191" i="21" s="1"/>
  <c r="D192" i="21" s="1"/>
  <c r="C191" i="21"/>
  <c r="E304" i="21"/>
  <c r="F304" i="21" s="1"/>
  <c r="B305" i="21"/>
  <c r="G192" i="21" l="1"/>
  <c r="H192" i="21" s="1"/>
  <c r="J192" i="21" s="1"/>
  <c r="T192" i="21" s="1"/>
  <c r="D193" i="21" s="1"/>
  <c r="C192" i="21"/>
  <c r="B306" i="21"/>
  <c r="E305" i="21"/>
  <c r="F305" i="21" s="1"/>
  <c r="G193" i="21" l="1"/>
  <c r="H193" i="21" s="1"/>
  <c r="J193" i="21" s="1"/>
  <c r="T193" i="21" s="1"/>
  <c r="D194" i="21" s="1"/>
  <c r="C193" i="21"/>
  <c r="E306" i="21"/>
  <c r="F306" i="21" s="1"/>
  <c r="B307" i="21"/>
  <c r="E307" i="21" l="1"/>
  <c r="F307" i="21" s="1"/>
  <c r="B308" i="21"/>
  <c r="C194" i="21"/>
  <c r="G194" i="21"/>
  <c r="H194" i="21" s="1"/>
  <c r="J194" i="21" s="1"/>
  <c r="T194" i="21" s="1"/>
  <c r="D195" i="21" s="1"/>
  <c r="C195" i="21" l="1"/>
  <c r="G195" i="21"/>
  <c r="H195" i="21" s="1"/>
  <c r="J13" i="34" s="1"/>
  <c r="E308" i="21"/>
  <c r="F308" i="21" s="1"/>
  <c r="B309" i="21"/>
  <c r="B310" i="21" l="1"/>
  <c r="E309" i="21"/>
  <c r="F309" i="21" s="1"/>
  <c r="J195" i="21"/>
  <c r="T195" i="21" s="1"/>
  <c r="D196" i="21" s="1"/>
  <c r="I14" i="34" l="1"/>
  <c r="G196" i="21"/>
  <c r="H196" i="21" s="1"/>
  <c r="J196" i="21" s="1"/>
  <c r="T196" i="21" s="1"/>
  <c r="D197" i="21" s="1"/>
  <c r="C196" i="21"/>
  <c r="B311" i="21"/>
  <c r="E310" i="21"/>
  <c r="F310" i="21" s="1"/>
  <c r="G197" i="21" l="1"/>
  <c r="H197" i="21" s="1"/>
  <c r="J197" i="21" s="1"/>
  <c r="T197" i="21" s="1"/>
  <c r="D198" i="21" s="1"/>
  <c r="I34" i="33"/>
  <c r="C197" i="21"/>
  <c r="B312" i="21"/>
  <c r="E311" i="21"/>
  <c r="F311" i="21" s="1"/>
  <c r="J33" i="33"/>
  <c r="C198" i="21" l="1"/>
  <c r="G198" i="21"/>
  <c r="H198" i="21" s="1"/>
  <c r="B313" i="21"/>
  <c r="E312" i="21"/>
  <c r="F312" i="21" s="1"/>
  <c r="E313" i="21" l="1"/>
  <c r="F313" i="21" s="1"/>
  <c r="B314" i="21"/>
  <c r="J198" i="21"/>
  <c r="T198" i="21" s="1"/>
  <c r="D199" i="21" s="1"/>
  <c r="G199" i="21" l="1"/>
  <c r="H199" i="21" s="1"/>
  <c r="J199" i="21" s="1"/>
  <c r="T199" i="21" s="1"/>
  <c r="D200" i="21" s="1"/>
  <c r="C199" i="21"/>
  <c r="E314" i="21"/>
  <c r="F314" i="21" s="1"/>
  <c r="B315" i="21"/>
  <c r="G200" i="21" l="1"/>
  <c r="H200" i="21" s="1"/>
  <c r="J200" i="21" s="1"/>
  <c r="T200" i="21" s="1"/>
  <c r="D201" i="21" s="1"/>
  <c r="C200" i="21"/>
  <c r="B316" i="21"/>
  <c r="E315" i="21"/>
  <c r="F315" i="21" s="1"/>
  <c r="C201" i="21" l="1"/>
  <c r="G201" i="21"/>
  <c r="H201" i="21" s="1"/>
  <c r="B317" i="21"/>
  <c r="E316" i="21"/>
  <c r="F316" i="21" s="1"/>
  <c r="B318" i="21" l="1"/>
  <c r="E317" i="21"/>
  <c r="F317" i="21" s="1"/>
  <c r="J201" i="21"/>
  <c r="T201" i="21" s="1"/>
  <c r="D202" i="21" s="1"/>
  <c r="G202" i="21" l="1"/>
  <c r="H202" i="21" s="1"/>
  <c r="C202" i="21"/>
  <c r="E318" i="21"/>
  <c r="F318" i="21" s="1"/>
  <c r="B319" i="21"/>
  <c r="B320" i="21" l="1"/>
  <c r="E319" i="21"/>
  <c r="F319" i="21" s="1"/>
  <c r="J202" i="21"/>
  <c r="T202" i="21" s="1"/>
  <c r="D203" i="21" s="1"/>
  <c r="G203" i="21" l="1"/>
  <c r="H203" i="21" s="1"/>
  <c r="J34" i="33" s="1"/>
  <c r="C203" i="21"/>
  <c r="B321" i="21"/>
  <c r="E320" i="21"/>
  <c r="F320" i="21" s="1"/>
  <c r="E321" i="21" l="1"/>
  <c r="F321" i="21" s="1"/>
  <c r="B322" i="21"/>
  <c r="J203" i="21"/>
  <c r="T203" i="21" s="1"/>
  <c r="D204" i="21" s="1"/>
  <c r="C204" i="21" l="1"/>
  <c r="I35" i="33"/>
  <c r="G204" i="21"/>
  <c r="H204" i="21" s="1"/>
  <c r="B323" i="21"/>
  <c r="E322" i="21"/>
  <c r="F322" i="21" s="1"/>
  <c r="E323" i="21" l="1"/>
  <c r="F323" i="21" s="1"/>
  <c r="B324" i="21"/>
  <c r="J204" i="21"/>
  <c r="T204" i="21" s="1"/>
  <c r="D205" i="21" s="1"/>
  <c r="G205" i="21" l="1"/>
  <c r="H205" i="21" s="1"/>
  <c r="J205" i="21" s="1"/>
  <c r="T205" i="21" s="1"/>
  <c r="D206" i="21" s="1"/>
  <c r="C205" i="21"/>
  <c r="E324" i="21"/>
  <c r="F324" i="21" s="1"/>
  <c r="B325" i="21"/>
  <c r="C206" i="21" l="1"/>
  <c r="G206" i="21"/>
  <c r="H206" i="21" s="1"/>
  <c r="J206" i="21" s="1"/>
  <c r="T206" i="21" s="1"/>
  <c r="D207" i="21" s="1"/>
  <c r="B326" i="21"/>
  <c r="E325" i="21"/>
  <c r="F325" i="21" s="1"/>
  <c r="C207" i="21" l="1"/>
  <c r="G207" i="21"/>
  <c r="H207" i="21" s="1"/>
  <c r="E326" i="21"/>
  <c r="F326" i="21" s="1"/>
  <c r="B327" i="21"/>
  <c r="B328" i="21" l="1"/>
  <c r="E327" i="21"/>
  <c r="F327" i="21" s="1"/>
  <c r="J207" i="21"/>
  <c r="T207" i="21" s="1"/>
  <c r="D208" i="21" s="1"/>
  <c r="C208" i="21" l="1"/>
  <c r="G208" i="21"/>
  <c r="H208" i="21" s="1"/>
  <c r="J208" i="21" s="1"/>
  <c r="T208" i="21" s="1"/>
  <c r="D209" i="21" s="1"/>
  <c r="B329" i="21"/>
  <c r="E328" i="21"/>
  <c r="F328" i="21" s="1"/>
  <c r="G209" i="21" l="1"/>
  <c r="H209" i="21" s="1"/>
  <c r="J209" i="21" s="1"/>
  <c r="T209" i="21" s="1"/>
  <c r="D210" i="21" s="1"/>
  <c r="C209" i="21"/>
  <c r="E329" i="21"/>
  <c r="F329" i="21" s="1"/>
  <c r="B330" i="21"/>
  <c r="G210" i="21" l="1"/>
  <c r="H210" i="21" s="1"/>
  <c r="J35" i="33" s="1"/>
  <c r="C210" i="21"/>
  <c r="B331" i="21"/>
  <c r="E330" i="21"/>
  <c r="F330" i="21" s="1"/>
  <c r="J210" i="21" l="1"/>
  <c r="T210" i="21" s="1"/>
  <c r="D211" i="21" s="1"/>
  <c r="C211" i="21" s="1"/>
  <c r="E331" i="21"/>
  <c r="F331" i="21" s="1"/>
  <c r="B332" i="21"/>
  <c r="G211" i="21" l="1"/>
  <c r="H211" i="21" s="1"/>
  <c r="J211" i="21" s="1"/>
  <c r="T211" i="21" s="1"/>
  <c r="D212" i="21" s="1"/>
  <c r="C212" i="21" s="1"/>
  <c r="I36" i="33"/>
  <c r="E332" i="21"/>
  <c r="F332" i="21" s="1"/>
  <c r="B333" i="21"/>
  <c r="G212" i="21" l="1"/>
  <c r="H212" i="21" s="1"/>
  <c r="J212" i="21" s="1"/>
  <c r="T212" i="21" s="1"/>
  <c r="D213" i="21" s="1"/>
  <c r="C213" i="21" s="1"/>
  <c r="E333" i="21"/>
  <c r="F333" i="21" s="1"/>
  <c r="B334" i="21"/>
  <c r="G213" i="21" l="1"/>
  <c r="H213" i="21" s="1"/>
  <c r="J213" i="21" s="1"/>
  <c r="T213" i="21" s="1"/>
  <c r="D214" i="21" s="1"/>
  <c r="E334" i="21"/>
  <c r="F334" i="21" s="1"/>
  <c r="B335" i="21"/>
  <c r="G214" i="21" l="1"/>
  <c r="H214" i="21" s="1"/>
  <c r="J214" i="21" s="1"/>
  <c r="T214" i="21" s="1"/>
  <c r="D215" i="21" s="1"/>
  <c r="C214" i="21"/>
  <c r="E335" i="21"/>
  <c r="F335" i="21" s="1"/>
  <c r="B336" i="21"/>
  <c r="C215" i="21" l="1"/>
  <c r="G215" i="21"/>
  <c r="H215" i="21" s="1"/>
  <c r="J215" i="21" s="1"/>
  <c r="T215" i="21" s="1"/>
  <c r="D216" i="21" s="1"/>
  <c r="E336" i="21"/>
  <c r="F336" i="21" s="1"/>
  <c r="B337" i="21"/>
  <c r="G216" i="21" l="1"/>
  <c r="H216" i="21" s="1"/>
  <c r="J216" i="21" s="1"/>
  <c r="T216" i="21" s="1"/>
  <c r="D217" i="21" s="1"/>
  <c r="C216" i="21"/>
  <c r="B338" i="21"/>
  <c r="E337" i="21"/>
  <c r="F337" i="21" s="1"/>
  <c r="C217" i="21" l="1"/>
  <c r="G217" i="21"/>
  <c r="H217" i="21" s="1"/>
  <c r="J36" i="33" s="1"/>
  <c r="E338" i="21"/>
  <c r="F338" i="21" s="1"/>
  <c r="B339" i="21"/>
  <c r="E339" i="21" l="1"/>
  <c r="F339" i="21" s="1"/>
  <c r="B340" i="21"/>
  <c r="J217" i="21"/>
  <c r="T217" i="21" s="1"/>
  <c r="D218" i="21" s="1"/>
  <c r="C218" i="21" l="1"/>
  <c r="I37" i="33"/>
  <c r="G218" i="21"/>
  <c r="H218" i="21" s="1"/>
  <c r="J218" i="21" s="1"/>
  <c r="T218" i="21" s="1"/>
  <c r="D219" i="21" s="1"/>
  <c r="B341" i="21"/>
  <c r="E340" i="21"/>
  <c r="F340" i="21" s="1"/>
  <c r="C219" i="21" l="1"/>
  <c r="G219" i="21"/>
  <c r="H219" i="21" s="1"/>
  <c r="J219" i="21" s="1"/>
  <c r="T219" i="21" s="1"/>
  <c r="D220" i="21" s="1"/>
  <c r="B342" i="21"/>
  <c r="E341" i="21"/>
  <c r="F341" i="21" s="1"/>
  <c r="G220" i="21" l="1"/>
  <c r="H220" i="21" s="1"/>
  <c r="J220" i="21" s="1"/>
  <c r="T220" i="21" s="1"/>
  <c r="D221" i="21" s="1"/>
  <c r="C220" i="21"/>
  <c r="E342" i="21"/>
  <c r="F342" i="21" s="1"/>
  <c r="B343" i="21"/>
  <c r="C221" i="21" l="1"/>
  <c r="G221" i="21"/>
  <c r="H221" i="21" s="1"/>
  <c r="J221" i="21" s="1"/>
  <c r="T221" i="21" s="1"/>
  <c r="D222" i="21" s="1"/>
  <c r="E343" i="21"/>
  <c r="F343" i="21" s="1"/>
  <c r="B344" i="21"/>
  <c r="G222" i="21" l="1"/>
  <c r="H222" i="21" s="1"/>
  <c r="J222" i="21" s="1"/>
  <c r="T222" i="21" s="1"/>
  <c r="D223" i="21" s="1"/>
  <c r="C222" i="21"/>
  <c r="B345" i="21"/>
  <c r="E344" i="21"/>
  <c r="F344" i="21" s="1"/>
  <c r="G223" i="21" l="1"/>
  <c r="H223" i="21" s="1"/>
  <c r="J223" i="21" s="1"/>
  <c r="T223" i="21" s="1"/>
  <c r="D224" i="21" s="1"/>
  <c r="C223" i="21"/>
  <c r="E345" i="21"/>
  <c r="F345" i="21" s="1"/>
  <c r="B346" i="21"/>
  <c r="G224" i="21" l="1"/>
  <c r="H224" i="21" s="1"/>
  <c r="J37" i="33" s="1"/>
  <c r="C224" i="21"/>
  <c r="E346" i="21"/>
  <c r="F346" i="21" s="1"/>
  <c r="B347" i="21"/>
  <c r="E347" i="21" l="1"/>
  <c r="F347" i="21" s="1"/>
  <c r="B348" i="21"/>
  <c r="J224" i="21"/>
  <c r="T224" i="21" s="1"/>
  <c r="D225" i="21" s="1"/>
  <c r="C225" i="21" l="1"/>
  <c r="G225" i="21"/>
  <c r="H225" i="21" s="1"/>
  <c r="J225" i="21" s="1"/>
  <c r="T225" i="21" s="1"/>
  <c r="D226" i="21" s="1"/>
  <c r="I38" i="33"/>
  <c r="B349" i="21"/>
  <c r="E348" i="21"/>
  <c r="F348" i="21" s="1"/>
  <c r="G226" i="21" l="1"/>
  <c r="H226" i="21" s="1"/>
  <c r="J226" i="21" s="1"/>
  <c r="T226" i="21" s="1"/>
  <c r="D227" i="21" s="1"/>
  <c r="C226" i="21"/>
  <c r="E349" i="21"/>
  <c r="F349" i="21" s="1"/>
  <c r="B350" i="21"/>
  <c r="C227" i="21" l="1"/>
  <c r="I15" i="34"/>
  <c r="K7" i="31"/>
  <c r="L7" i="31" s="1"/>
  <c r="G227" i="21"/>
  <c r="H227" i="21" s="1"/>
  <c r="J227" i="21" s="1"/>
  <c r="T227" i="21" s="1"/>
  <c r="D228" i="21" s="1"/>
  <c r="B351" i="21"/>
  <c r="E350" i="21"/>
  <c r="F350" i="21" s="1"/>
  <c r="F27" i="31"/>
  <c r="J14" i="34"/>
  <c r="C228" i="21" l="1"/>
  <c r="G228" i="21"/>
  <c r="H228" i="21" s="1"/>
  <c r="J228" i="21" s="1"/>
  <c r="T228" i="21" s="1"/>
  <c r="D229" i="21" s="1"/>
  <c r="B352" i="21"/>
  <c r="E351" i="21"/>
  <c r="F351" i="21" s="1"/>
  <c r="G229" i="21" l="1"/>
  <c r="H229" i="21" s="1"/>
  <c r="J229" i="21" s="1"/>
  <c r="T229" i="21" s="1"/>
  <c r="D230" i="21" s="1"/>
  <c r="C229" i="21"/>
  <c r="E352" i="21"/>
  <c r="F352" i="21" s="1"/>
  <c r="B353" i="21"/>
  <c r="G230" i="21" l="1"/>
  <c r="H230" i="21" s="1"/>
  <c r="J230" i="21" s="1"/>
  <c r="T230" i="21" s="1"/>
  <c r="D231" i="21" s="1"/>
  <c r="C230" i="21"/>
  <c r="B354" i="21"/>
  <c r="E353" i="21"/>
  <c r="F353" i="21" s="1"/>
  <c r="C231" i="21" l="1"/>
  <c r="G231" i="21"/>
  <c r="H231" i="21" s="1"/>
  <c r="J231" i="21" s="1"/>
  <c r="T231" i="21" s="1"/>
  <c r="D232" i="21" s="1"/>
  <c r="B355" i="21"/>
  <c r="E354" i="21"/>
  <c r="F354" i="21" s="1"/>
  <c r="G232" i="21" l="1"/>
  <c r="H232" i="21" s="1"/>
  <c r="J232" i="21" s="1"/>
  <c r="T232" i="21" s="1"/>
  <c r="D233" i="21" s="1"/>
  <c r="C232" i="21"/>
  <c r="I39" i="33"/>
  <c r="J38" i="33"/>
  <c r="B356" i="21"/>
  <c r="E355" i="21"/>
  <c r="F355" i="21" s="1"/>
  <c r="C233" i="21" l="1"/>
  <c r="G233" i="21"/>
  <c r="H233" i="21" s="1"/>
  <c r="B357" i="21"/>
  <c r="E356" i="21"/>
  <c r="F356" i="21" s="1"/>
  <c r="E357" i="21" l="1"/>
  <c r="F357" i="21" s="1"/>
  <c r="B358" i="21"/>
  <c r="J233" i="21"/>
  <c r="T233" i="21" s="1"/>
  <c r="D234" i="21" s="1"/>
  <c r="G234" i="21" l="1"/>
  <c r="H234" i="21" s="1"/>
  <c r="C234" i="21"/>
  <c r="E358" i="21"/>
  <c r="F358" i="21" s="1"/>
  <c r="B359" i="21"/>
  <c r="B360" i="21" l="1"/>
  <c r="E359" i="21"/>
  <c r="F359" i="21" s="1"/>
  <c r="J234" i="21"/>
  <c r="T234" i="21" s="1"/>
  <c r="D235" i="21" s="1"/>
  <c r="G235" i="21" l="1"/>
  <c r="H235" i="21" s="1"/>
  <c r="J235" i="21" s="1"/>
  <c r="T235" i="21" s="1"/>
  <c r="D236" i="21" s="1"/>
  <c r="C235" i="21"/>
  <c r="E360" i="21"/>
  <c r="F360" i="21" s="1"/>
  <c r="B361" i="21"/>
  <c r="G236" i="21" l="1"/>
  <c r="H236" i="21" s="1"/>
  <c r="J236" i="21" s="1"/>
  <c r="T236" i="21" s="1"/>
  <c r="D237" i="21" s="1"/>
  <c r="C236" i="21"/>
  <c r="B362" i="21"/>
  <c r="E361" i="21"/>
  <c r="F361" i="21" s="1"/>
  <c r="C237" i="21" l="1"/>
  <c r="G237" i="21"/>
  <c r="H237" i="21" s="1"/>
  <c r="J237" i="21" s="1"/>
  <c r="T237" i="21" s="1"/>
  <c r="D238" i="21" s="1"/>
  <c r="E362" i="21"/>
  <c r="F362" i="21" s="1"/>
  <c r="B363" i="21"/>
  <c r="G238" i="21" l="1"/>
  <c r="H238" i="21" s="1"/>
  <c r="J39" i="33" s="1"/>
  <c r="C238" i="21"/>
  <c r="E363" i="21"/>
  <c r="F363" i="21" s="1"/>
  <c r="B364" i="21"/>
  <c r="B365" i="21" l="1"/>
  <c r="E364" i="21"/>
  <c r="F364" i="21" s="1"/>
  <c r="J238" i="21"/>
  <c r="T238" i="21" s="1"/>
  <c r="D239" i="21" s="1"/>
  <c r="C239" i="21" l="1"/>
  <c r="G239" i="21"/>
  <c r="H239" i="21" s="1"/>
  <c r="I40" i="33"/>
  <c r="B366" i="21"/>
  <c r="E365" i="21"/>
  <c r="F365" i="21" s="1"/>
  <c r="B367" i="21" l="1"/>
  <c r="E366" i="21"/>
  <c r="F366" i="21" s="1"/>
  <c r="J239" i="21"/>
  <c r="T239" i="21" s="1"/>
  <c r="D240" i="21" s="1"/>
  <c r="B368" i="21" l="1"/>
  <c r="E367" i="21"/>
  <c r="F367" i="21" s="1"/>
  <c r="G240" i="21"/>
  <c r="H240" i="21" s="1"/>
  <c r="J240" i="21" s="1"/>
  <c r="T240" i="21" s="1"/>
  <c r="D241" i="21" s="1"/>
  <c r="C240" i="21"/>
  <c r="C241" i="21" l="1"/>
  <c r="G241" i="21"/>
  <c r="H241" i="21" s="1"/>
  <c r="J241" i="21" s="1"/>
  <c r="T241" i="21" s="1"/>
  <c r="D242" i="21" s="1"/>
  <c r="E368" i="21"/>
  <c r="F368" i="21" s="1"/>
  <c r="B369" i="21"/>
  <c r="C242" i="21" l="1"/>
  <c r="G242" i="21"/>
  <c r="H242" i="21" s="1"/>
  <c r="J242" i="21" s="1"/>
  <c r="T242" i="21" s="1"/>
  <c r="D243" i="21" s="1"/>
  <c r="B370" i="21"/>
  <c r="E369" i="21"/>
  <c r="F369" i="21" s="1"/>
  <c r="C243" i="21" l="1"/>
  <c r="G243" i="21"/>
  <c r="H243" i="21" s="1"/>
  <c r="J243" i="21" s="1"/>
  <c r="T243" i="21" s="1"/>
  <c r="D244" i="21" s="1"/>
  <c r="B371" i="21"/>
  <c r="E370" i="21"/>
  <c r="F370" i="21" s="1"/>
  <c r="G244" i="21" l="1"/>
  <c r="H244" i="21" s="1"/>
  <c r="J244" i="21" s="1"/>
  <c r="T244" i="21" s="1"/>
  <c r="D245" i="21" s="1"/>
  <c r="C244" i="21"/>
  <c r="B372" i="21"/>
  <c r="E371" i="21"/>
  <c r="F371" i="21" s="1"/>
  <c r="G245" i="21" l="1"/>
  <c r="H245" i="21" s="1"/>
  <c r="J40" i="33" s="1"/>
  <c r="C245" i="21"/>
  <c r="B373" i="21"/>
  <c r="E372" i="21"/>
  <c r="F372" i="21" s="1"/>
  <c r="B374" i="21" l="1"/>
  <c r="E373" i="21"/>
  <c r="F373" i="21" s="1"/>
  <c r="J245" i="21"/>
  <c r="T245" i="21" s="1"/>
  <c r="D246" i="21" s="1"/>
  <c r="G246" i="21" l="1"/>
  <c r="H246" i="21" s="1"/>
  <c r="J246" i="21" s="1"/>
  <c r="T246" i="21" s="1"/>
  <c r="D247" i="21" s="1"/>
  <c r="C246" i="21"/>
  <c r="I41" i="33"/>
  <c r="E374" i="21"/>
  <c r="F374" i="21" s="1"/>
  <c r="B375" i="21"/>
  <c r="G247" i="21" l="1"/>
  <c r="H247" i="21" s="1"/>
  <c r="J247" i="21" s="1"/>
  <c r="T247" i="21" s="1"/>
  <c r="D248" i="21" s="1"/>
  <c r="C247" i="21"/>
  <c r="B376" i="21"/>
  <c r="E375" i="21"/>
  <c r="F375" i="21" s="1"/>
  <c r="C248" i="21" l="1"/>
  <c r="G248" i="21"/>
  <c r="H248" i="21" s="1"/>
  <c r="B377" i="21"/>
  <c r="E376" i="21"/>
  <c r="F376" i="21" s="1"/>
  <c r="B378" i="21" l="1"/>
  <c r="E377" i="21"/>
  <c r="F377" i="21" s="1"/>
  <c r="J248" i="21"/>
  <c r="T248" i="21" s="1"/>
  <c r="D249" i="21" s="1"/>
  <c r="G249" i="21" l="1"/>
  <c r="H249" i="21" s="1"/>
  <c r="J249" i="21" s="1"/>
  <c r="T249" i="21" s="1"/>
  <c r="D250" i="21" s="1"/>
  <c r="C249" i="21"/>
  <c r="E378" i="21"/>
  <c r="F378" i="21" s="1"/>
  <c r="B379" i="21"/>
  <c r="E379" i="21" s="1"/>
  <c r="F379" i="21" s="1"/>
  <c r="C250" i="21" l="1"/>
  <c r="G250" i="21"/>
  <c r="H250" i="21" s="1"/>
  <c r="J250" i="21" s="1"/>
  <c r="T250" i="21" s="1"/>
  <c r="D251" i="21" s="1"/>
  <c r="C251" i="21" l="1"/>
  <c r="G251" i="21"/>
  <c r="H251" i="21" s="1"/>
  <c r="J251" i="21" s="1"/>
  <c r="T251" i="21" s="1"/>
  <c r="D252" i="21" s="1"/>
  <c r="G252" i="21" l="1"/>
  <c r="H252" i="21" s="1"/>
  <c r="J41" i="33" s="1"/>
  <c r="C252" i="21"/>
  <c r="J252" i="21" l="1"/>
  <c r="T252" i="21" s="1"/>
  <c r="D253" i="21" s="1"/>
  <c r="G253" i="21" l="1"/>
  <c r="H253" i="21" s="1"/>
  <c r="J253" i="21" s="1"/>
  <c r="T253" i="21" s="1"/>
  <c r="D254" i="21" s="1"/>
  <c r="I42" i="33"/>
  <c r="C253" i="21"/>
  <c r="C254" i="21" l="1"/>
  <c r="G254" i="21"/>
  <c r="H254" i="21" s="1"/>
  <c r="J254" i="21" s="1"/>
  <c r="T254" i="21" s="1"/>
  <c r="D255" i="21" s="1"/>
  <c r="G255" i="21" l="1"/>
  <c r="H255" i="21" s="1"/>
  <c r="J255" i="21" s="1"/>
  <c r="T255" i="21" s="1"/>
  <c r="D256" i="21" s="1"/>
  <c r="C255" i="21"/>
  <c r="G256" i="21" l="1"/>
  <c r="H256" i="21" s="1"/>
  <c r="J15" i="34" s="1"/>
  <c r="C256" i="21"/>
  <c r="J256" i="21" l="1"/>
  <c r="T256" i="21" s="1"/>
  <c r="D257" i="21" s="1"/>
  <c r="C257" i="21" s="1"/>
  <c r="G257" i="21" l="1"/>
  <c r="H257" i="21" s="1"/>
  <c r="J257" i="21" s="1"/>
  <c r="T257" i="21" s="1"/>
  <c r="D258" i="21" s="1"/>
  <c r="I16" i="34"/>
  <c r="G258" i="21" l="1"/>
  <c r="H258" i="21" s="1"/>
  <c r="J258" i="21" s="1"/>
  <c r="T258" i="21" s="1"/>
  <c r="D259" i="21" s="1"/>
  <c r="C258" i="21"/>
  <c r="C259" i="21" l="1"/>
  <c r="G259" i="21"/>
  <c r="H259" i="21" s="1"/>
  <c r="J42" i="33" s="1"/>
  <c r="J259" i="21" l="1"/>
  <c r="T259" i="21" s="1"/>
  <c r="D260" i="21" s="1"/>
  <c r="I43" i="33" l="1"/>
  <c r="C260" i="21"/>
  <c r="G260" i="21"/>
  <c r="H260" i="21" s="1"/>
  <c r="J260" i="21" l="1"/>
  <c r="T260" i="21" s="1"/>
  <c r="D261" i="21" s="1"/>
  <c r="C261" i="21" l="1"/>
  <c r="G261" i="21"/>
  <c r="H261" i="21" s="1"/>
  <c r="J261" i="21" l="1"/>
  <c r="T261" i="21" s="1"/>
  <c r="D262" i="21" s="1"/>
  <c r="C262" i="21" l="1"/>
  <c r="G262" i="21"/>
  <c r="H262" i="21" s="1"/>
  <c r="J262" i="21" l="1"/>
  <c r="T262" i="21" s="1"/>
  <c r="D263" i="21" s="1"/>
  <c r="C263" i="21" l="1"/>
  <c r="G263" i="21"/>
  <c r="H263" i="21" s="1"/>
  <c r="J263" i="21" s="1"/>
  <c r="T263" i="21" s="1"/>
  <c r="D264" i="21" s="1"/>
  <c r="C264" i="21" l="1"/>
  <c r="G264" i="21"/>
  <c r="H264" i="21" s="1"/>
  <c r="J264" i="21" s="1"/>
  <c r="T264" i="21" s="1"/>
  <c r="D265" i="21" s="1"/>
  <c r="G265" i="21" l="1"/>
  <c r="H265" i="21" s="1"/>
  <c r="J265" i="21" s="1"/>
  <c r="T265" i="21" s="1"/>
  <c r="D266" i="21" s="1"/>
  <c r="C265" i="21"/>
  <c r="G266" i="21" l="1"/>
  <c r="H266" i="21" s="1"/>
  <c r="J43" i="33" s="1"/>
  <c r="C266" i="21"/>
  <c r="J266" i="21" l="1"/>
  <c r="T266" i="21" s="1"/>
  <c r="D267" i="21" s="1"/>
  <c r="C267" i="21" l="1"/>
  <c r="G267" i="21"/>
  <c r="H267" i="21" s="1"/>
  <c r="J267" i="21" s="1"/>
  <c r="T267" i="21" s="1"/>
  <c r="D268" i="21" s="1"/>
  <c r="I44" i="33"/>
  <c r="G268" i="21" l="1"/>
  <c r="H268" i="21" s="1"/>
  <c r="J268" i="21" s="1"/>
  <c r="T268" i="21" s="1"/>
  <c r="D269" i="21" s="1"/>
  <c r="C268" i="21"/>
  <c r="C269" i="21" l="1"/>
  <c r="G269" i="21"/>
  <c r="H269" i="21" s="1"/>
  <c r="J269" i="21" s="1"/>
  <c r="T269" i="21" s="1"/>
  <c r="D270" i="21" s="1"/>
  <c r="C270" i="21" l="1"/>
  <c r="G270" i="21"/>
  <c r="H270" i="21" s="1"/>
  <c r="J270" i="21" s="1"/>
  <c r="T270" i="21" s="1"/>
  <c r="D271" i="21" s="1"/>
  <c r="G271" i="21" l="1"/>
  <c r="H271" i="21" s="1"/>
  <c r="J271" i="21" s="1"/>
  <c r="T271" i="21" s="1"/>
  <c r="D272" i="21" s="1"/>
  <c r="C271" i="21"/>
  <c r="C272" i="21" l="1"/>
  <c r="G272" i="21"/>
  <c r="H272" i="21" s="1"/>
  <c r="J272" i="21" s="1"/>
  <c r="T272" i="21" s="1"/>
  <c r="D273" i="21" s="1"/>
  <c r="G273" i="21" l="1"/>
  <c r="H273" i="21" s="1"/>
  <c r="J44" i="33" s="1"/>
  <c r="C273" i="21"/>
  <c r="J273" i="21" l="1"/>
  <c r="T273" i="21" s="1"/>
  <c r="D274" i="21" s="1"/>
  <c r="C274" i="21" s="1"/>
  <c r="I45" i="33" l="1"/>
  <c r="G274" i="21"/>
  <c r="H274" i="21" s="1"/>
  <c r="J274" i="21" s="1"/>
  <c r="T274" i="21" s="1"/>
  <c r="D275" i="21" s="1"/>
  <c r="C275" i="21" s="1"/>
  <c r="G275" i="21" l="1"/>
  <c r="H275" i="21" s="1"/>
  <c r="J275" i="21" s="1"/>
  <c r="T275" i="21" s="1"/>
  <c r="D276" i="21" s="1"/>
  <c r="C276" i="21" s="1"/>
  <c r="G276" i="21" l="1"/>
  <c r="H276" i="21" s="1"/>
  <c r="J276" i="21" s="1"/>
  <c r="T276" i="21" s="1"/>
  <c r="D277" i="21" s="1"/>
  <c r="G277" i="21" s="1"/>
  <c r="H277" i="21" s="1"/>
  <c r="J277" i="21" s="1"/>
  <c r="T277" i="21" s="1"/>
  <c r="D278" i="21" s="1"/>
  <c r="C277" i="21" l="1"/>
  <c r="G278" i="21"/>
  <c r="H278" i="21" s="1"/>
  <c r="J278" i="21" s="1"/>
  <c r="T278" i="21" s="1"/>
  <c r="D279" i="21" s="1"/>
  <c r="C278" i="21"/>
  <c r="C279" i="21" l="1"/>
  <c r="G279" i="21"/>
  <c r="H279" i="21" s="1"/>
  <c r="J279" i="21" s="1"/>
  <c r="T279" i="21" s="1"/>
  <c r="D280" i="21" s="1"/>
  <c r="C280" i="21" l="1"/>
  <c r="G280" i="21"/>
  <c r="H280" i="21" s="1"/>
  <c r="J45" i="33" s="1"/>
  <c r="J280" i="21" l="1"/>
  <c r="T280" i="21" s="1"/>
  <c r="D281" i="21" s="1"/>
  <c r="C281" i="21" s="1"/>
  <c r="I46" i="33" l="1"/>
  <c r="G281" i="21"/>
  <c r="H281" i="21" s="1"/>
  <c r="J281" i="21" s="1"/>
  <c r="T281" i="21" s="1"/>
  <c r="D282" i="21" s="1"/>
  <c r="G282" i="21" l="1"/>
  <c r="H282" i="21" s="1"/>
  <c r="J282" i="21" s="1"/>
  <c r="T282" i="21" s="1"/>
  <c r="D283" i="21" s="1"/>
  <c r="C282" i="21"/>
  <c r="C283" i="21" l="1"/>
  <c r="G283" i="21"/>
  <c r="H283" i="21" s="1"/>
  <c r="J283" i="21" s="1"/>
  <c r="T283" i="21" s="1"/>
  <c r="D284" i="21" s="1"/>
  <c r="G284" i="21" l="1"/>
  <c r="H284" i="21" s="1"/>
  <c r="C284" i="21"/>
  <c r="J284" i="21" l="1"/>
  <c r="T284" i="21" s="1"/>
  <c r="D285" i="21" s="1"/>
  <c r="C285" i="21" l="1"/>
  <c r="G285" i="21"/>
  <c r="H285" i="21" s="1"/>
  <c r="J285" i="21" s="1"/>
  <c r="T285" i="21" s="1"/>
  <c r="D286" i="21" s="1"/>
  <c r="G286" i="21" l="1"/>
  <c r="H286" i="21" s="1"/>
  <c r="J286" i="21" s="1"/>
  <c r="T286" i="21" s="1"/>
  <c r="D287" i="21" s="1"/>
  <c r="C286" i="21"/>
  <c r="G287" i="21" l="1"/>
  <c r="H287" i="21" s="1"/>
  <c r="J287" i="21" s="1"/>
  <c r="T287" i="21" s="1"/>
  <c r="D288" i="21" s="1"/>
  <c r="C287" i="21"/>
  <c r="G288" i="21" l="1"/>
  <c r="H288" i="21" s="1"/>
  <c r="J288" i="21" s="1"/>
  <c r="T288" i="21" s="1"/>
  <c r="D289" i="21" s="1"/>
  <c r="I47" i="33"/>
  <c r="I17" i="34"/>
  <c r="C288" i="21"/>
  <c r="J16" i="34"/>
  <c r="J46" i="33"/>
  <c r="G289" i="21" l="1"/>
  <c r="H289" i="21" s="1"/>
  <c r="J289" i="21" s="1"/>
  <c r="T289" i="21" s="1"/>
  <c r="D290" i="21" s="1"/>
  <c r="C289" i="21"/>
  <c r="C290" i="21" l="1"/>
  <c r="G290" i="21"/>
  <c r="H290" i="21" s="1"/>
  <c r="J290" i="21" l="1"/>
  <c r="T290" i="21" s="1"/>
  <c r="D291" i="21" s="1"/>
  <c r="G291" i="21" l="1"/>
  <c r="H291" i="21" s="1"/>
  <c r="J291" i="21" s="1"/>
  <c r="T291" i="21" s="1"/>
  <c r="D292" i="21" s="1"/>
  <c r="C291" i="21"/>
  <c r="G292" i="21" l="1"/>
  <c r="H292" i="21" s="1"/>
  <c r="J292" i="21" s="1"/>
  <c r="T292" i="21" s="1"/>
  <c r="D293" i="21" s="1"/>
  <c r="C292" i="21"/>
  <c r="G293" i="21" l="1"/>
  <c r="H293" i="21" s="1"/>
  <c r="J293" i="21" s="1"/>
  <c r="T293" i="21" s="1"/>
  <c r="D294" i="21" s="1"/>
  <c r="C293" i="21"/>
  <c r="G294" i="21" l="1"/>
  <c r="H294" i="21" s="1"/>
  <c r="J294" i="21" s="1"/>
  <c r="T294" i="21" s="1"/>
  <c r="D295" i="21" s="1"/>
  <c r="C294" i="21"/>
  <c r="J47" i="33" l="1"/>
  <c r="G295" i="21"/>
  <c r="H295" i="21" s="1"/>
  <c r="J295" i="21" s="1"/>
  <c r="T295" i="21" s="1"/>
  <c r="D296" i="21" s="1"/>
  <c r="I48" i="33"/>
  <c r="C295" i="21"/>
  <c r="C296" i="21" l="1"/>
  <c r="G296" i="21"/>
  <c r="H296" i="21" s="1"/>
  <c r="J296" i="21" s="1"/>
  <c r="T296" i="21" s="1"/>
  <c r="D297" i="21" s="1"/>
  <c r="C297" i="21" l="1"/>
  <c r="G297" i="21"/>
  <c r="H297" i="21" s="1"/>
  <c r="J297" i="21" s="1"/>
  <c r="T297" i="21" s="1"/>
  <c r="D298" i="21" s="1"/>
  <c r="G298" i="21" l="1"/>
  <c r="H298" i="21" s="1"/>
  <c r="J298" i="21" s="1"/>
  <c r="T298" i="21" s="1"/>
  <c r="D299" i="21" s="1"/>
  <c r="C298" i="21"/>
  <c r="C299" i="21" l="1"/>
  <c r="G299" i="21"/>
  <c r="H299" i="21" s="1"/>
  <c r="J299" i="21" l="1"/>
  <c r="T299" i="21" s="1"/>
  <c r="D300" i="21" s="1"/>
  <c r="G300" i="21" l="1"/>
  <c r="H300" i="21" s="1"/>
  <c r="J300" i="21" s="1"/>
  <c r="T300" i="21" s="1"/>
  <c r="D301" i="21" s="1"/>
  <c r="C300" i="21"/>
  <c r="C301" i="21" l="1"/>
  <c r="G301" i="21"/>
  <c r="H301" i="21" s="1"/>
  <c r="J48" i="33" s="1"/>
  <c r="J301" i="21" l="1"/>
  <c r="T301" i="21" s="1"/>
  <c r="D302" i="21" s="1"/>
  <c r="G302" i="21" l="1"/>
  <c r="H302" i="21" s="1"/>
  <c r="J302" i="21" s="1"/>
  <c r="T302" i="21" s="1"/>
  <c r="D303" i="21" s="1"/>
  <c r="I49" i="33"/>
  <c r="C302" i="21"/>
  <c r="C303" i="21" l="1"/>
  <c r="G303" i="21"/>
  <c r="H303" i="21" s="1"/>
  <c r="J303" i="21" s="1"/>
  <c r="T303" i="21" s="1"/>
  <c r="D304" i="21" s="1"/>
  <c r="C304" i="21" l="1"/>
  <c r="G304" i="21"/>
  <c r="H304" i="21" s="1"/>
  <c r="J304" i="21" s="1"/>
  <c r="T304" i="21" s="1"/>
  <c r="D305" i="21" s="1"/>
  <c r="C305" i="21" l="1"/>
  <c r="G305" i="21"/>
  <c r="H305" i="21" s="1"/>
  <c r="J305" i="21" s="1"/>
  <c r="T305" i="21" s="1"/>
  <c r="D306" i="21" s="1"/>
  <c r="C306" i="21" l="1"/>
  <c r="G306" i="21"/>
  <c r="H306" i="21" s="1"/>
  <c r="J306" i="21" s="1"/>
  <c r="T306" i="21" s="1"/>
  <c r="D307" i="21" s="1"/>
  <c r="G307" i="21" l="1"/>
  <c r="H307" i="21" s="1"/>
  <c r="J307" i="21" s="1"/>
  <c r="T307" i="21" s="1"/>
  <c r="D308" i="21" s="1"/>
  <c r="C307" i="21"/>
  <c r="C308" i="21" l="1"/>
  <c r="G308" i="21"/>
  <c r="H308" i="21" s="1"/>
  <c r="J49" i="33" s="1"/>
  <c r="J308" i="21" l="1"/>
  <c r="T308" i="21" s="1"/>
  <c r="D309" i="21" s="1"/>
  <c r="I50" i="33" l="1"/>
  <c r="C309" i="21"/>
  <c r="G309" i="21"/>
  <c r="H309" i="21" s="1"/>
  <c r="J309" i="21" s="1"/>
  <c r="T309" i="21" s="1"/>
  <c r="D310" i="21" s="1"/>
  <c r="C310" i="21" l="1"/>
  <c r="G310" i="21"/>
  <c r="H310" i="21" s="1"/>
  <c r="J310" i="21" s="1"/>
  <c r="T310" i="21" s="1"/>
  <c r="D311" i="21" s="1"/>
  <c r="G311" i="21" l="1"/>
  <c r="H311" i="21" s="1"/>
  <c r="J311" i="21" s="1"/>
  <c r="T311" i="21" s="1"/>
  <c r="D312" i="21" s="1"/>
  <c r="C311" i="21"/>
  <c r="G312" i="21" l="1"/>
  <c r="H312" i="21" s="1"/>
  <c r="C312" i="21"/>
  <c r="J312" i="21" l="1"/>
  <c r="T312" i="21" s="1"/>
  <c r="D313" i="21" s="1"/>
  <c r="C313" i="21" l="1"/>
  <c r="G313" i="21"/>
  <c r="H313" i="21" s="1"/>
  <c r="J313" i="21" s="1"/>
  <c r="T313" i="21" s="1"/>
  <c r="D314" i="21" s="1"/>
  <c r="C314" i="21" l="1"/>
  <c r="G314" i="21"/>
  <c r="H314" i="21" s="1"/>
  <c r="J314" i="21" s="1"/>
  <c r="T314" i="21" s="1"/>
  <c r="D315" i="21" s="1"/>
  <c r="C315" i="21" l="1"/>
  <c r="G315" i="21"/>
  <c r="H315" i="21" s="1"/>
  <c r="J50" i="33" s="1"/>
  <c r="J315" i="21" l="1"/>
  <c r="T315" i="21" s="1"/>
  <c r="D316" i="21" s="1"/>
  <c r="I51" i="33" l="1"/>
  <c r="C316" i="21"/>
  <c r="G316" i="21"/>
  <c r="H316" i="21" s="1"/>
  <c r="J316" i="21" l="1"/>
  <c r="T316" i="21" s="1"/>
  <c r="D317" i="21" s="1"/>
  <c r="C317" i="21" l="1"/>
  <c r="G317" i="21"/>
  <c r="H317" i="21" s="1"/>
  <c r="J317" i="21" l="1"/>
  <c r="T317" i="21" s="1"/>
  <c r="D318" i="21" s="1"/>
  <c r="G318" i="21" l="1"/>
  <c r="H318" i="21" s="1"/>
  <c r="C318" i="21"/>
  <c r="J17" i="34" l="1"/>
  <c r="J318" i="21"/>
  <c r="T318" i="21" s="1"/>
  <c r="D319" i="21" s="1"/>
  <c r="I18" i="34" l="1"/>
  <c r="C319" i="21"/>
  <c r="G319" i="21"/>
  <c r="H319" i="21" s="1"/>
  <c r="J319" i="21" s="1"/>
  <c r="T319" i="21" s="1"/>
  <c r="D320" i="21" s="1"/>
  <c r="C320" i="21" l="1"/>
  <c r="G320" i="21"/>
  <c r="H320" i="21" s="1"/>
  <c r="J320" i="21" l="1"/>
  <c r="T320" i="21" s="1"/>
  <c r="D321" i="21" s="1"/>
  <c r="G321" i="21" l="1"/>
  <c r="H321" i="21" s="1"/>
  <c r="J321" i="21" s="1"/>
  <c r="T321" i="21" s="1"/>
  <c r="D322" i="21" s="1"/>
  <c r="C321" i="21"/>
  <c r="C322" i="21" l="1"/>
  <c r="G322" i="21"/>
  <c r="H322" i="21" s="1"/>
  <c r="J51" i="33" s="1"/>
  <c r="J322" i="21" l="1"/>
  <c r="T322" i="21" s="1"/>
  <c r="D323" i="21" s="1"/>
  <c r="I52" i="33" l="1"/>
  <c r="G323" i="21"/>
  <c r="H323" i="21" s="1"/>
  <c r="C323" i="21"/>
  <c r="J323" i="21" l="1"/>
  <c r="T323" i="21" s="1"/>
  <c r="D324" i="21" s="1"/>
  <c r="G324" i="21" l="1"/>
  <c r="H324" i="21" s="1"/>
  <c r="J324" i="21" s="1"/>
  <c r="T324" i="21" s="1"/>
  <c r="D325" i="21" s="1"/>
  <c r="C324" i="21"/>
  <c r="C325" i="21" l="1"/>
  <c r="G325" i="21"/>
  <c r="H325" i="21" s="1"/>
  <c r="J325" i="21" s="1"/>
  <c r="T325" i="21" s="1"/>
  <c r="D326" i="21" s="1"/>
  <c r="G326" i="21" l="1"/>
  <c r="H326" i="21" s="1"/>
  <c r="J326" i="21" s="1"/>
  <c r="T326" i="21" s="1"/>
  <c r="D327" i="21" s="1"/>
  <c r="C326" i="21"/>
  <c r="C327" i="21" l="1"/>
  <c r="G327" i="21"/>
  <c r="H327" i="21" s="1"/>
  <c r="J327" i="21" s="1"/>
  <c r="T327" i="21" s="1"/>
  <c r="D328" i="21" s="1"/>
  <c r="C328" i="21" l="1"/>
  <c r="G328" i="21"/>
  <c r="H328" i="21" s="1"/>
  <c r="J328" i="21" s="1"/>
  <c r="T328" i="21" s="1"/>
  <c r="D329" i="21" s="1"/>
  <c r="G329" i="21" l="1"/>
  <c r="H329" i="21" s="1"/>
  <c r="J52" i="33" s="1"/>
  <c r="C329" i="21"/>
  <c r="J329" i="21" l="1"/>
  <c r="T329" i="21" s="1"/>
  <c r="D330" i="21" s="1"/>
  <c r="C330" i="21" l="1"/>
  <c r="I53" i="33"/>
  <c r="G330" i="21"/>
  <c r="H330" i="21" s="1"/>
  <c r="J330" i="21" l="1"/>
  <c r="T330" i="21" s="1"/>
  <c r="D331" i="21" s="1"/>
  <c r="C331" i="21" l="1"/>
  <c r="G331" i="21"/>
  <c r="H331" i="21" s="1"/>
  <c r="J331" i="21" l="1"/>
  <c r="T331" i="21" s="1"/>
  <c r="D332" i="21" s="1"/>
  <c r="G332" i="21" l="1"/>
  <c r="H332" i="21" s="1"/>
  <c r="J332" i="21" s="1"/>
  <c r="T332" i="21" s="1"/>
  <c r="D333" i="21" s="1"/>
  <c r="C332" i="21"/>
  <c r="G333" i="21" l="1"/>
  <c r="H333" i="21" s="1"/>
  <c r="J333" i="21" s="1"/>
  <c r="T333" i="21" s="1"/>
  <c r="D334" i="21" s="1"/>
  <c r="C333" i="21"/>
  <c r="C334" i="21" l="1"/>
  <c r="G334" i="21"/>
  <c r="H334" i="21" s="1"/>
  <c r="J334" i="21" s="1"/>
  <c r="T334" i="21" s="1"/>
  <c r="D335" i="21" s="1"/>
  <c r="G335" i="21" l="1"/>
  <c r="H335" i="21" s="1"/>
  <c r="J335" i="21" s="1"/>
  <c r="T335" i="21" s="1"/>
  <c r="D336" i="21" s="1"/>
  <c r="C335" i="21"/>
  <c r="G336" i="21" l="1"/>
  <c r="H336" i="21" s="1"/>
  <c r="J53" i="33" s="1"/>
  <c r="C336" i="21"/>
  <c r="J336" i="21" l="1"/>
  <c r="T336" i="21" s="1"/>
  <c r="D337" i="21" s="1"/>
  <c r="I54" i="33" l="1"/>
  <c r="C337" i="21"/>
  <c r="G337" i="21"/>
  <c r="H337" i="21" s="1"/>
  <c r="J337" i="21" s="1"/>
  <c r="T337" i="21" s="1"/>
  <c r="D338" i="21" s="1"/>
  <c r="C338" i="21" l="1"/>
  <c r="G338" i="21"/>
  <c r="H338" i="21" s="1"/>
  <c r="J338" i="21" s="1"/>
  <c r="T338" i="21" s="1"/>
  <c r="D339" i="21" s="1"/>
  <c r="C339" i="21" l="1"/>
  <c r="G339" i="21"/>
  <c r="H339" i="21" s="1"/>
  <c r="J339" i="21" l="1"/>
  <c r="T339" i="21" s="1"/>
  <c r="D340" i="21" s="1"/>
  <c r="C340" i="21" l="1"/>
  <c r="G340" i="21"/>
  <c r="H340" i="21" s="1"/>
  <c r="J340" i="21" s="1"/>
  <c r="T340" i="21" s="1"/>
  <c r="D341" i="21" s="1"/>
  <c r="G341" i="21" l="1"/>
  <c r="H341" i="21" s="1"/>
  <c r="J341" i="21" s="1"/>
  <c r="T341" i="21" s="1"/>
  <c r="D342" i="21" s="1"/>
  <c r="C341" i="21"/>
  <c r="G342" i="21" l="1"/>
  <c r="H342" i="21" s="1"/>
  <c r="J342" i="21" s="1"/>
  <c r="T342" i="21" s="1"/>
  <c r="D343" i="21" s="1"/>
  <c r="C342" i="21"/>
  <c r="C343" i="21" l="1"/>
  <c r="G343" i="21"/>
  <c r="H343" i="21" s="1"/>
  <c r="J54" i="33" s="1"/>
  <c r="J343" i="21" l="1"/>
  <c r="T343" i="21" s="1"/>
  <c r="D344" i="21" s="1"/>
  <c r="I55" i="33" s="1"/>
  <c r="G344" i="21"/>
  <c r="H344" i="21" s="1"/>
  <c r="J344" i="21" s="1"/>
  <c r="T344" i="21" s="1"/>
  <c r="D345" i="21" s="1"/>
  <c r="C344" i="21"/>
  <c r="C345" i="21" l="1"/>
  <c r="G345" i="21"/>
  <c r="H345" i="21" s="1"/>
  <c r="J345" i="21" l="1"/>
  <c r="T345" i="21" s="1"/>
  <c r="D346" i="21" s="1"/>
  <c r="G346" i="21" l="1"/>
  <c r="H346" i="21" s="1"/>
  <c r="J346" i="21" s="1"/>
  <c r="T346" i="21" s="1"/>
  <c r="D347" i="21" s="1"/>
  <c r="C346" i="21"/>
  <c r="C347" i="21" l="1"/>
  <c r="G347" i="21"/>
  <c r="H347" i="21" s="1"/>
  <c r="J347" i="21" s="1"/>
  <c r="T347" i="21" s="1"/>
  <c r="D348" i="21" s="1"/>
  <c r="C348" i="21" l="1"/>
  <c r="G348" i="21"/>
  <c r="H348" i="21" s="1"/>
  <c r="J18" i="34" s="1"/>
  <c r="J348" i="21" l="1"/>
  <c r="T348" i="21" s="1"/>
  <c r="D349" i="21" s="1"/>
  <c r="C349" i="21" l="1"/>
  <c r="G349" i="21"/>
  <c r="H349" i="21" s="1"/>
  <c r="J349" i="21" s="1"/>
  <c r="T349" i="21" s="1"/>
  <c r="D350" i="21" s="1"/>
  <c r="I19" i="34"/>
  <c r="G350" i="21" l="1"/>
  <c r="H350" i="21" s="1"/>
  <c r="J55" i="33" s="1"/>
  <c r="C350" i="21"/>
  <c r="J350" i="21" l="1"/>
  <c r="T350" i="21" s="1"/>
  <c r="D351" i="21" s="1"/>
  <c r="C351" i="21" l="1"/>
  <c r="I56" i="33"/>
  <c r="G351" i="21"/>
  <c r="H351" i="21" s="1"/>
  <c r="J351" i="21" s="1"/>
  <c r="T351" i="21" s="1"/>
  <c r="D352" i="21" s="1"/>
  <c r="C352" i="21" l="1"/>
  <c r="G352" i="21"/>
  <c r="H352" i="21" s="1"/>
  <c r="J352" i="21" s="1"/>
  <c r="T352" i="21" s="1"/>
  <c r="D353" i="21" s="1"/>
  <c r="C353" i="21" l="1"/>
  <c r="G353" i="21"/>
  <c r="H353" i="21" s="1"/>
  <c r="J353" i="21" s="1"/>
  <c r="T353" i="21" s="1"/>
  <c r="D354" i="21" s="1"/>
  <c r="G354" i="21" l="1"/>
  <c r="H354" i="21" s="1"/>
  <c r="J354" i="21" s="1"/>
  <c r="T354" i="21" s="1"/>
  <c r="D355" i="21" s="1"/>
  <c r="C354" i="21"/>
  <c r="G355" i="21" l="1"/>
  <c r="H355" i="21" s="1"/>
  <c r="J355" i="21" s="1"/>
  <c r="T355" i="21" s="1"/>
  <c r="D356" i="21" s="1"/>
  <c r="C355" i="21"/>
  <c r="G356" i="21" l="1"/>
  <c r="H356" i="21" s="1"/>
  <c r="C356" i="21"/>
  <c r="J356" i="21" l="1"/>
  <c r="T356" i="21" s="1"/>
  <c r="D357" i="21" s="1"/>
  <c r="C357" i="21" l="1"/>
  <c r="G357" i="21"/>
  <c r="H357" i="21" s="1"/>
  <c r="J56" i="33" s="1"/>
  <c r="J357" i="21" l="1"/>
  <c r="T357" i="21" s="1"/>
  <c r="D358" i="21" s="1"/>
  <c r="I57" i="33" l="1"/>
  <c r="G358" i="21"/>
  <c r="H358" i="21" s="1"/>
  <c r="C358" i="21"/>
  <c r="J358" i="21" l="1"/>
  <c r="T358" i="21" s="1"/>
  <c r="D359" i="21" s="1"/>
  <c r="C359" i="21" l="1"/>
  <c r="G359" i="21"/>
  <c r="H359" i="21" s="1"/>
  <c r="J359" i="21" l="1"/>
  <c r="T359" i="21" s="1"/>
  <c r="D360" i="21" s="1"/>
  <c r="C360" i="21" l="1"/>
  <c r="G360" i="21"/>
  <c r="H360" i="21" s="1"/>
  <c r="J360" i="21" l="1"/>
  <c r="T360" i="21" s="1"/>
  <c r="D361" i="21" s="1"/>
  <c r="C361" i="21" l="1"/>
  <c r="G361" i="21"/>
  <c r="H361" i="21" s="1"/>
  <c r="J361" i="21" s="1"/>
  <c r="T361" i="21" s="1"/>
  <c r="D362" i="21" s="1"/>
  <c r="G362" i="21" l="1"/>
  <c r="H362" i="21" s="1"/>
  <c r="J362" i="21" s="1"/>
  <c r="T362" i="21" s="1"/>
  <c r="D363" i="21" s="1"/>
  <c r="C362" i="21"/>
  <c r="C363" i="21" l="1"/>
  <c r="G363" i="21"/>
  <c r="H363" i="21" s="1"/>
  <c r="J363" i="21" s="1"/>
  <c r="T363" i="21" s="1"/>
  <c r="D364" i="21" s="1"/>
  <c r="G364" i="21" l="1"/>
  <c r="H364" i="21" s="1"/>
  <c r="J57" i="33" s="1"/>
  <c r="C364" i="21"/>
  <c r="J364" i="21" l="1"/>
  <c r="T364" i="21" s="1"/>
  <c r="D365" i="21" s="1"/>
  <c r="C365" i="21" l="1"/>
  <c r="G365" i="21"/>
  <c r="H365" i="21" s="1"/>
  <c r="J365" i="21" s="1"/>
  <c r="T365" i="21" s="1"/>
  <c r="D366" i="21" s="1"/>
  <c r="I58" i="33"/>
  <c r="G366" i="21" l="1"/>
  <c r="H366" i="21" s="1"/>
  <c r="J366" i="21" s="1"/>
  <c r="T366" i="21" s="1"/>
  <c r="D367" i="21" s="1"/>
  <c r="C366" i="21"/>
  <c r="C367" i="21" l="1"/>
  <c r="G367" i="21"/>
  <c r="H367" i="21" s="1"/>
  <c r="J367" i="21" s="1"/>
  <c r="T367" i="21" s="1"/>
  <c r="D368" i="21" s="1"/>
  <c r="C368" i="21" l="1"/>
  <c r="G368" i="21"/>
  <c r="H368" i="21" s="1"/>
  <c r="J368" i="21" s="1"/>
  <c r="T368" i="21" s="1"/>
  <c r="D369" i="21" s="1"/>
  <c r="C369" i="21" l="1"/>
  <c r="G369" i="21"/>
  <c r="H369" i="21" s="1"/>
  <c r="J369" i="21" s="1"/>
  <c r="T369" i="21" s="1"/>
  <c r="D370" i="21" s="1"/>
  <c r="C370" i="21" l="1"/>
  <c r="G370" i="21"/>
  <c r="H370" i="21" s="1"/>
  <c r="J370" i="21" s="1"/>
  <c r="T370" i="21" s="1"/>
  <c r="D371" i="21" s="1"/>
  <c r="G371" i="21" l="1"/>
  <c r="H371" i="21" s="1"/>
  <c r="J58" i="33" s="1"/>
  <c r="C371" i="21"/>
  <c r="J371" i="21" l="1"/>
  <c r="T371" i="21" s="1"/>
  <c r="D372" i="21" s="1"/>
  <c r="I59" i="33" l="1"/>
  <c r="C372" i="21"/>
  <c r="G372" i="21"/>
  <c r="H372" i="21" s="1"/>
  <c r="J372" i="21" l="1"/>
  <c r="T372" i="21" s="1"/>
  <c r="D373" i="21" s="1"/>
  <c r="G373" i="21" l="1"/>
  <c r="H373" i="21" s="1"/>
  <c r="J373" i="21" s="1"/>
  <c r="T373" i="21" s="1"/>
  <c r="D374" i="21" s="1"/>
  <c r="C373" i="21"/>
  <c r="C374" i="21" l="1"/>
  <c r="G374" i="21"/>
  <c r="H374" i="21" s="1"/>
  <c r="J374" i="21" s="1"/>
  <c r="T374" i="21" s="1"/>
  <c r="D375" i="21" s="1"/>
  <c r="G375" i="21" l="1"/>
  <c r="H375" i="21" s="1"/>
  <c r="J375" i="21" s="1"/>
  <c r="T375" i="21" s="1"/>
  <c r="D376" i="21" s="1"/>
  <c r="C375" i="21"/>
  <c r="G376" i="21" l="1"/>
  <c r="H376" i="21" s="1"/>
  <c r="J376" i="21" s="1"/>
  <c r="T376" i="21" s="1"/>
  <c r="D377" i="21" s="1"/>
  <c r="C376" i="21"/>
  <c r="C377" i="21" l="1"/>
  <c r="G377" i="21"/>
  <c r="H377" i="21" s="1"/>
  <c r="J377" i="21" s="1"/>
  <c r="T377" i="21" s="1"/>
  <c r="D378" i="21" s="1"/>
  <c r="C378" i="21" l="1"/>
  <c r="G378" i="21"/>
  <c r="H378" i="21" s="1"/>
  <c r="J378" i="21" s="1"/>
  <c r="T378" i="21" s="1"/>
  <c r="D379" i="21" s="1"/>
  <c r="G379" i="21" l="1"/>
  <c r="H379" i="21" s="1"/>
  <c r="N7" i="31"/>
  <c r="O7" i="31" s="1"/>
  <c r="C379" i="21"/>
  <c r="E27" i="31" l="1"/>
  <c r="H380" i="21"/>
  <c r="G27" i="31"/>
  <c r="J19" i="34"/>
  <c r="J20" i="34" s="1"/>
  <c r="J59" i="33"/>
  <c r="J60" i="33" s="1"/>
  <c r="J379" i="21"/>
  <c r="T379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F8" authorId="0" shapeId="0" xr:uid="{0B18C150-46D5-4441-AF39-05FC7D478BFC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M8" authorId="0" shapeId="0" xr:uid="{FEFBEBAA-AD0D-9044-AF72-D5A47A71EA52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C11" authorId="0" shapeId="0" xr:uid="{80235958-33CB-F84C-901C-510FD3B6E675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J11" authorId="0" shapeId="0" xr:uid="{19EB6632-B548-8446-A104-035E3C4FECD2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F30" authorId="0" shapeId="0" xr:uid="{1F79DC79-3A7E-1549-BFCB-357698BF7955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M30" authorId="0" shapeId="0" xr:uid="{78CFBE1D-AB2E-614F-81CB-F77259521740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C33" authorId="0" shapeId="0" xr:uid="{99CFC701-4C77-D548-BBBF-7A73298C770D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J33" authorId="0" shapeId="0" xr:uid="{A4291F51-6F6C-9947-B5E3-AFDE87EEF084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KKD Windows 7 V.3</author>
  </authors>
  <commentList>
    <comment ref="F12" authorId="0" shapeId="0" xr:uid="{46365F92-0073-EC44-97B4-CE1FF4819A04}">
      <text>
        <r>
          <rPr>
            <b/>
            <sz val="9"/>
            <color indexed="81"/>
            <rFont val="Tahoma"/>
            <family val="2"/>
          </rPr>
          <t>ค่าสปส.การระเหยของอ่างฯมูลบน = 0.78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40128BDE-61F2-F844-A12E-21F53EC93196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CB0CE114-810C-D54D-AB1A-9D15CEB44A85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4946F46C-4B5B-A941-A632-9E2E1E8FC518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DA403086-694D-5F42-8688-FDBDED845CED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B47E9113-AE41-2544-9F0A-9B00F550B77D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DAF9F183-1E39-F440-B91B-2B48D1AD969F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048B4CBB-4C00-9841-B7AB-04B9F6892CD3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AC2405CB-97F5-7041-B8D9-030DE89C7DAE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8F4D5948-42DD-9A45-B9F2-E93FC7AE14E6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891DB5FB-D505-A642-A266-39E9402072C8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C5F73661-CF74-FA4B-BE2F-6FA76D9EC3A1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0503450A-8C5C-4E4F-8BE4-E6CF40060B86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4D158DC0-10F5-014F-801C-30217372F917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2A7DA27E-D16A-6B41-B1BC-81DB8524114F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T14" authorId="0" shapeId="0" xr:uid="{1707E16E-FE20-594B-BCA8-1D77E47C79EA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D4" authorId="0" shapeId="0" xr:uid="{0044ED6B-D051-BA41-9BD8-43F8049931B7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D4" authorId="0" shapeId="0" xr:uid="{4CC19E5F-611D-E246-B45F-5E72ACF8B897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</commentList>
</comments>
</file>

<file path=xl/sharedStrings.xml><?xml version="1.0" encoding="utf-8"?>
<sst xmlns="http://schemas.openxmlformats.org/spreadsheetml/2006/main" count="2571" uniqueCount="898">
  <si>
    <t>no</t>
  </si>
  <si>
    <t>ค่าสัมประสิทธิ์พืช (Crop Coefficient, Kc) ด้วยวิธี Penman Monteith</t>
  </si>
  <si>
    <t>สัปดาห์</t>
  </si>
  <si>
    <t>ข้าวสาลี</t>
  </si>
  <si>
    <t>ถั่วเหลือง</t>
  </si>
  <si>
    <t>งา</t>
  </si>
  <si>
    <t>ยาสูบ</t>
  </si>
  <si>
    <t>แตงโม</t>
  </si>
  <si>
    <t>มะระ</t>
  </si>
  <si>
    <t>คะน้า</t>
  </si>
  <si>
    <t>สรุปปริมาณการใช้น้ำของพืชอ้างอิง ETo ของสถานีภูมิอากาศต่าง ๆ โดยวิธี RID-Penman Montieth</t>
  </si>
  <si>
    <t>ลำดับที่</t>
  </si>
  <si>
    <t>สถานีตรวจอากาศ</t>
  </si>
  <si>
    <t>แม่ฮ่องสอน</t>
  </si>
  <si>
    <t>แม่สะเรียง</t>
  </si>
  <si>
    <t>เชียงราย</t>
  </si>
  <si>
    <t>พะเยา</t>
  </si>
  <si>
    <t>เชียงใหม่</t>
  </si>
  <si>
    <t>ลำปาง</t>
  </si>
  <si>
    <t>ลำพูน</t>
  </si>
  <si>
    <t>แพร่</t>
  </si>
  <si>
    <t>น่าน</t>
  </si>
  <si>
    <t>ทุ่งช้าง</t>
  </si>
  <si>
    <t>อุตรดิตถ์</t>
  </si>
  <si>
    <t>สุโขทัย</t>
  </si>
  <si>
    <t>ตาก</t>
  </si>
  <si>
    <t>แม่สอด</t>
  </si>
  <si>
    <t>เขื่อนภูมิพล</t>
  </si>
  <si>
    <t>อุ้มผาง</t>
  </si>
  <si>
    <t>พิษณุโลก</t>
  </si>
  <si>
    <t>เพชรบูรณ์</t>
  </si>
  <si>
    <t>หล่มสัก</t>
  </si>
  <si>
    <t>วิเชียรบุรี</t>
  </si>
  <si>
    <t>กำแพงเพชร</t>
  </si>
  <si>
    <t>หนองคาย</t>
  </si>
  <si>
    <t>เลย</t>
  </si>
  <si>
    <t>อุดรธานี</t>
  </si>
  <si>
    <t>สกลนคร</t>
  </si>
  <si>
    <t>นครพนม</t>
  </si>
  <si>
    <t>ขอนแก่น</t>
  </si>
  <si>
    <t>มุกดาหาร</t>
  </si>
  <si>
    <t>โกสุมพิสัย</t>
  </si>
  <si>
    <t>ชัยภูมิ</t>
  </si>
  <si>
    <t>ร้อยเอ็ด</t>
  </si>
  <si>
    <t>อุบลราชธานี</t>
  </si>
  <si>
    <t>นครราชสีมา</t>
  </si>
  <si>
    <t>โชคชัย</t>
  </si>
  <si>
    <t>สุรินทร์</t>
  </si>
  <si>
    <t>ท่าตูม</t>
  </si>
  <si>
    <t>นางรอง</t>
  </si>
  <si>
    <t>นครสวรรค์</t>
  </si>
  <si>
    <t>สุพรรณบุรี</t>
  </si>
  <si>
    <t>ลพบุรี</t>
  </si>
  <si>
    <t>บัวชุม</t>
  </si>
  <si>
    <t>สถานีทดลองเกษตร</t>
  </si>
  <si>
    <t>กาญจนบุรี</t>
  </si>
  <si>
    <t>ทองผาภูมิ</t>
  </si>
  <si>
    <t>คลองเตย</t>
  </si>
  <si>
    <t>ท่าอากาศยานดอนเมือง</t>
  </si>
  <si>
    <t>ปราจีนบุรี</t>
  </si>
  <si>
    <t>กบินทร์บุรี</t>
  </si>
  <si>
    <t>อรัญประเทศ</t>
  </si>
  <si>
    <t>สระแก้ว</t>
  </si>
  <si>
    <t>ชลบุรี</t>
  </si>
  <si>
    <t>เกาะสีชัง</t>
  </si>
  <si>
    <t>พัทยา</t>
  </si>
  <si>
    <t>สัตหีบ</t>
  </si>
  <si>
    <t>แหลมฉบัง</t>
  </si>
  <si>
    <t>ระยอง</t>
  </si>
  <si>
    <t>จันทบุรี</t>
  </si>
  <si>
    <t>คลองใหญ่</t>
  </si>
  <si>
    <t>เพชรบุรี</t>
  </si>
  <si>
    <t>ประจวบคีรีขันธ์</t>
  </si>
  <si>
    <t>หัวหิน</t>
  </si>
  <si>
    <t>ชุมพร</t>
  </si>
  <si>
    <t>สุราษฎร์ธานี</t>
  </si>
  <si>
    <t>ท่าอากาศยานสุราษฎร์ธานี</t>
  </si>
  <si>
    <t>เกาะสมุย</t>
  </si>
  <si>
    <t>พระแสง</t>
  </si>
  <si>
    <t>นครศรีธรรมราช</t>
  </si>
  <si>
    <t>ขนอม</t>
  </si>
  <si>
    <t>ฉวาง</t>
  </si>
  <si>
    <t>สะเดา</t>
  </si>
  <si>
    <t>สงขลา</t>
  </si>
  <si>
    <t>ท่าอากาศยานหาดใหญ่</t>
  </si>
  <si>
    <t>ท่าอากาศยานปัตตานี</t>
  </si>
  <si>
    <t>นราธิวาส</t>
  </si>
  <si>
    <t>ระนอง</t>
  </si>
  <si>
    <t>ตะกั่วป่า</t>
  </si>
  <si>
    <t>ภูเก็ต</t>
  </si>
  <si>
    <t>ท่าอากาศยานภูเก็ต</t>
  </si>
  <si>
    <t>เกาะลันตา</t>
  </si>
  <si>
    <t>กระบี่</t>
  </si>
  <si>
    <t>ท่าอากาศยานตรัง</t>
  </si>
  <si>
    <t>สตูล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</si>
  <si>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</si>
  <si>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</si>
  <si>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</si>
  <si>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</si>
  <si>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</si>
  <si>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</si>
  <si>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</si>
  <si>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</si>
  <si>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</si>
  <si>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</si>
  <si>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</si>
  <si>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</si>
  <si>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Annual</t>
  </si>
  <si>
    <t>จังหวัด</t>
  </si>
  <si>
    <t>กรุงเทพมหานคร</t>
  </si>
  <si>
    <t>prv_name</t>
  </si>
  <si>
    <t>prv_code</t>
  </si>
  <si>
    <t>ชัยนาท</t>
  </si>
  <si>
    <t>นนทบุรี</t>
  </si>
  <si>
    <t>ปทุมธานี</t>
  </si>
  <si>
    <t>พระนครศรีอยุธยา</t>
  </si>
  <si>
    <t>สระบุรี</t>
  </si>
  <si>
    <t>สิงห์บุรี</t>
  </si>
  <si>
    <t>อ่างทอง</t>
  </si>
  <si>
    <t>ฉะเชิงเทรา</t>
  </si>
  <si>
    <t>ตราด</t>
  </si>
  <si>
    <t>นครนายก</t>
  </si>
  <si>
    <t>สมุทรปราการ</t>
  </si>
  <si>
    <t>นครปฐม</t>
  </si>
  <si>
    <t>ราชบุรี</t>
  </si>
  <si>
    <t>สมุทรสงคราม</t>
  </si>
  <si>
    <t>สมุทรสาคร</t>
  </si>
  <si>
    <t>พิจิตร</t>
  </si>
  <si>
    <t>อุทัยธานี</t>
  </si>
  <si>
    <t>กาฬสินธุ์</t>
  </si>
  <si>
    <t>ยโสธร</t>
  </si>
  <si>
    <t>บุรีรัมย์</t>
  </si>
  <si>
    <t>มหาสารคาม</t>
  </si>
  <si>
    <t>ศรีสะเกษ</t>
  </si>
  <si>
    <t>หนองบัวลำภู</t>
  </si>
  <si>
    <t>อำนาจเจริญ</t>
  </si>
  <si>
    <t>ตรัง</t>
  </si>
  <si>
    <t>ปัตตานี</t>
  </si>
  <si>
    <t>พังงา</t>
  </si>
  <si>
    <t>พัทลุง</t>
  </si>
  <si>
    <t>ยะลา</t>
  </si>
  <si>
    <t>ท่าวังผา</t>
  </si>
  <si>
    <t>กมลาไสย</t>
  </si>
  <si>
    <t>ETo_sta</t>
  </si>
  <si>
    <t>Week</t>
  </si>
  <si>
    <t>Kc</t>
  </si>
  <si>
    <t>ชนิดพืช</t>
  </si>
  <si>
    <t>สัปดาห์เริ่มต้น</t>
  </si>
  <si>
    <t>ข้าว กข.(นาดำ)</t>
  </si>
  <si>
    <t>ข้าวขาวดอกมะลิ105</t>
  </si>
  <si>
    <t>ข้าวบาสมาติ</t>
  </si>
  <si>
    <t>ข้าวโพดเลี้ยงสัตว์</t>
  </si>
  <si>
    <t>ข้าวโพดหวาน</t>
  </si>
  <si>
    <t>มะเขือเทศ</t>
  </si>
  <si>
    <t>หอมหัวใหญ่</t>
  </si>
  <si>
    <t>กะหล่ำดอก</t>
  </si>
  <si>
    <t>ไม้ดอก (บานชื่น)</t>
  </si>
  <si>
    <t>cropname</t>
  </si>
  <si>
    <t>week</t>
  </si>
  <si>
    <t>Kc-week</t>
  </si>
  <si>
    <t>Kc-Week</t>
  </si>
  <si>
    <t>Weighted</t>
  </si>
  <si>
    <t>ETo</t>
  </si>
  <si>
    <t>ช่วงเวลาสัปดาห์</t>
  </si>
  <si>
    <t>เริ่มต้น</t>
  </si>
  <si>
    <t>สิ้นสุด</t>
  </si>
  <si>
    <t>เดือน</t>
  </si>
  <si>
    <t>พื้นที่เพาะปลูกในแต่ละสัปดาห์ (ไร่)</t>
  </si>
  <si>
    <t>รวมพื้นที่</t>
  </si>
  <si>
    <t>(ไร่)</t>
  </si>
  <si>
    <t>ความต้องการน้ำ</t>
  </si>
  <si>
    <t>(มม.)</t>
  </si>
  <si>
    <t>(ลบ.ม.)</t>
  </si>
  <si>
    <t>ปริมาณน้ำเตรียมแปลง</t>
  </si>
  <si>
    <t>*กำหนดระยะเวลาในการเตรียมแปลง 1 สัปดาห์</t>
  </si>
  <si>
    <t>ตารางแสดงรายละเอียดการคำนวณความต้องการน้ำของพืช</t>
  </si>
  <si>
    <t>ฝ้าย</t>
  </si>
  <si>
    <t>อ้อย</t>
  </si>
  <si>
    <t>ละหุ่ง</t>
  </si>
  <si>
    <t>เผือก</t>
  </si>
  <si>
    <t>มะม่วง</t>
  </si>
  <si>
    <t>ส้มโอ</t>
  </si>
  <si>
    <t>หญ้ารูซี่</t>
  </si>
  <si>
    <t>หน่อไม้ฝรั่ง</t>
  </si>
  <si>
    <t>ไม้ดอก (กุหลาบ)</t>
  </si>
  <si>
    <t>หญ้าแฝก</t>
  </si>
  <si>
    <t>มะนาว (1-3 ปี)</t>
  </si>
  <si>
    <t>มะนาว (3-5 ปี)</t>
  </si>
  <si>
    <t>สับปะรด</t>
  </si>
  <si>
    <t>Maximum Crop Height</t>
  </si>
  <si>
    <t>Crop</t>
  </si>
  <si>
    <t>Kc ini1</t>
  </si>
  <si>
    <t>Kc mid</t>
  </si>
  <si>
    <t>Kc end</t>
  </si>
  <si>
    <t>(h)</t>
  </si>
  <si>
    <t>(m)</t>
  </si>
  <si>
    <r>
      <t>a. Small Vegetables</t>
    </r>
    <r>
      <rPr>
        <sz val="10"/>
        <rFont val="Arial"/>
        <family val="2"/>
      </rPr>
      <t xml:space="preserve"> </t>
    </r>
  </si>
  <si>
    <t>Broccoli</t>
  </si>
  <si>
    <t>Brussel Sprouts</t>
  </si>
  <si>
    <t>Cabbage</t>
  </si>
  <si>
    <t>Carrots</t>
  </si>
  <si>
    <t>Cauliflower</t>
  </si>
  <si>
    <t>Celery</t>
  </si>
  <si>
    <t>Garlic</t>
  </si>
  <si>
    <t>Lettuce</t>
  </si>
  <si>
    <t>Onions, dry</t>
  </si>
  <si>
    <t>Onions, green</t>
  </si>
  <si>
    <t>Onions, seed</t>
  </si>
  <si>
    <t>Spinach</t>
  </si>
  <si>
    <t>Radishes</t>
  </si>
  <si>
    <t>EggPlant</t>
  </si>
  <si>
    <t>Sweet Peppers (bell)</t>
  </si>
  <si>
    <t>Tomato</t>
  </si>
  <si>
    <t>0.70-0.90</t>
  </si>
  <si>
    <t>Cantaloupe</t>
  </si>
  <si>
    <t>Cucumber – Fresh Market</t>
  </si>
  <si>
    <t>– Machine harvest</t>
  </si>
  <si>
    <t>Pumpkin, Winter Squash</t>
  </si>
  <si>
    <t>Sweet Melons</t>
  </si>
  <si>
    <t>Watermelon</t>
  </si>
  <si>
    <r>
      <t>d. Roots and Tubers</t>
    </r>
    <r>
      <rPr>
        <sz val="10"/>
        <rFont val="Arial"/>
        <family val="2"/>
      </rPr>
      <t xml:space="preserve"> </t>
    </r>
  </si>
  <si>
    <t>Beets, table</t>
  </si>
  <si>
    <t xml:space="preserve">Cassava – year 1 </t>
  </si>
  <si>
    <t>– year 2</t>
  </si>
  <si>
    <t>Parsnip</t>
  </si>
  <si>
    <t>Potato</t>
  </si>
  <si>
    <t>Sweet Potato</t>
  </si>
  <si>
    <t>Turnip (and Rutabaga)</t>
  </si>
  <si>
    <t>Sugar Beet</t>
  </si>
  <si>
    <t xml:space="preserve">Beans, green </t>
  </si>
  <si>
    <t xml:space="preserve">Beans, dry and Pulses </t>
  </si>
  <si>
    <t xml:space="preserve">Chick pea </t>
  </si>
  <si>
    <t xml:space="preserve">Fababean (broad bean) – Fresh </t>
  </si>
  <si>
    <t xml:space="preserve">– Dry/Seed </t>
  </si>
  <si>
    <t xml:space="preserve">Grabanzo </t>
  </si>
  <si>
    <t xml:space="preserve">Green Gram and Cowpeas </t>
  </si>
  <si>
    <t>0.60-0.356</t>
  </si>
  <si>
    <t xml:space="preserve">Groundnut (Peanut) </t>
  </si>
  <si>
    <t xml:space="preserve">Lentil </t>
  </si>
  <si>
    <t xml:space="preserve">Peas – Fresh </t>
  </si>
  <si>
    <t xml:space="preserve">Soybeans </t>
  </si>
  <si>
    <t xml:space="preserve">0.5-1.0 </t>
  </si>
  <si>
    <t xml:space="preserve">f. Perennial Vegetables (with winter dormancy and initially bare or mulched soil) </t>
  </si>
  <si>
    <t xml:space="preserve">Artichokes </t>
  </si>
  <si>
    <t xml:space="preserve">Asparagus </t>
  </si>
  <si>
    <t xml:space="preserve">0.2-0.8 </t>
  </si>
  <si>
    <t xml:space="preserve">Mint </t>
  </si>
  <si>
    <t xml:space="preserve">0.6-0.8 </t>
  </si>
  <si>
    <t xml:space="preserve">Strawberries </t>
  </si>
  <si>
    <t xml:space="preserve">g. Fiber Crops </t>
  </si>
  <si>
    <t xml:space="preserve">Cotton </t>
  </si>
  <si>
    <t xml:space="preserve">1.15-1.20 </t>
  </si>
  <si>
    <t xml:space="preserve">0.70-0.50 </t>
  </si>
  <si>
    <t xml:space="preserve">1.2-1.5 </t>
  </si>
  <si>
    <t xml:space="preserve">Flax </t>
  </si>
  <si>
    <t xml:space="preserve">Sisal8 </t>
  </si>
  <si>
    <t xml:space="preserve">0.4-0.7 </t>
  </si>
  <si>
    <t xml:space="preserve">h. Oil Crops </t>
  </si>
  <si>
    <t xml:space="preserve">Rapeseed, Canola </t>
  </si>
  <si>
    <t>1.0-1.159</t>
  </si>
  <si>
    <t xml:space="preserve">Safflower </t>
  </si>
  <si>
    <t xml:space="preserve">Sesame </t>
  </si>
  <si>
    <t xml:space="preserve">Sunflower </t>
  </si>
  <si>
    <t xml:space="preserve">i. Cereals </t>
  </si>
  <si>
    <t xml:space="preserve">Barley </t>
  </si>
  <si>
    <t xml:space="preserve">Oats </t>
  </si>
  <si>
    <t xml:space="preserve">Spring Wheat </t>
  </si>
  <si>
    <t>0.25-0.410</t>
  </si>
  <si>
    <t xml:space="preserve">Winter Wheat </t>
  </si>
  <si>
    <t>0.4,0.711</t>
  </si>
  <si>
    <t>0.60,0.3512</t>
  </si>
  <si>
    <t xml:space="preserve">Millet </t>
  </si>
  <si>
    <t xml:space="preserve">Sorghum – grain </t>
  </si>
  <si>
    <t xml:space="preserve">1.00-1.10 </t>
  </si>
  <si>
    <t xml:space="preserve">– sweet </t>
  </si>
  <si>
    <t xml:space="preserve">Rice </t>
  </si>
  <si>
    <t xml:space="preserve">0.90-0.60 </t>
  </si>
  <si>
    <t xml:space="preserve">j. Forages </t>
  </si>
  <si>
    <t xml:space="preserve">Alfalfa Hay – averaged cutting effects </t>
  </si>
  <si>
    <t xml:space="preserve">– individual cutting periods </t>
  </si>
  <si>
    <t xml:space="preserve">– for seed </t>
  </si>
  <si>
    <t xml:space="preserve">Bermuda hay – averaged cutting effects </t>
  </si>
  <si>
    <t xml:space="preserve">– Spring crop for seed </t>
  </si>
  <si>
    <t xml:space="preserve">Clover hay, Berseem – averaged cutting effects </t>
  </si>
  <si>
    <t xml:space="preserve">Rye Grass hay – averaged cutting effects </t>
  </si>
  <si>
    <t xml:space="preserve">Sudan Grass hay (annual) – averaged cutting effects </t>
  </si>
  <si>
    <t xml:space="preserve">Grazing Pasture, Rotated Grazing </t>
  </si>
  <si>
    <t xml:space="preserve">0.85-1.05 </t>
  </si>
  <si>
    <t xml:space="preserve">0.15-0.30 </t>
  </si>
  <si>
    <t xml:space="preserve">Grazing Pasture, Extensive Grazing </t>
  </si>
  <si>
    <t>Turf grass, cool season16</t>
  </si>
  <si>
    <t>Turf grass, warm season16</t>
  </si>
  <si>
    <t xml:space="preserve">k. Sugar Cane </t>
  </si>
  <si>
    <t xml:space="preserve">l. Tropical Fruits and Trees </t>
  </si>
  <si>
    <t>Banana – 1st year</t>
  </si>
  <si>
    <t>– 2nd year</t>
  </si>
  <si>
    <t xml:space="preserve">Cacao </t>
  </si>
  <si>
    <t xml:space="preserve">Coffee – bare ground cover </t>
  </si>
  <si>
    <t xml:space="preserve">– with weeds </t>
  </si>
  <si>
    <t xml:space="preserve">Date Palms </t>
  </si>
  <si>
    <t xml:space="preserve">Palm Trees </t>
  </si>
  <si>
    <t>x</t>
  </si>
  <si>
    <t>Pineapple17 (multiyear crop) – bare soil</t>
  </si>
  <si>
    <t xml:space="preserve">0.6-1.2 </t>
  </si>
  <si>
    <t xml:space="preserve">– with grass cover </t>
  </si>
  <si>
    <t xml:space="preserve">Rubber Trees </t>
  </si>
  <si>
    <t xml:space="preserve">Tea – nonshaded </t>
  </si>
  <si>
    <t>– shaded18</t>
  </si>
  <si>
    <t xml:space="preserve">m. Grapes and Berries </t>
  </si>
  <si>
    <t xml:space="preserve">Berries (bushes) </t>
  </si>
  <si>
    <t xml:space="preserve">Grapes –`Table or Raisin </t>
  </si>
  <si>
    <t xml:space="preserve">– Wine </t>
  </si>
  <si>
    <t xml:space="preserve">1.5-2 </t>
  </si>
  <si>
    <t xml:space="preserve">Hops </t>
  </si>
  <si>
    <t xml:space="preserve">n. Fruit Trees </t>
  </si>
  <si>
    <t xml:space="preserve">Almonds, no ground cover </t>
  </si>
  <si>
    <t>Apples, Cherries, Pears20</t>
  </si>
  <si>
    <t xml:space="preserve">· no ground cover, killing frost </t>
  </si>
  <si>
    <t xml:space="preserve">· no ground cover, no frosts </t>
  </si>
  <si>
    <t xml:space="preserve">· active ground cover, killing frost </t>
  </si>
  <si>
    <t xml:space="preserve">· active ground cover, no frosts </t>
  </si>
  <si>
    <t>Apricots, Peaches, Stone Fruit20,21</t>
  </si>
  <si>
    <t xml:space="preserve">Avocado, no ground cover </t>
  </si>
  <si>
    <t>Citrus, no ground cover22</t>
  </si>
  <si>
    <t xml:space="preserve">70% canopy </t>
  </si>
  <si>
    <t xml:space="preserve">50% canopy </t>
  </si>
  <si>
    <t xml:space="preserve">20% canopy </t>
  </si>
  <si>
    <t>Citrus, with active ground cover or weeds23</t>
  </si>
  <si>
    <t>Conifer Trees24</t>
  </si>
  <si>
    <t xml:space="preserve">Kiwi </t>
  </si>
  <si>
    <t>Olives (40 to 60% ground coverage by canopy)25</t>
  </si>
  <si>
    <t xml:space="preserve">Pistachios, no ground cover </t>
  </si>
  <si>
    <t>Walnut Orchard20</t>
  </si>
  <si>
    <t xml:space="preserve">o. Wetlands – temperate climate </t>
  </si>
  <si>
    <t xml:space="preserve">Cattails, Bulrushes, killing frost </t>
  </si>
  <si>
    <t xml:space="preserve">Cattails, Bulrushes, no frost </t>
  </si>
  <si>
    <t xml:space="preserve">Short Veg., no frost </t>
  </si>
  <si>
    <t xml:space="preserve">Reed Swamp, standing water </t>
  </si>
  <si>
    <t xml:space="preserve">Reed Swamp, moist soil </t>
  </si>
  <si>
    <t xml:space="preserve">p. Special </t>
  </si>
  <si>
    <t xml:space="preserve">Open Water, &lt; 2 m depth </t>
  </si>
  <si>
    <t xml:space="preserve">or in subhumid climates or tropics </t>
  </si>
  <si>
    <t xml:space="preserve">Open Water, &gt; 5 m depth, clear of turbidity, </t>
  </si>
  <si>
    <t xml:space="preserve">temperate climate </t>
  </si>
  <si>
    <r>
      <t xml:space="preserve">b. Vegetables </t>
    </r>
    <r>
      <rPr>
        <sz val="10"/>
        <rFont val="Arial"/>
        <family val="2"/>
      </rPr>
      <t xml:space="preserve">– </t>
    </r>
    <r>
      <rPr>
        <b/>
        <sz val="10"/>
        <rFont val="Arial"/>
        <family val="2"/>
      </rPr>
      <t>Solanum Family (</t>
    </r>
    <r>
      <rPr>
        <b/>
        <i/>
        <sz val="10"/>
        <rFont val="Arial"/>
        <family val="2"/>
      </rPr>
      <t>Solanaceae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</t>
    </r>
  </si>
  <si>
    <r>
      <t xml:space="preserve">c. Vegetables </t>
    </r>
    <r>
      <rPr>
        <sz val="10"/>
        <rFont val="Arial"/>
        <family val="2"/>
      </rPr>
      <t xml:space="preserve">– </t>
    </r>
    <r>
      <rPr>
        <b/>
        <sz val="10"/>
        <rFont val="Arial"/>
        <family val="2"/>
      </rPr>
      <t>Cucumber Family (</t>
    </r>
    <r>
      <rPr>
        <b/>
        <i/>
        <sz val="10"/>
        <rFont val="Arial"/>
        <family val="2"/>
      </rPr>
      <t>Cucurbitaceae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</t>
    </r>
  </si>
  <si>
    <r>
      <t xml:space="preserve">Squash, </t>
    </r>
    <r>
      <rPr>
        <i/>
        <sz val="10"/>
        <rFont val="Arial"/>
        <family val="2"/>
      </rPr>
      <t>zuchini</t>
    </r>
  </si>
  <si>
    <r>
      <t>e. Lugumes (</t>
    </r>
    <r>
      <rPr>
        <b/>
        <i/>
        <sz val="10"/>
        <rFont val="Univers"/>
      </rPr>
      <t>Leguminosae</t>
    </r>
    <r>
      <rPr>
        <b/>
        <sz val="10"/>
        <rFont val="Univers"/>
      </rPr>
      <t xml:space="preserve">) </t>
    </r>
  </si>
  <si>
    <r>
      <t>Castorbean (</t>
    </r>
    <r>
      <rPr>
        <i/>
        <sz val="10"/>
        <rFont val="Univers"/>
      </rPr>
      <t>Ricinus</t>
    </r>
    <r>
      <rPr>
        <sz val="10"/>
        <rFont val="Univers"/>
      </rPr>
      <t xml:space="preserve">) </t>
    </r>
  </si>
  <si>
    <r>
      <t xml:space="preserve">Maize, Field (grain) </t>
    </r>
    <r>
      <rPr>
        <i/>
        <sz val="10"/>
        <rFont val="Univers"/>
      </rPr>
      <t>(field corn)</t>
    </r>
    <r>
      <rPr>
        <sz val="10"/>
        <rFont val="Univers"/>
      </rPr>
      <t xml:space="preserve"> </t>
    </r>
  </si>
  <si>
    <r>
      <t xml:space="preserve">Maize, Sweet </t>
    </r>
    <r>
      <rPr>
        <i/>
        <sz val="10"/>
        <rFont val="Univers"/>
      </rPr>
      <t>(sweet corn)</t>
    </r>
    <r>
      <rPr>
        <sz val="10"/>
        <rFont val="Univers"/>
      </rPr>
      <t xml:space="preserve"> </t>
    </r>
  </si>
  <si>
    <t>*ภาคกลาง กำหนดให้ใช้ 1 มม./วัน ส่วนภาคอื่นๆใช้ 2 มม./วัน</t>
  </si>
  <si>
    <t>(1)</t>
  </si>
  <si>
    <t>(2)</t>
  </si>
  <si>
    <t>(3)</t>
  </si>
  <si>
    <t>(4)</t>
  </si>
  <si>
    <t>(5)</t>
  </si>
  <si>
    <t>(6)</t>
  </si>
  <si>
    <t>(8)</t>
  </si>
  <si>
    <t>(9)</t>
  </si>
  <si>
    <t>(10)</t>
  </si>
  <si>
    <t>(11)</t>
  </si>
  <si>
    <t>(12)</t>
  </si>
  <si>
    <t>(13)</t>
  </si>
  <si>
    <t>(14)</t>
  </si>
  <si>
    <t>(15)</t>
  </si>
  <si>
    <t>(7.1)</t>
  </si>
  <si>
    <t>(7.2)</t>
  </si>
  <si>
    <t>(7.3)</t>
  </si>
  <si>
    <t>(7.4)</t>
  </si>
  <si>
    <t>(7.5)</t>
  </si>
  <si>
    <t>พื้นที่ (ไร่)</t>
  </si>
  <si>
    <t>ของ Kc</t>
  </si>
  <si>
    <t>พื้นที่โครงการ, ไร่</t>
  </si>
  <si>
    <t>ปริมาณน้ำรั่วซึม, มม./สัปดาห์</t>
  </si>
  <si>
    <t>ปริมาณน้ำเตรียมแปลง, มม./สัปดาห์</t>
  </si>
  <si>
    <t>เวลาปลูกจนเต็มพื้นที่, สัปดาห์</t>
  </si>
  <si>
    <t>ใช้ค่า ETo ของจังหวัด</t>
  </si>
  <si>
    <t>(7.6)</t>
  </si>
  <si>
    <t>(7.7)</t>
  </si>
  <si>
    <t>(7.8)</t>
  </si>
  <si>
    <t>(7.9)</t>
  </si>
  <si>
    <t>(7.10)</t>
  </si>
  <si>
    <t>เปลี่ยนน้ำ</t>
  </si>
  <si>
    <t>ความต้องการน้ำ (มม.)</t>
  </si>
  <si>
    <t>ตารางแสดงรายละเอียดการคำนวณความต้องการน้ำของบ่อปลา</t>
  </si>
  <si>
    <t>พื้นที่บ่อปลา, ไร่</t>
  </si>
  <si>
    <t>ข้าว</t>
  </si>
  <si>
    <t>พืชไร่</t>
  </si>
  <si>
    <t>ตารางแสดงรายละเอียดการคำนวณความต้องการน้ำของบ่อกุ้ง</t>
  </si>
  <si>
    <t>พื้นที่บ่อกุ้ง, ไร่</t>
  </si>
  <si>
    <t>ไม้ผล</t>
  </si>
  <si>
    <t>ถ่ายน้ำ</t>
  </si>
  <si>
    <t>นาปี</t>
  </si>
  <si>
    <t>พืชไร่ฤดูฝน</t>
  </si>
  <si>
    <t>ระเหยและรั่วซึม</t>
  </si>
  <si>
    <t>พื้นที่</t>
  </si>
  <si>
    <t>month</t>
  </si>
  <si>
    <t>Evap</t>
  </si>
  <si>
    <t>ตารางแสดงพื้นที่การใช้ประโยชน์ที่ดิน และพื้นที่คาดการณ์พืชฤดูแล้งในเขตชลประทาน</t>
  </si>
  <si>
    <t>ลำดับ</t>
  </si>
  <si>
    <t>การใช้ประโยชน์ที่ดินในเขตโครงการฯ - ไร่</t>
  </si>
  <si>
    <t>ที่</t>
  </si>
  <si>
    <t>อ่างฯ/ฝาย/ขรน./ปตร.</t>
  </si>
  <si>
    <t>อำเภอ</t>
  </si>
  <si>
    <t>การเกษตร</t>
  </si>
  <si>
    <t>เพาะเลี้ยง</t>
  </si>
  <si>
    <t>ที่อยู่</t>
  </si>
  <si>
    <t>โรงงาน</t>
  </si>
  <si>
    <t>ที่รกร้าง/</t>
  </si>
  <si>
    <t>อื่น ๆ</t>
  </si>
  <si>
    <t>พืชผัก</t>
  </si>
  <si>
    <t>บ่อปลา</t>
  </si>
  <si>
    <t>บ่อกุ้ง</t>
  </si>
  <si>
    <t>พืชอื่นๆ</t>
  </si>
  <si>
    <t>รวม</t>
  </si>
  <si>
    <t>โครงการ</t>
  </si>
  <si>
    <t>ชลประทาน</t>
  </si>
  <si>
    <t>สัตว์น้ำ</t>
  </si>
  <si>
    <t>อาศัย</t>
  </si>
  <si>
    <t>อุตสาหกรรม</t>
  </si>
  <si>
    <t>ว่างเปล่า</t>
  </si>
  <si>
    <t>ยืนต้น</t>
  </si>
  <si>
    <t>(7)</t>
  </si>
  <si>
    <t>(12</t>
  </si>
  <si>
    <t>(16)</t>
  </si>
  <si>
    <t>(17)</t>
  </si>
  <si>
    <t>(18)</t>
  </si>
  <si>
    <t>(19)</t>
  </si>
  <si>
    <t xml:space="preserve"> - นาปี</t>
  </si>
  <si>
    <t xml:space="preserve"> - นาปรัง</t>
  </si>
  <si>
    <t>หมายเหตุ</t>
  </si>
  <si>
    <t>1.โครงการชลประทานขนาดกลางให้แยกรายละเอียดแต่ละแห่ง</t>
  </si>
  <si>
    <t>2. อื่นๆ หมายถึง พื้นที่รับประโยชน์ ฯลฯ</t>
  </si>
  <si>
    <t>3.พื้นที่โครงการ หมายถึง พื้นที่ทั้งหมดของโครงการชลประทาน</t>
  </si>
  <si>
    <t>4.พื้นที่ชลประทาน หมายถึง พื้นที่ที่อยู่ในเขตโครงการฯและรับน้ำจากแหล่งน้ำชลประทาน</t>
  </si>
  <si>
    <t>พื้นที่รับน้ำฝน</t>
  </si>
  <si>
    <t>ตร.กม.</t>
  </si>
  <si>
    <t xml:space="preserve">ระดับสันเขื่อน  </t>
  </si>
  <si>
    <t>ปริมาณน้ำไหลลงอ่างเฉลี่ยทั้งปี</t>
  </si>
  <si>
    <t>พื้นที่ผิวน้ำที่ระดับเก็บกัก</t>
  </si>
  <si>
    <t>ระดับน้ำสูงสุด</t>
  </si>
  <si>
    <t>ปริมาณน้ำสูงสุด</t>
  </si>
  <si>
    <t>ฝนสะสมเฉลี่ยทั้งปี</t>
  </si>
  <si>
    <t>มม.</t>
  </si>
  <si>
    <t xml:space="preserve">ระดับน้ำเก็บกัก </t>
  </si>
  <si>
    <t>ปริมาณน้ำเก็บกัก</t>
  </si>
  <si>
    <t>ระเหยเฉลี่ยทั้งปี</t>
  </si>
  <si>
    <t>ระดับน้ำต่ำสุด</t>
  </si>
  <si>
    <t>ปริมาณน้ำต่ำสุด</t>
  </si>
  <si>
    <t>ข้าวนาปรัง(ไร่ )</t>
  </si>
  <si>
    <t>พืชไร่-ผัก(ไร่)</t>
  </si>
  <si>
    <t>ไม้ผล-ไม้ยืนต้น่(ไร่)</t>
  </si>
  <si>
    <t>บ่อกุ้ง-บ่อปลา(ไร่)</t>
  </si>
  <si>
    <t>(20)</t>
  </si>
  <si>
    <t>วันที่</t>
  </si>
  <si>
    <t>Inflow</t>
  </si>
  <si>
    <t>m.msl.</t>
  </si>
  <si>
    <t>mm.</t>
  </si>
  <si>
    <t>sq.km.</t>
  </si>
  <si>
    <t>mcm.</t>
  </si>
  <si>
    <t>%</t>
  </si>
  <si>
    <t>รวมทั้งหมด</t>
  </si>
  <si>
    <t>จ.น.02.1-51(ต่อ)</t>
  </si>
  <si>
    <t>คำอธิบายความหมายในแต่ละคอลัมน์</t>
  </si>
  <si>
    <t>'(1)</t>
  </si>
  <si>
    <t>สัปดาห์การส่งน้ำ โดย สศก. กำหนดระยะเวลาปลูกพืชฤดูฝน ดังนี้ พื้นที่ทั่วไปเริ่มวันที่ 1 พฤศจิกายน -30 เมษายน ยกเว้นพื้นที่ภาคใต้ฝั่งตะวันออก เริ่ม 1 มีนาคม  - 30 มิถุนายน</t>
  </si>
  <si>
    <t>หรือ สัปดาห์ที่ 1 เริ่มนับตั้งแต่วันที่ 1 พ.ย. ถึงวันพุธแรกของเดือน ในกรณีการส่งน้ำไม่เป็นไปตามที่กำหนดขอให้พิจารณาปรับตามความเหมาะสมของแต่ละพื้นที่</t>
  </si>
  <si>
    <t>ช่วงวันที่ ให้นับตั้งแต่วันพฤหัสบดีเป็นวันแรกของสัปดาห์สิ้นสุดวันพุธ เพื่อให้สอดคล้องกับการรายงานความก้าวหน้าการปลูกพืชประจำสัปดาห์</t>
  </si>
  <si>
    <t>หมายถึง ระดับน้ำในอ่างเก็บน้ำ ณ  วันต้นสัปดาห์</t>
  </si>
  <si>
    <t>: ข้อมูลปริมาณน้ำในอ่างฯ วันแรกของสัปดาห์ (วันที่ 1 พ.ย.)</t>
  </si>
  <si>
    <t>: ข้อมูลการระเหยที่ตรวจวัดได้จากสถานีใกล้เคียงที่เป็นตัวแทนที่เลือกใช้ในปีนี้ เช่น สถานีตรวจวัดของกรมอุตุประจำอำเภอ หรือ ที่หัวงานเขื่อนหากไม่มีให้ใช้อัตรา 1 มม./วัน</t>
  </si>
  <si>
    <t xml:space="preserve">  = 0.7 คูณอัตราการระเหยที่วัดได้จาก Epan</t>
  </si>
  <si>
    <t>: water surface area พื้นที่ผิวน้ำของอ่างฯ วัดจากโค้งพื้นที่ผิวน้ำจากระดับน้ำในอ่างฯ ของวันแรกของสัปดาห์ หน่วย ตารางกิโลเมตร</t>
  </si>
  <si>
    <t xml:space="preserve">  =Net_ Evap/1000*WSA*1000*1000</t>
  </si>
  <si>
    <t>: ข้อมูลคาดการณ์ปริมาณน้ำไหลลงอ่าง</t>
  </si>
  <si>
    <t>ปริมาณน้ำในอ่างฯวันแรก-ปริมาณการระเหย+ปริมาณน้ำไหลลงอ่าง</t>
  </si>
  <si>
    <t>: water supply ปริมาณน้ำส่งเพื่อการประปา</t>
  </si>
  <si>
    <t>การใช้น้ำในกิจกรรมอื่นๆ</t>
  </si>
  <si>
    <t>: ปริมาณน้ำส่งเพื่อการอุตสาหกรรม</t>
  </si>
  <si>
    <t>: ปริมาณน้ำส่งเพื่อรักษาระบบนิเวศ  ให้ใช้ปริมาณที่น้อยที่สุดที่เคยส่ง</t>
  </si>
  <si>
    <t>: crop water requirement ความต้องการน้ำของพืช  = Kc*Eto*พื้นที่เพาะปลูก</t>
  </si>
  <si>
    <t>: Effective rainfall ปริมาณฝนใช้การ คือ ปริมาณฝนที่สามารถใช้งานได้ พิจารณาจากข้อมูลการศึกษาของโครงการเพื่อเทียบสัดส่วนกับฝนคาดการณ์ที่จะตก</t>
  </si>
  <si>
    <t>และแปลงเป็นปริมาณน้ำโดย ER=ฝนใช้การในสัปดาห์นั้น*พื้นที่เพาะปลูก</t>
  </si>
  <si>
    <t xml:space="preserve">: ค่าประสิทธิภาพโครงการ ที่มีการประเมิน และนำมาใช้ในปีนี้ </t>
  </si>
  <si>
    <t>: ปริมาณน้ำส่งออกจากเขื่อนทั้งหมด = (11)+(12)+(13)+(14)+(18)</t>
  </si>
  <si>
    <t>: ปริมาณน้ำในอ่างฯวันแรกของสัปดาห์ต่อไป=(10)-(19)</t>
  </si>
  <si>
    <t>*****</t>
  </si>
  <si>
    <t>ให้แนบโค้งความจุของทุกอ่างฯมาด้วย</t>
  </si>
  <si>
    <t>ระหว่างวันที่</t>
  </si>
  <si>
    <t>1.สำนักงานเศรษฐกิจการเกษตร  กำหนดระยะเวลาการปลูกพืชฤดูฝนเริ่มวันที่ 1 พ.ย.- 30 เม.ย. ยกเว้นพื้นที่ภาคใต้ฝั่งตะวันออกเริ่มวันที่ 1 มี.ค.-30 มิ.ย.</t>
  </si>
  <si>
    <t>2.แหล่งน้ำต้นทุน  หมายถึง อ่างเก็บน้ำ หรือแหล่งน้ำธรรมชาติ</t>
  </si>
  <si>
    <t>3.ค่าแหล่งน้ำต้นทุนต้นสัปดาห์ หมายถึงค่าปริมาณน้ำวันที่ 1 ของสัปดาห์ เช่น สัปดาห์ที่ 1 คือ วันที่ 1  พ.ย.</t>
  </si>
  <si>
    <t>4.ความต้องการน้ำชลประทานเพื่อการเกษตร หมายถึงความต้องการน้ำที่พืชต้องการหักปริมาณฝนใช้การและคิดประสิทธิภาพการส่งน้ำแล้ว</t>
  </si>
  <si>
    <t>5.ค่าคาดการณ์ปริมาณน้ำท่าเหนืออาคาร เป็นค่าที่โครงการประเมินจากข้อมูลสถิติน้ำท่าและคาดว่าจะเกิดขึ้นในปีนี้</t>
  </si>
  <si>
    <t>ปริมาณฝนใช้การของข้าว - มม.</t>
  </si>
  <si>
    <t>มค.</t>
  </si>
  <si>
    <t>กพ.</t>
  </si>
  <si>
    <t>มีค.</t>
  </si>
  <si>
    <t>เมย.</t>
  </si>
  <si>
    <t>พค.</t>
  </si>
  <si>
    <t>มิย.</t>
  </si>
  <si>
    <t>กค.</t>
  </si>
  <si>
    <t>สค.</t>
  </si>
  <si>
    <t>กย.</t>
  </si>
  <si>
    <t>ตค.</t>
  </si>
  <si>
    <t>พย.</t>
  </si>
  <si>
    <t>ธค.</t>
  </si>
  <si>
    <r>
      <t xml:space="preserve">  ล้าน ม.</t>
    </r>
    <r>
      <rPr>
        <vertAlign val="superscript"/>
        <sz val="10"/>
        <rFont val="Arial"/>
        <family val="2"/>
      </rPr>
      <t>3</t>
    </r>
  </si>
  <si>
    <t>1-7 พ.ย. 51</t>
  </si>
  <si>
    <t>8-14 พ.ย. 51</t>
  </si>
  <si>
    <t>15-21 พ.ย. 51</t>
  </si>
  <si>
    <t>22 -28 พ.ย. 51</t>
  </si>
  <si>
    <t>29 พ.ย.-5 ธ.ค. 51</t>
  </si>
  <si>
    <t>6-112 ธ.ค.51</t>
  </si>
  <si>
    <t>13-19 ธ.ค.51</t>
  </si>
  <si>
    <t>20-26 ธ.ค. 51</t>
  </si>
  <si>
    <t>27ธ.ค. 51-02 ม.ค.52</t>
  </si>
  <si>
    <t>3-9 ม.ค. 52</t>
  </si>
  <si>
    <t>10-16 ม.ค. 52</t>
  </si>
  <si>
    <t>17-23 ม.ค. 52</t>
  </si>
  <si>
    <t>24-30 ม.ค. 52</t>
  </si>
  <si>
    <t>31 ม.ค.-6 ก.พ. 52</t>
  </si>
  <si>
    <t>7-13 ก.พ. 52</t>
  </si>
  <si>
    <t>14-20 ก.พ. 52</t>
  </si>
  <si>
    <t>21-27 ก.พ. 52</t>
  </si>
  <si>
    <t>28 ก.พ.-6 มี.ค. 52</t>
  </si>
  <si>
    <t>7-13 มี.ค.52</t>
  </si>
  <si>
    <t>14-20 มี.ค. 52</t>
  </si>
  <si>
    <t>21-27 มี.ค. 52</t>
  </si>
  <si>
    <t>28 มี.ค.-3 เม.ย.52</t>
  </si>
  <si>
    <t>4-10 เม.ย.52</t>
  </si>
  <si>
    <t>11-17 เม.ย. 52</t>
  </si>
  <si>
    <t>18-24 เม.ย. 52</t>
  </si>
  <si>
    <t>25 เม.ย.- 1 พ.ค. 52</t>
  </si>
  <si>
    <t>2-8 พ.ค. 52</t>
  </si>
  <si>
    <t>9-15 พ.ค. 52</t>
  </si>
  <si>
    <t>16-22 พ.ค. 52</t>
  </si>
  <si>
    <t>23-29 พ.ค. 52</t>
  </si>
  <si>
    <t>30 พ.ค.-5 มิ.ย. 52</t>
  </si>
  <si>
    <t>6 - 12 มิ.ย.52</t>
  </si>
  <si>
    <t>13 - 19 มิ.ย.52</t>
  </si>
  <si>
    <t>20 - 26 มิ.ย.52</t>
  </si>
  <si>
    <t>27 มิ.ย. - 3 ก.ค.52</t>
  </si>
  <si>
    <t>4 - 10 ก.ค.52</t>
  </si>
  <si>
    <t>11 - 17 ก.ค.52</t>
  </si>
  <si>
    <t>18 - 24 ก.ค.52</t>
  </si>
  <si>
    <t>25 - 31 ก.ค.52</t>
  </si>
  <si>
    <t>1 - 7 ส.ค.52</t>
  </si>
  <si>
    <t>8 - 14 ส.ค.52</t>
  </si>
  <si>
    <t>15 - 21 ส.ค.52</t>
  </si>
  <si>
    <t>22 - 28 ส.ค.52</t>
  </si>
  <si>
    <t>29 ส.ค. - 4 ก.ย.52</t>
  </si>
  <si>
    <t>5 - 11 ก.ย.52</t>
  </si>
  <si>
    <t>12 - 18 ก.ย.52</t>
  </si>
  <si>
    <t>19 - 25 ก.ย.52</t>
  </si>
  <si>
    <t>26 ก.ย.- 2 ต.ค.52</t>
  </si>
  <si>
    <t>3 - 9ต.ค.52</t>
  </si>
  <si>
    <t>10 - 16ต.ค.52</t>
  </si>
  <si>
    <t>17 - 23ต.ค.52</t>
  </si>
  <si>
    <t>24 - 31ต.ค.52</t>
  </si>
  <si>
    <t>ข้าวนาปรัง</t>
  </si>
  <si>
    <t>พื้นที่ปลูกทั้งหมด, ไร่</t>
  </si>
  <si>
    <t>ข้าวนาปี</t>
  </si>
  <si>
    <t>พืชไร่ฤดูแล้ง</t>
  </si>
  <si>
    <t>บ่อปลา - บ่อกุ้ง</t>
  </si>
  <si>
    <t xml:space="preserve">สำนักชลประทานที่ </t>
  </si>
  <si>
    <t/>
  </si>
  <si>
    <t>ม.(รทก.)</t>
  </si>
  <si>
    <t>inflow</t>
  </si>
  <si>
    <t>ข้อมูลรายวัน</t>
  </si>
  <si>
    <t>อุปโภค บริโภค ประปา</t>
  </si>
  <si>
    <t>ประสิทธิภาพโครงการ</t>
  </si>
  <si>
    <t xml:space="preserve"> %</t>
  </si>
  <si>
    <t>โค้งความจุและพื้นที่ผิวน้ำ</t>
  </si>
  <si>
    <t>NO OBSERVATION</t>
  </si>
  <si>
    <t>-</t>
  </si>
  <si>
    <t>รายวัน</t>
  </si>
  <si>
    <t>ข้าวนาปี(ไร่ )</t>
  </si>
  <si>
    <t>พืชไร่-ผักฤดูฝน(ไร่)</t>
  </si>
  <si>
    <t>ไม้ผล-ไม้ยืนต้น่ฤดูฝน(ไร่)</t>
  </si>
  <si>
    <t>บ่อกุ้ง-บ่อปลา(ฤดูฝนไร่)</t>
  </si>
  <si>
    <t xml:space="preserve">การเกษตรฤดูแล้งรวม(ไร่)  </t>
  </si>
  <si>
    <t xml:space="preserve">การเกษตรฤดูฝนรวม(ไร่)  </t>
  </si>
  <si>
    <t>อ่างเก็บน้ำ</t>
  </si>
  <si>
    <t>ต่างระดับ</t>
  </si>
  <si>
    <t>ต่างพืนที่</t>
  </si>
  <si>
    <t>ต่างความจุ</t>
  </si>
  <si>
    <t>ระดับน้ำ</t>
  </si>
  <si>
    <t>อัตรา</t>
  </si>
  <si>
    <t>ระเหย</t>
  </si>
  <si>
    <t>อัตราระเหย</t>
  </si>
  <si>
    <t>สุทธิ</t>
  </si>
  <si>
    <t>พื้นที่ผิวน้ำ</t>
  </si>
  <si>
    <t>ปริมาตรน้ำ</t>
  </si>
  <si>
    <t>อุปโภค</t>
  </si>
  <si>
    <t>บริโภค</t>
  </si>
  <si>
    <t>น้ำใช้</t>
  </si>
  <si>
    <t>อื่นๆ</t>
  </si>
  <si>
    <t>รักษาระบบ</t>
  </si>
  <si>
    <t>นิเวศน์</t>
  </si>
  <si>
    <t>ฝนใช้การ</t>
  </si>
  <si>
    <t>ปสภ</t>
  </si>
  <si>
    <t>ความต้องการ</t>
  </si>
  <si>
    <t>น้ำ ชป.</t>
  </si>
  <si>
    <t>ปริมาณการ</t>
  </si>
  <si>
    <t>ส่งน้ำ</t>
  </si>
  <si>
    <t>คงเหลือ</t>
  </si>
  <si>
    <t>แผนความต้องการน้ำเพื่อการเกษตร - ล้าน ลบ.ม.</t>
  </si>
  <si>
    <t>ปริมาณฝนใช้การของพืชไร่ - มม.</t>
  </si>
  <si>
    <t xml:space="preserve">น่าน </t>
  </si>
  <si>
    <t xml:space="preserve">เพชรบูรณ์ </t>
  </si>
  <si>
    <t>กรุงเทพฯ</t>
  </si>
  <si>
    <t xml:space="preserve">สิงห์บุรี </t>
  </si>
  <si>
    <t>อยุธยา</t>
  </si>
  <si>
    <t xml:space="preserve">อุทัยธานี </t>
  </si>
  <si>
    <t xml:space="preserve">กาญจนบุรี </t>
  </si>
  <si>
    <t xml:space="preserve">นครปฐม </t>
  </si>
  <si>
    <t xml:space="preserve">ราชบุรี </t>
  </si>
  <si>
    <t xml:space="preserve">สุพรรณบุรี </t>
  </si>
  <si>
    <t xml:space="preserve">จันทบุรี </t>
  </si>
  <si>
    <t xml:space="preserve">ชลบุรี </t>
  </si>
  <si>
    <t xml:space="preserve">ตราด </t>
  </si>
  <si>
    <t>นครยายก</t>
  </si>
  <si>
    <t xml:space="preserve">ปราจีนบุรี </t>
  </si>
  <si>
    <t xml:space="preserve">ระยอง </t>
  </si>
  <si>
    <t xml:space="preserve">สระแก้ว </t>
  </si>
  <si>
    <t xml:space="preserve">กาฬสินธุ์ </t>
  </si>
  <si>
    <t xml:space="preserve">ขอนแก่น </t>
  </si>
  <si>
    <t xml:space="preserve">ชัยภูมิ </t>
  </si>
  <si>
    <t xml:space="preserve">บุรีรัมย์ </t>
  </si>
  <si>
    <t xml:space="preserve">มหาสารคาม </t>
  </si>
  <si>
    <t xml:space="preserve">มุกดาหาร </t>
  </si>
  <si>
    <t xml:space="preserve">ยโสธร </t>
  </si>
  <si>
    <t xml:space="preserve">ร้อยเอ็ด </t>
  </si>
  <si>
    <t xml:space="preserve">เลย </t>
  </si>
  <si>
    <t xml:space="preserve">ศรีสะเกษ </t>
  </si>
  <si>
    <t xml:space="preserve">สกลนคร </t>
  </si>
  <si>
    <t xml:space="preserve">สุรินทร์ </t>
  </si>
  <si>
    <t xml:space="preserve">หนองคาย </t>
  </si>
  <si>
    <t xml:space="preserve">หนองบัวลำพู </t>
  </si>
  <si>
    <t xml:space="preserve">อำนาจเจริญ </t>
  </si>
  <si>
    <t xml:space="preserve">อุดรธานี </t>
  </si>
  <si>
    <t xml:space="preserve">อุบลราชธานี </t>
  </si>
  <si>
    <t xml:space="preserve">กระบี่ </t>
  </si>
  <si>
    <t xml:space="preserve">ชุมพร </t>
  </si>
  <si>
    <t xml:space="preserve">ตรัง </t>
  </si>
  <si>
    <t xml:space="preserve">นครศรีธรรมราช </t>
  </si>
  <si>
    <t xml:space="preserve">นราธิวาส </t>
  </si>
  <si>
    <t xml:space="preserve">ประจวบคีรีขันธ์ </t>
  </si>
  <si>
    <t xml:space="preserve">ปัตตานี </t>
  </si>
  <si>
    <t xml:space="preserve">พังงา </t>
  </si>
  <si>
    <t xml:space="preserve">เพชรบุรี </t>
  </si>
  <si>
    <t xml:space="preserve">ภูเก็ต </t>
  </si>
  <si>
    <t xml:space="preserve">สตูล </t>
  </si>
  <si>
    <t>พืชไร่-พืชผักฤดูแล้ง</t>
  </si>
  <si>
    <t>พืชไร่-พืชผักฤดูฝน</t>
  </si>
  <si>
    <t>ความจุที่ระดับเก็บกัก</t>
  </si>
  <si>
    <t>ความจุต่ำสุด</t>
  </si>
  <si>
    <t>ฝนใช้การรายสัปดาห์ - ล้าน ลบ.ม.</t>
  </si>
  <si>
    <r>
      <t>ล้าน ม.</t>
    </r>
    <r>
      <rPr>
        <vertAlign val="superscript"/>
        <sz val="10"/>
        <rFont val="Arial"/>
        <family val="2"/>
      </rPr>
      <t>3</t>
    </r>
  </si>
  <si>
    <t>ปริมาณน้ำที่ระดับสูงสุด</t>
  </si>
  <si>
    <t>ปริมาณน้ำที่ระดับเก็บกัก</t>
  </si>
  <si>
    <t>ปริมาณน้ำที่ระดับเก็บกักต่ำสุด</t>
  </si>
  <si>
    <t>พื้นที่ชลประทาน</t>
  </si>
  <si>
    <t>ไร่</t>
  </si>
  <si>
    <t>ข้อมูลอ่างเก็บน้ำ</t>
  </si>
  <si>
    <t>(7.11)</t>
  </si>
  <si>
    <t>(7.12)</t>
  </si>
  <si>
    <t>(7.13)</t>
  </si>
  <si>
    <t>(7.14)</t>
  </si>
  <si>
    <t>(7.15)</t>
  </si>
  <si>
    <t>(7.16)</t>
  </si>
  <si>
    <t>(7.17)</t>
  </si>
  <si>
    <t>(7.18)</t>
  </si>
  <si>
    <t>(7.19)</t>
  </si>
  <si>
    <t>(7.20)</t>
  </si>
  <si>
    <t>ปริมาณน้ำเตรียมแปลง, มม./ฤดู</t>
  </si>
  <si>
    <t>: ปริมาณน้ำส่งจากเขื่อนเพื่อการเกษตร = ((15)-(16))/((17)/100)</t>
  </si>
  <si>
    <t>ปริมาตรน้ำ (ล้าน ลบ.ม.)</t>
  </si>
  <si>
    <t>พื้นที่ผิวน้ำ (ตร.กม.)</t>
  </si>
  <si>
    <t>ข้าวฟ่าง</t>
  </si>
  <si>
    <t>ถั่วลิสง</t>
  </si>
  <si>
    <t>ถั่วเขียว</t>
  </si>
  <si>
    <t>ทานตะวัน</t>
  </si>
  <si>
    <t>หอมแดง</t>
  </si>
  <si>
    <t>ปริมาณน้ำในอ่างฯวันที่ 1 พฤศจิกายน</t>
  </si>
  <si>
    <t>เท่ากับ</t>
  </si>
  <si>
    <t>พื้นที่เป้าหมาย (ไร่)</t>
  </si>
  <si>
    <t>ปริมาณน้ำต้นฤดูฝน</t>
  </si>
  <si>
    <t>เกษตร</t>
  </si>
  <si>
    <t>อุปโภค-</t>
  </si>
  <si>
    <t>ไม้ยืนต้น</t>
  </si>
  <si>
    <t>เริ่ม</t>
  </si>
  <si>
    <t>คิดเป็น %</t>
  </si>
  <si>
    <t>นิเวศ</t>
  </si>
  <si>
    <t>สำนักชลประทานที่ 8</t>
  </si>
  <si>
    <t xml:space="preserve"> สรุปแผนการจัดสรรน้ำและการเพาะปลูกพืช ประจำปี</t>
  </si>
  <si>
    <t>% พ.ท. เทียบพ.ท.ชป.</t>
  </si>
  <si>
    <t>ระยะเวลาการส่งน้ำฤดูแล้ง</t>
  </si>
  <si>
    <t>ทั้งปี</t>
  </si>
  <si>
    <t>ฤดูแล้ง</t>
  </si>
  <si>
    <t>ฤดูฝน</t>
  </si>
  <si>
    <t>ปริมาณน้ำปลายฤดูฝน</t>
  </si>
  <si>
    <t>วันที่ 1 มิ.ย.</t>
  </si>
  <si>
    <t>วันที่ 31 ต.ค.</t>
  </si>
  <si>
    <t>วันที่เริ่มปลูก ช่วงฤดูฝน</t>
  </si>
  <si>
    <t>โครงการ/อ่างเก็บน้ำ</t>
  </si>
  <si>
    <t>พื้นที่ชลประทาน (ไร่)</t>
  </si>
  <si>
    <t>TOTAL</t>
  </si>
  <si>
    <t xml:space="preserve"> ระดับ   (ม.รทก.)</t>
  </si>
  <si>
    <t>ความต้องการใช้น้ำ (ล้าน ลบ.ม.)</t>
  </si>
  <si>
    <t>แผนการจัดสรรน้ำและการเพาะปลูกพืช ฤดูแล้ง</t>
  </si>
  <si>
    <t>แผนการจัดสรรน้ำและการเพาะปลูกพืช ฤดูฝน</t>
  </si>
  <si>
    <t>รวมแผนการจัดสรรน้ำและการเพาะปลูกพืช ทั้งปี</t>
  </si>
  <si>
    <t xml:space="preserve">  อัตราการใช้น้ำเพื่อการเกษตร  (ลบ.ม./ไร่)</t>
  </si>
  <si>
    <t>แบบฟอร์ม สอน.จน. - 1</t>
  </si>
  <si>
    <t xml:space="preserve">ช่วงวันที่ </t>
  </si>
  <si>
    <t>อุปโภค-บริโภค</t>
  </si>
  <si>
    <t>=</t>
  </si>
  <si>
    <t>แผนการจัดสรรน้ำรายสัปดาห์ ปี พ.ศ.</t>
  </si>
  <si>
    <t>ของอ่างเก็บน้ำ</t>
  </si>
  <si>
    <t>ความต้องการน้ำจากอ่างเก็บน้ำ (ล้าน ลบ.ม.)</t>
  </si>
  <si>
    <t>ระบบนิเวศ</t>
  </si>
  <si>
    <t>การระเหย</t>
  </si>
  <si>
    <t xml:space="preserve"> Inflow</t>
  </si>
  <si>
    <t>แผนการเพาะปลูกพืชสะสม (ไร่)</t>
  </si>
  <si>
    <t>สัปดาห์
ที่</t>
  </si>
  <si>
    <t>อุปโภค-
บริโภค</t>
  </si>
  <si>
    <t>รวมการ
ส่งน้ำ</t>
  </si>
  <si>
    <t>พืชไร่
ฤดูแล้ง</t>
  </si>
  <si>
    <t>พืชไร่
ฤดูฝน</t>
  </si>
  <si>
    <t>ข้าว
นาปี</t>
  </si>
  <si>
    <t>ข้าว
นาปรัง</t>
  </si>
  <si>
    <t>ลำดับ
ที่</t>
  </si>
  <si>
    <t>พื้นที่ชลประทาน
(ไร่)</t>
  </si>
  <si>
    <t>ระยะเวลาการส่งน้ำ</t>
  </si>
  <si>
    <t>แผนการจัดสรรน้ำรายเดือน ปี พ.ศ.</t>
  </si>
  <si>
    <t>พื้นที่คาดการณ์ (ไร่)</t>
  </si>
  <si>
    <t>ระยะเวลาการปลูกพืช</t>
  </si>
  <si>
    <t>อุตสาห-</t>
  </si>
  <si>
    <t>ระบบ</t>
  </si>
  <si>
    <t>ข้าวปี</t>
  </si>
  <si>
    <t>กรรม</t>
  </si>
  <si>
    <t xml:space="preserve"> </t>
  </si>
  <si>
    <t>สถิติข้อมูลที่ใช้คำนวณ (ล้าน ลบ.ม.)</t>
  </si>
  <si>
    <t>1-7 พ.ย.</t>
  </si>
  <si>
    <t>8-14 พ.ย.</t>
  </si>
  <si>
    <t>15-21 พ.ย.</t>
  </si>
  <si>
    <t>22 -28 พ.ย.</t>
  </si>
  <si>
    <t>29 พ.ย.-5 ธ.ค.</t>
  </si>
  <si>
    <t>6-12 ธ.ค.</t>
  </si>
  <si>
    <t>13-19 ธ.ค.</t>
  </si>
  <si>
    <t>20-26 ธ.ค.</t>
  </si>
  <si>
    <t>3-9 ม.ค.</t>
  </si>
  <si>
    <t>10-16 ม.ค.</t>
  </si>
  <si>
    <t>27 ธ.ค. - 02 ม.ค.</t>
  </si>
  <si>
    <t>17-23 ม.ค.</t>
  </si>
  <si>
    <t>24-30 ม.ค.</t>
  </si>
  <si>
    <t>31 ม.ค.-6 ก.พ.</t>
  </si>
  <si>
    <t>7-13 ก.พ.</t>
  </si>
  <si>
    <t>14-20 ก.พ.</t>
  </si>
  <si>
    <t>21-27 ก.พ.</t>
  </si>
  <si>
    <t>28 ก.พ.-6 มี.ค.</t>
  </si>
  <si>
    <t>7-13 มี.ค.</t>
  </si>
  <si>
    <t>14-20 มี.ค.</t>
  </si>
  <si>
    <t>21-27 มี.ค.</t>
  </si>
  <si>
    <t>28 มี.ค.-3 เม.ย.</t>
  </si>
  <si>
    <t>4-10 เม.ย.</t>
  </si>
  <si>
    <t>11-17 เม.ย.</t>
  </si>
  <si>
    <t>18-24 เม.ย.</t>
  </si>
  <si>
    <t>25 เม.ย.- 1 พ.ค.</t>
  </si>
  <si>
    <t>2-8 พ.ค.</t>
  </si>
  <si>
    <t>9-15 พ.ค.</t>
  </si>
  <si>
    <t>16-22 พ.ค.</t>
  </si>
  <si>
    <t>23-29 พ.ค.</t>
  </si>
  <si>
    <t>30 พ.ค.-5 มิ.ย.</t>
  </si>
  <si>
    <t>6 - 12 มิ.ย.</t>
  </si>
  <si>
    <t>13 - 19 มิ.ย.</t>
  </si>
  <si>
    <t>20 - 26 มิ.ย.</t>
  </si>
  <si>
    <t>27 มิ.ย. - 3 ก.ค.</t>
  </si>
  <si>
    <t>4 - 10 ก.ค.</t>
  </si>
  <si>
    <t>11 - 17 ก.ค.</t>
  </si>
  <si>
    <t>18 - 24 ก.ค.</t>
  </si>
  <si>
    <t>25 - 31 ก.ค.</t>
  </si>
  <si>
    <t>1 - 7 ส.ค.</t>
  </si>
  <si>
    <t>8 - 14 ส.ค.</t>
  </si>
  <si>
    <t>15 - 21 ส.ค.</t>
  </si>
  <si>
    <t>22 - 28 ส.ค.</t>
  </si>
  <si>
    <t>29 ส.ค. - 4 ก.ย.</t>
  </si>
  <si>
    <t>5 - 11 ก.ย.</t>
  </si>
  <si>
    <t>12 - 18 ก.ย.</t>
  </si>
  <si>
    <t>19 - 25 ก.ย.</t>
  </si>
  <si>
    <t>26 ก.ย.- 2 ต.ค.</t>
  </si>
  <si>
    <t>3 - 9 ต.ค.</t>
  </si>
  <si>
    <t>10 - 16 ต.ค.</t>
  </si>
  <si>
    <t>17 - 23 ต.ค.</t>
  </si>
  <si>
    <t>24 - 31 ต.ค.</t>
  </si>
  <si>
    <t>พฤศจิกายน</t>
  </si>
  <si>
    <t>ธันวาคม</t>
  </si>
  <si>
    <t>มกราคม</t>
  </si>
  <si>
    <t>กุมภาพันธ์</t>
  </si>
  <si>
    <t>มีนาคม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</si>
  <si>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</si>
  <si>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</si>
  <si>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</si>
  <si>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</si>
  <si>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</si>
  <si>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</si>
  <si>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</si>
  <si>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ตารางแผนการจัดสรรน้ำและการเพาะปลูกพืชฤดูฝน</t>
  </si>
  <si>
    <t>ตารางแผนการจัดสรรน้ำและการเพาะปลูกพืชฤดูแล้ง</t>
  </si>
  <si>
    <t>รักษาระบบนิเวศ</t>
  </si>
  <si>
    <t xml:space="preserve">1-7 พ.ย. </t>
  </si>
  <si>
    <t xml:space="preserve">8-14 พ.ย. </t>
  </si>
  <si>
    <t xml:space="preserve">15-21 พ.ย. </t>
  </si>
  <si>
    <t xml:space="preserve">22 -28 พ.ย. </t>
  </si>
  <si>
    <t xml:space="preserve">29 พ.ย.-5 ธ.ค. </t>
  </si>
  <si>
    <t>27ธ.ค.-02 ม.ค.</t>
  </si>
  <si>
    <t xml:space="preserve">31 ม.ค.-6 ก.พ. </t>
  </si>
  <si>
    <t xml:space="preserve">11-17 เม.ย. </t>
  </si>
  <si>
    <t xml:space="preserve">18-24 เม.ย. </t>
  </si>
  <si>
    <t xml:space="preserve">2-8 พ.ค. </t>
  </si>
  <si>
    <t xml:space="preserve">9-15 พ.ค. </t>
  </si>
  <si>
    <t xml:space="preserve">16-22 พ.ค. </t>
  </si>
  <si>
    <t xml:space="preserve">30 พ.ค.-5 มิ.ย. </t>
  </si>
  <si>
    <t>10 - 16ต.ค.</t>
  </si>
  <si>
    <t>17 - 23ต.ค.</t>
  </si>
  <si>
    <t>24 - 31ต.ค.</t>
  </si>
  <si>
    <t>ปริมาณน้ำในอ่าง
ต้นสัปดาห์</t>
  </si>
  <si>
    <t>ปริมาณน้ำในอ่าง
ต้นเดือน</t>
  </si>
  <si>
    <t>ล้าน ลบ.ม.</t>
  </si>
  <si>
    <t>สัปดาห์ที่</t>
  </si>
  <si>
    <t>ช่วงสัปดาห์</t>
  </si>
  <si>
    <t>พื้นที่การเพาะปลูก/เก็บเกี่ยว ข้าวนาปรัง รายสัปดาห์ (ไร่)</t>
  </si>
  <si>
    <t>พื้นที่สะสมสำหรับการเพาะปลูก/เก็บเกี่ยว ข้าวนาปรัง รายสัปดาห์ (ไร่)</t>
  </si>
  <si>
    <t>ปี 50/51</t>
  </si>
  <si>
    <t>ปี 51/52</t>
  </si>
  <si>
    <t>ปี 52/53</t>
  </si>
  <si>
    <t>ปี 53/54</t>
  </si>
  <si>
    <t>ปี 54/55</t>
  </si>
  <si>
    <t>ค่าเฉลี่ย</t>
  </si>
  <si>
    <t>กำหนดแผน</t>
  </si>
  <si>
    <t>ปลูกข้าว</t>
  </si>
  <si>
    <t>เก็บเกี่ยว</t>
  </si>
  <si>
    <t>ปลูกข้าว50/51</t>
  </si>
  <si>
    <t>เก็บเกี่ยว50/51</t>
  </si>
  <si>
    <t>ปลูกข้าว51/52</t>
  </si>
  <si>
    <t>เก็บเกี่ยว51/52</t>
  </si>
  <si>
    <t>ปลูกข้าว52/53</t>
  </si>
  <si>
    <t>เก็บเกี่ยว52/53</t>
  </si>
  <si>
    <t>ปลูกข้าว53/54</t>
  </si>
  <si>
    <t>เก็บเกี่ยว53/54</t>
  </si>
  <si>
    <t>ปลูกข้าว54/55</t>
  </si>
  <si>
    <t>เก็บเกี่ยว54/55</t>
  </si>
  <si>
    <t>แผนปลูกข้าว</t>
  </si>
  <si>
    <t>แผนเก็บเกี่ยว</t>
  </si>
  <si>
    <t>เสียหาย</t>
  </si>
  <si>
    <t>พื้นที่การเพาะปลูก/เก็บเกี่ยว ข้าวนาปี รายสัปดาห์ (ไร่)</t>
  </si>
  <si>
    <t>ปี 2551</t>
  </si>
  <si>
    <t>ปี 2552</t>
  </si>
  <si>
    <t>ปี 2553</t>
  </si>
  <si>
    <t>ปี 2554</t>
  </si>
  <si>
    <t>ปี 2555</t>
  </si>
  <si>
    <t>ปลูกข้าว51</t>
  </si>
  <si>
    <t>เก็บเกี่ยว51</t>
  </si>
  <si>
    <t>ปลูกข้าว52</t>
  </si>
  <si>
    <t>เก็บเกี่ยว52</t>
  </si>
  <si>
    <t>ปลูกข้าว53</t>
  </si>
  <si>
    <t>เก็บเกี่ยว53</t>
  </si>
  <si>
    <t>ปลูกข้าว54</t>
  </si>
  <si>
    <t>เก็บเกี่ยว54</t>
  </si>
  <si>
    <t>ปลูกข้าว55</t>
  </si>
  <si>
    <t>เก็บเกี่ยว55</t>
  </si>
  <si>
    <t>มูลบน</t>
  </si>
  <si>
    <t>ครบุรี</t>
  </si>
  <si>
    <r>
      <t>ปริมาณน้ำ (ล้าน ม.</t>
    </r>
    <r>
      <rPr>
        <vertAlign val="superscript"/>
        <sz val="11"/>
        <rFont val="TH SarabunPSK"/>
        <family val="2"/>
      </rPr>
      <t>3</t>
    </r>
    <r>
      <rPr>
        <sz val="11"/>
        <rFont val="TH SarabunPSK"/>
        <family val="2"/>
      </rPr>
      <t>)</t>
    </r>
  </si>
  <si>
    <r>
      <t>ความต้องการน้ำจากอ่างฯ ล้าน ม.</t>
    </r>
    <r>
      <rPr>
        <vertAlign val="superscript"/>
        <sz val="11"/>
        <rFont val="TH SarabunPSK"/>
        <family val="2"/>
      </rPr>
      <t>3</t>
    </r>
  </si>
  <si>
    <r>
      <t>ความต้องการน้ำรายเดือน - ล้าน ม.</t>
    </r>
    <r>
      <rPr>
        <u/>
        <vertAlign val="superscript"/>
        <sz val="11"/>
        <rFont val="TH SarabunPSK"/>
        <family val="2"/>
      </rPr>
      <t>3</t>
    </r>
  </si>
  <si>
    <r>
      <t>รวม (ล้าน ม.</t>
    </r>
    <r>
      <rPr>
        <b/>
        <vertAlign val="superscript"/>
        <sz val="11"/>
        <rFont val="TH SarabunPSK"/>
        <family val="2"/>
      </rPr>
      <t>3</t>
    </r>
    <r>
      <rPr>
        <b/>
        <sz val="11"/>
        <rFont val="TH SarabunPSK"/>
        <family val="2"/>
      </rPr>
      <t>)</t>
    </r>
  </si>
  <si>
    <r>
      <t>หมายเหตุ :</t>
    </r>
    <r>
      <rPr>
        <sz val="11"/>
        <rFont val="TH SarabunPSK"/>
        <family val="2"/>
      </rPr>
      <t xml:space="preserve">  กำหนดให้วันเริ่มต้นในแต่ละสัปดาห์คือวัน</t>
    </r>
  </si>
  <si>
    <r>
      <t>สถิติข้อมูลพื้นที่การเพาะปลูกข้าว</t>
    </r>
    <r>
      <rPr>
        <b/>
        <u/>
        <sz val="11"/>
        <rFont val="TH SarabunPSK"/>
        <family val="2"/>
      </rPr>
      <t>นาปรัง</t>
    </r>
  </si>
  <si>
    <r>
      <t>สถิติข้อมูลพื้นที่การเพาะปลูกข้าว</t>
    </r>
    <r>
      <rPr>
        <b/>
        <u/>
        <sz val="11"/>
        <rFont val="TH SarabunPSK"/>
        <family val="2"/>
      </rPr>
      <t>นาปี</t>
    </r>
  </si>
  <si>
    <t>ในอ่างจริง</t>
  </si>
  <si>
    <r>
      <t>ปริมาณน้ำที่ระดับเก็บกัก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</si>
  <si>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ปริมาณน้ำ วันที่ 1 พ.ย.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</si>
  <si>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แผนการจัดสรรน้ำ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</si>
  <si>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Inflow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</si>
  <si>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การระเหย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</si>
  <si>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ฝนใช้การ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</si>
  <si>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t>LRC</t>
  </si>
  <si>
    <t>URC</t>
  </si>
  <si>
    <t>หมายเหตุ ใช้ข้อมูลการระเหยของอ่างฯมูลบน เฉลี่ยระหว่างปี 2545 -2554</t>
  </si>
  <si>
    <t xml:space="preserve"> - ค่าการใช้น้ำนอกภาคการเกษตร (อุปโภค-บริโภค อุตสาหกรรม และนิเวศ) คำนวนมาจาก</t>
  </si>
  <si>
    <t>(Vacancy)</t>
  </si>
  <si>
    <t xml:space="preserve"> - ค่า Inflow เป็นค่าปี 2547</t>
  </si>
  <si>
    <t xml:space="preserve">   ไฟล์ WaterDaily_อ่างฯมูลบน.xlsb Sheet PreData ตารางประมาณค่ากิจกรรมการใช้น้ำรายเดือน</t>
  </si>
  <si>
    <t>ส่งน้ำและบำรุงรักษามูลบน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</si>
</sst>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#,##0.0_)"/>
    <numFmt numFmtId="167" formatCode="[$-1070000]mmm"/>
    <numFmt numFmtId="168" formatCode="[$-1070000]dd\ mmm"/>
    <numFmt numFmtId="169" formatCode="_(* #,##0_);_(* \(#,##0\);_(* &quot;-&quot;??_);_(@_)"/>
    <numFmt numFmtId="170" formatCode="\+0.00"/>
    <numFmt numFmtId="171" formatCode="_-* #,##0_-;\-* #,##0_-;_-* &quot;-&quot;??_-;_-@_-"/>
    <numFmt numFmtId="172" formatCode="d\ mmm"/>
    <numFmt numFmtId="173" formatCode="0.0000"/>
    <numFmt numFmtId="174" formatCode="0.0"/>
    <numFmt numFmtId="175" formatCode="d\ mmm\ yy"/>
    <numFmt numFmtId="176" formatCode="#,##0.000"/>
    <numFmt numFmtId="177" formatCode="#,##0.0"/>
    <numFmt numFmtId="178" formatCode="_(* #,##0.00_);_(* \(#,##0.00\);_(* &quot;-&quot;_);_(@_)"/>
    <numFmt numFmtId="179" formatCode="#,##0.00;[Red]#,##0.00"/>
    <numFmt numFmtId="180" formatCode="mmm\ yy"/>
    <numFmt numFmtId="181" formatCode="mmmm\ yy"/>
    <numFmt numFmtId="182" formatCode="[$-107041E]d\ mmm\ yy;@"/>
    <numFmt numFmtId="183" formatCode="dd\ mmm"/>
    <numFmt numFmtId="184" formatCode="#,##0.000;\-#,##0.000"/>
  </numFmts>
  <fonts count="9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5"/>
      <name val="BrowalliaUPC"/>
      <family val="2"/>
    </font>
    <font>
      <sz val="8"/>
      <name val="BrowalliaUPC"/>
      <family val="2"/>
    </font>
    <font>
      <sz val="16"/>
      <name val="CordiaUPC"/>
      <family val="2"/>
    </font>
    <font>
      <sz val="8"/>
      <name val="CordiaUPC"/>
      <family val="2"/>
    </font>
    <font>
      <sz val="10"/>
      <name val="Arial"/>
      <family val="2"/>
    </font>
    <font>
      <sz val="14"/>
      <name val="Arial"/>
      <family val="2"/>
    </font>
    <font>
      <sz val="10"/>
      <color indexed="9"/>
      <name val="Arial"/>
      <family val="2"/>
    </font>
    <font>
      <sz val="10"/>
      <color indexed="18"/>
      <name val="Arial"/>
      <family val="2"/>
    </font>
    <font>
      <b/>
      <sz val="12"/>
      <name val="Arial"/>
      <family val="2"/>
    </font>
    <font>
      <sz val="10"/>
      <color indexed="16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10"/>
      <name val="Univers"/>
    </font>
    <font>
      <b/>
      <sz val="10"/>
      <name val="Univers"/>
    </font>
    <font>
      <sz val="10"/>
      <name val="Univers"/>
    </font>
    <font>
      <i/>
      <sz val="10"/>
      <name val="Univers"/>
    </font>
    <font>
      <b/>
      <sz val="11"/>
      <name val="Arial"/>
      <family val="2"/>
    </font>
    <font>
      <sz val="9"/>
      <color indexed="57"/>
      <name val="Arial"/>
      <family val="2"/>
    </font>
    <font>
      <sz val="10"/>
      <color indexed="16"/>
      <name val="Arial"/>
      <family val="2"/>
    </font>
    <font>
      <sz val="10"/>
      <name val="Arial"/>
      <family val="2"/>
    </font>
    <font>
      <sz val="14"/>
      <name val="AngsanaUPC"/>
      <family val="1"/>
    </font>
    <font>
      <sz val="8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u/>
      <sz val="10"/>
      <name val="Arial"/>
      <family val="2"/>
    </font>
    <font>
      <sz val="10"/>
      <color indexed="12"/>
      <name val="Arial"/>
      <family val="2"/>
    </font>
    <font>
      <sz val="7.5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1"/>
      <color indexed="8"/>
      <name val="Tahoma"/>
      <family val="2"/>
      <charset val="222"/>
    </font>
    <font>
      <sz val="10"/>
      <color indexed="30"/>
      <name val="Arial"/>
      <family val="2"/>
    </font>
    <font>
      <b/>
      <sz val="11"/>
      <name val="TH SarabunPSK"/>
      <family val="2"/>
    </font>
    <font>
      <sz val="11"/>
      <name val="Angsana New"/>
      <family val="1"/>
    </font>
    <font>
      <sz val="11"/>
      <name val="TH SarabunPSK"/>
      <family val="2"/>
    </font>
    <font>
      <vertAlign val="superscript"/>
      <sz val="11"/>
      <name val="TH SarabunPSK"/>
      <family val="2"/>
    </font>
    <font>
      <sz val="11"/>
      <color indexed="8"/>
      <name val="TH SarabunPSK"/>
      <family val="2"/>
    </font>
    <font>
      <b/>
      <sz val="11"/>
      <color indexed="8"/>
      <name val="TH SarabunPSK"/>
      <family val="2"/>
    </font>
    <font>
      <u/>
      <sz val="11"/>
      <name val="TH SarabunPSK"/>
      <family val="2"/>
    </font>
    <font>
      <u/>
      <vertAlign val="superscript"/>
      <sz val="11"/>
      <name val="TH SarabunPSK"/>
      <family val="2"/>
    </font>
    <font>
      <b/>
      <sz val="11"/>
      <name val="Angsana New"/>
      <family val="1"/>
    </font>
    <font>
      <b/>
      <vertAlign val="superscript"/>
      <sz val="11"/>
      <name val="TH SarabunPSK"/>
      <family val="2"/>
    </font>
    <font>
      <b/>
      <u/>
      <sz val="11"/>
      <name val="TH SarabunPSK"/>
      <family val="2"/>
    </font>
    <font>
      <b/>
      <sz val="10"/>
      <name val="TH SarabunPSK"/>
      <family val="2"/>
    </font>
    <font>
      <sz val="10"/>
      <name val="Angsana New"/>
      <family val="1"/>
    </font>
    <font>
      <sz val="10"/>
      <name val="TH SarabunPSK"/>
      <family val="2"/>
    </font>
    <font>
      <vertAlign val="superscript"/>
      <sz val="10"/>
      <name val="TH SarabunPSK"/>
      <family val="2"/>
    </font>
    <font>
      <sz val="10"/>
      <color indexed="8"/>
      <name val="TH SarabunPSK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4"/>
      <name val="Cordia Ne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name val="TH SarabunPSK"/>
      <family val="2"/>
    </font>
    <font>
      <sz val="16"/>
      <name val="TH SarabunPSK"/>
      <family val="2"/>
    </font>
    <font>
      <sz val="10"/>
      <name val="Arial"/>
      <family val="2"/>
    </font>
    <font>
      <sz val="14"/>
      <name val="Angsana New"/>
      <family val="1"/>
    </font>
    <font>
      <u/>
      <sz val="14"/>
      <color indexed="12"/>
      <name val="Cordia New"/>
      <family val="2"/>
    </font>
    <font>
      <sz val="10"/>
      <color indexed="8"/>
      <name val="Arial"/>
      <family val="2"/>
      <charset val="222"/>
    </font>
    <font>
      <sz val="10"/>
      <color theme="0"/>
      <name val="Arial"/>
      <family val="2"/>
      <charset val="222"/>
    </font>
    <font>
      <sz val="11"/>
      <color theme="1"/>
      <name val="Calibri"/>
      <family val="2"/>
      <charset val="222"/>
      <scheme val="minor"/>
    </font>
    <font>
      <sz val="16"/>
      <color theme="1"/>
      <name val="TH SarabunPSK"/>
      <family val="2"/>
      <charset val="222"/>
    </font>
    <font>
      <sz val="14"/>
      <color theme="1"/>
      <name val="Cordia New"/>
      <family val="2"/>
      <charset val="222"/>
    </font>
    <font>
      <sz val="10"/>
      <color rgb="FF00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20"/>
      </left>
      <right style="thin">
        <color indexed="64"/>
      </right>
      <top style="medium">
        <color indexed="20"/>
      </top>
      <bottom style="thin">
        <color indexed="64"/>
      </bottom>
      <diagonal/>
    </border>
    <border>
      <left style="thin">
        <color indexed="64"/>
      </left>
      <right style="medium">
        <color indexed="20"/>
      </right>
      <top style="medium">
        <color indexed="20"/>
      </top>
      <bottom style="thin">
        <color indexed="64"/>
      </bottom>
      <diagonal/>
    </border>
    <border>
      <left style="medium">
        <color indexed="2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2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20"/>
      </right>
      <top style="hair">
        <color indexed="64"/>
      </top>
      <bottom style="hair">
        <color indexed="64"/>
      </bottom>
      <diagonal/>
    </border>
    <border>
      <left style="medium">
        <color indexed="20"/>
      </left>
      <right style="thin">
        <color indexed="64"/>
      </right>
      <top style="hair">
        <color indexed="64"/>
      </top>
      <bottom style="medium">
        <color indexed="20"/>
      </bottom>
      <diagonal/>
    </border>
    <border>
      <left style="thin">
        <color indexed="64"/>
      </left>
      <right style="medium">
        <color indexed="20"/>
      </right>
      <top style="hair">
        <color indexed="64"/>
      </top>
      <bottom style="medium">
        <color indexed="20"/>
      </bottom>
      <diagonal/>
    </border>
    <border>
      <left style="medium">
        <color indexed="18"/>
      </left>
      <right/>
      <top style="medium">
        <color indexed="18"/>
      </top>
      <bottom/>
      <diagonal/>
    </border>
    <border>
      <left/>
      <right/>
      <top style="medium">
        <color indexed="18"/>
      </top>
      <bottom/>
      <diagonal/>
    </border>
    <border>
      <left style="medium">
        <color indexed="18"/>
      </left>
      <right/>
      <top/>
      <bottom/>
      <diagonal/>
    </border>
    <border>
      <left style="thin">
        <color indexed="64"/>
      </left>
      <right style="medium">
        <color indexed="18"/>
      </right>
      <top style="thin">
        <color indexed="64"/>
      </top>
      <bottom/>
      <diagonal/>
    </border>
    <border>
      <left style="thin">
        <color indexed="64"/>
      </left>
      <right style="medium">
        <color indexed="18"/>
      </right>
      <top/>
      <bottom style="thin">
        <color indexed="64"/>
      </bottom>
      <diagonal/>
    </border>
    <border>
      <left style="thin">
        <color indexed="64"/>
      </left>
      <right style="medium">
        <color indexed="18"/>
      </right>
      <top style="thin">
        <color indexed="64"/>
      </top>
      <bottom style="thin">
        <color indexed="64"/>
      </bottom>
      <diagonal/>
    </border>
    <border>
      <left style="medium">
        <color indexed="18"/>
      </left>
      <right/>
      <top/>
      <bottom style="medium">
        <color indexed="1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 style="medium">
        <color indexed="18"/>
      </right>
      <top style="thin">
        <color indexed="64"/>
      </top>
      <bottom style="medium">
        <color indexed="18"/>
      </bottom>
      <diagonal/>
    </border>
    <border>
      <left style="thin">
        <color indexed="64"/>
      </left>
      <right style="medium">
        <color indexed="18"/>
      </right>
      <top/>
      <bottom style="medium">
        <color indexed="18"/>
      </bottom>
      <diagonal/>
    </border>
    <border>
      <left/>
      <right style="medium">
        <color indexed="1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18"/>
      </top>
      <bottom style="thin">
        <color indexed="64"/>
      </bottom>
      <diagonal/>
    </border>
    <border>
      <left/>
      <right style="medium">
        <color indexed="18"/>
      </right>
      <top style="medium">
        <color indexed="18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18"/>
      </left>
      <right/>
      <top style="hair">
        <color indexed="18"/>
      </top>
      <bottom style="medium">
        <color indexed="18"/>
      </bottom>
      <diagonal/>
    </border>
    <border>
      <left style="medium">
        <color indexed="18"/>
      </left>
      <right/>
      <top style="hair">
        <color indexed="18"/>
      </top>
      <bottom style="hair">
        <color indexed="18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 style="hair">
        <color indexed="18"/>
      </top>
      <bottom style="medium">
        <color indexed="18"/>
      </bottom>
      <diagonal/>
    </border>
    <border>
      <left style="medium">
        <color indexed="18"/>
      </left>
      <right/>
      <top style="medium">
        <color indexed="18"/>
      </top>
      <bottom style="hair">
        <color indexed="18"/>
      </bottom>
      <diagonal/>
    </border>
    <border>
      <left style="thin">
        <color indexed="20"/>
      </left>
      <right style="medium">
        <color indexed="20"/>
      </right>
      <top style="hair">
        <color indexed="20"/>
      </top>
      <bottom style="hair">
        <color indexed="2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18"/>
      </bottom>
      <diagonal/>
    </border>
    <border>
      <left style="thin">
        <color indexed="20"/>
      </left>
      <right style="medium">
        <color indexed="20"/>
      </right>
      <top style="hair">
        <color indexed="20"/>
      </top>
      <bottom style="medium">
        <color indexed="20"/>
      </bottom>
      <diagonal/>
    </border>
    <border>
      <left style="thin">
        <color indexed="64"/>
      </left>
      <right style="medium">
        <color indexed="18"/>
      </right>
      <top style="medium">
        <color indexed="18"/>
      </top>
      <bottom style="hair">
        <color indexed="18"/>
      </bottom>
      <diagonal/>
    </border>
    <border>
      <left style="thin">
        <color indexed="64"/>
      </left>
      <right style="medium">
        <color indexed="18"/>
      </right>
      <top style="hair">
        <color indexed="18"/>
      </top>
      <bottom style="medium">
        <color indexed="18"/>
      </bottom>
      <diagonal/>
    </border>
    <border>
      <left/>
      <right style="thin">
        <color indexed="64"/>
      </right>
      <top style="medium">
        <color indexed="18"/>
      </top>
      <bottom style="hair">
        <color indexed="18"/>
      </bottom>
      <diagonal/>
    </border>
    <border>
      <left/>
      <right style="thin">
        <color indexed="64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/>
      <bottom style="hair">
        <color indexed="18"/>
      </bottom>
      <diagonal/>
    </border>
    <border>
      <left/>
      <right/>
      <top/>
      <bottom style="hair">
        <color indexed="18"/>
      </bottom>
      <diagonal/>
    </border>
    <border>
      <left/>
      <right style="thin">
        <color indexed="64"/>
      </right>
      <top/>
      <bottom style="hair">
        <color indexed="18"/>
      </bottom>
      <diagonal/>
    </border>
    <border>
      <left/>
      <right style="thin">
        <color indexed="64"/>
      </right>
      <top style="hair">
        <color indexed="18"/>
      </top>
      <bottom style="medium">
        <color indexed="1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18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medium">
        <color indexed="18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18"/>
      </left>
      <right/>
      <top style="hair">
        <color indexed="18"/>
      </top>
      <bottom style="hair">
        <color indexed="18"/>
      </bottom>
      <diagonal/>
    </border>
    <border>
      <left style="hair">
        <color indexed="18"/>
      </left>
      <right/>
      <top style="hair">
        <color indexed="18"/>
      </top>
      <bottom style="medium">
        <color indexed="18"/>
      </bottom>
      <diagonal/>
    </border>
    <border>
      <left style="medium">
        <color indexed="2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0"/>
      </left>
      <right style="medium">
        <color indexed="20"/>
      </right>
      <top style="medium">
        <color indexed="20"/>
      </top>
      <bottom style="hair">
        <color indexed="20"/>
      </bottom>
      <diagonal/>
    </border>
    <border>
      <left style="medium">
        <color indexed="20"/>
      </left>
      <right style="thin">
        <color indexed="20"/>
      </right>
      <top style="medium">
        <color indexed="20"/>
      </top>
      <bottom/>
      <diagonal/>
    </border>
    <border>
      <left style="thin">
        <color indexed="20"/>
      </left>
      <right style="medium">
        <color indexed="20"/>
      </right>
      <top style="medium">
        <color indexed="20"/>
      </top>
      <bottom/>
      <diagonal/>
    </border>
    <border>
      <left style="thin">
        <color indexed="20"/>
      </left>
      <right/>
      <top style="medium">
        <color indexed="20"/>
      </top>
      <bottom/>
      <diagonal/>
    </border>
    <border>
      <left style="medium">
        <color indexed="20"/>
      </left>
      <right style="thin">
        <color indexed="20"/>
      </right>
      <top style="medium">
        <color indexed="20"/>
      </top>
      <bottom style="hair">
        <color indexed="20"/>
      </bottom>
      <diagonal/>
    </border>
    <border>
      <left style="medium">
        <color indexed="20"/>
      </left>
      <right style="thin">
        <color indexed="20"/>
      </right>
      <top style="hair">
        <color indexed="20"/>
      </top>
      <bottom style="hair">
        <color indexed="20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20"/>
      </left>
      <right style="thin">
        <color indexed="20"/>
      </right>
      <top style="hair">
        <color indexed="20"/>
      </top>
      <bottom style="medium">
        <color indexed="20"/>
      </bottom>
      <diagonal/>
    </border>
    <border>
      <left style="medium">
        <color indexed="20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20"/>
      </right>
      <top/>
      <bottom style="hair">
        <color indexed="64"/>
      </bottom>
      <diagonal/>
    </border>
    <border>
      <left style="medium">
        <color indexed="20"/>
      </left>
      <right style="thin">
        <color indexed="64"/>
      </right>
      <top style="medium">
        <color indexed="20"/>
      </top>
      <bottom style="medium">
        <color indexed="20"/>
      </bottom>
      <diagonal/>
    </border>
    <border>
      <left style="thin">
        <color indexed="64"/>
      </left>
      <right style="medium">
        <color indexed="20"/>
      </right>
      <top style="medium">
        <color indexed="20"/>
      </top>
      <bottom style="medium">
        <color indexed="2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18"/>
      </top>
      <bottom style="thin">
        <color indexed="64"/>
      </bottom>
      <diagonal/>
    </border>
    <border>
      <left/>
      <right style="medium">
        <color indexed="18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18"/>
      </top>
      <bottom style="hair">
        <color indexed="18"/>
      </bottom>
      <diagonal/>
    </border>
    <border>
      <left/>
      <right style="medium">
        <color indexed="18"/>
      </right>
      <top style="hair">
        <color indexed="18"/>
      </top>
      <bottom style="hair">
        <color indexed="18"/>
      </bottom>
      <diagonal/>
    </border>
    <border>
      <left/>
      <right style="medium">
        <color indexed="18"/>
      </right>
      <top style="medium">
        <color indexed="18"/>
      </top>
      <bottom style="hair">
        <color indexed="1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06">
    <xf numFmtId="0" fontId="0" fillId="0" borderId="0"/>
    <xf numFmtId="0" fontId="60" fillId="2" borderId="0" applyNumberFormat="0" applyBorder="0" applyAlignment="0" applyProtection="0"/>
    <xf numFmtId="0" fontId="60" fillId="3" borderId="0" applyNumberFormat="0" applyBorder="0" applyAlignment="0" applyProtection="0"/>
    <xf numFmtId="0" fontId="60" fillId="4" borderId="0" applyNumberFormat="0" applyBorder="0" applyAlignment="0" applyProtection="0"/>
    <xf numFmtId="0" fontId="85" fillId="4" borderId="0" applyNumberFormat="0" applyBorder="0" applyAlignment="0" applyProtection="0"/>
    <xf numFmtId="0" fontId="60" fillId="5" borderId="0" applyNumberFormat="0" applyBorder="0" applyAlignment="0" applyProtection="0"/>
    <xf numFmtId="0" fontId="60" fillId="6" borderId="0" applyNumberFormat="0" applyBorder="0" applyAlignment="0" applyProtection="0"/>
    <xf numFmtId="0" fontId="60" fillId="7" borderId="0" applyNumberFormat="0" applyBorder="0" applyAlignment="0" applyProtection="0"/>
    <xf numFmtId="0" fontId="60" fillId="8" borderId="0" applyNumberFormat="0" applyBorder="0" applyAlignment="0" applyProtection="0"/>
    <xf numFmtId="0" fontId="60" fillId="9" borderId="0" applyNumberFormat="0" applyBorder="0" applyAlignment="0" applyProtection="0"/>
    <xf numFmtId="0" fontId="60" fillId="10" borderId="0" applyNumberFormat="0" applyBorder="0" applyAlignment="0" applyProtection="0"/>
    <xf numFmtId="0" fontId="60" fillId="5" borderId="0" applyNumberFormat="0" applyBorder="0" applyAlignment="0" applyProtection="0"/>
    <xf numFmtId="0" fontId="60" fillId="8" borderId="0" applyNumberFormat="0" applyBorder="0" applyAlignment="0" applyProtection="0"/>
    <xf numFmtId="0" fontId="60" fillId="11" borderId="0" applyNumberFormat="0" applyBorder="0" applyAlignment="0" applyProtection="0"/>
    <xf numFmtId="0" fontId="61" fillId="12" borderId="0" applyNumberFormat="0" applyBorder="0" applyAlignment="0" applyProtection="0"/>
    <xf numFmtId="0" fontId="61" fillId="9" borderId="0" applyNumberFormat="0" applyBorder="0" applyAlignment="0" applyProtection="0"/>
    <xf numFmtId="0" fontId="61" fillId="10" borderId="0" applyNumberFormat="0" applyBorder="0" applyAlignment="0" applyProtection="0"/>
    <xf numFmtId="0" fontId="61" fillId="13" borderId="0" applyNumberFormat="0" applyBorder="0" applyAlignment="0" applyProtection="0"/>
    <xf numFmtId="0" fontId="6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6" fillId="41" borderId="0" applyNumberFormat="0" applyBorder="0" applyAlignment="0" applyProtection="0"/>
    <xf numFmtId="0" fontId="61" fillId="18" borderId="0" applyNumberFormat="0" applyBorder="0" applyAlignment="0" applyProtection="0"/>
    <xf numFmtId="0" fontId="61" fillId="13" borderId="0" applyNumberFormat="0" applyBorder="0" applyAlignment="0" applyProtection="0"/>
    <xf numFmtId="0" fontId="61" fillId="14" borderId="0" applyNumberFormat="0" applyBorder="0" applyAlignment="0" applyProtection="0"/>
    <xf numFmtId="0" fontId="61" fillId="19" borderId="0" applyNumberFormat="0" applyBorder="0" applyAlignment="0" applyProtection="0"/>
    <xf numFmtId="0" fontId="86" fillId="42" borderId="0" applyNumberFormat="0" applyBorder="0" applyAlignment="0" applyProtection="0"/>
    <xf numFmtId="0" fontId="72" fillId="3" borderId="0" applyNumberFormat="0" applyBorder="0" applyAlignment="0" applyProtection="0"/>
    <xf numFmtId="0" fontId="62" fillId="20" borderId="1" applyNumberFormat="0" applyAlignment="0" applyProtection="0"/>
    <xf numFmtId="0" fontId="66" fillId="21" borderId="2" applyNumberFormat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42" fillId="0" borderId="0" applyFont="0" applyFill="0" applyBorder="0" applyAlignment="0" applyProtection="0"/>
    <xf numFmtId="164" fontId="7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2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28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8" fillId="4" borderId="0" applyNumberFormat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top"/>
      <protection locked="0"/>
    </xf>
    <xf numFmtId="0" fontId="69" fillId="7" borderId="1" applyNumberFormat="0" applyAlignment="0" applyProtection="0"/>
    <xf numFmtId="0" fontId="67" fillId="0" borderId="6" applyNumberFormat="0" applyFill="0" applyAlignment="0" applyProtection="0"/>
    <xf numFmtId="0" fontId="70" fillId="22" borderId="0" applyNumberFormat="0" applyBorder="0" applyAlignment="0" applyProtection="0"/>
    <xf numFmtId="0" fontId="77" fillId="0" borderId="0"/>
    <xf numFmtId="0" fontId="77" fillId="0" borderId="0"/>
    <xf numFmtId="0" fontId="8" fillId="0" borderId="0"/>
    <xf numFmtId="0" fontId="77" fillId="0" borderId="0"/>
    <xf numFmtId="0" fontId="87" fillId="0" borderId="0"/>
    <xf numFmtId="0" fontId="77" fillId="0" borderId="0"/>
    <xf numFmtId="0" fontId="8" fillId="0" borderId="0"/>
    <xf numFmtId="0" fontId="8" fillId="0" borderId="0"/>
    <xf numFmtId="0" fontId="87" fillId="0" borderId="0"/>
    <xf numFmtId="0" fontId="87" fillId="0" borderId="0"/>
    <xf numFmtId="0" fontId="87" fillId="0" borderId="0"/>
    <xf numFmtId="0" fontId="77" fillId="0" borderId="0"/>
    <xf numFmtId="0" fontId="88" fillId="0" borderId="0"/>
    <xf numFmtId="0" fontId="77" fillId="0" borderId="0"/>
    <xf numFmtId="0" fontId="89" fillId="0" borderId="0"/>
    <xf numFmtId="0" fontId="77" fillId="0" borderId="0"/>
    <xf numFmtId="0" fontId="1" fillId="0" borderId="0"/>
    <xf numFmtId="0" fontId="4" fillId="0" borderId="0"/>
    <xf numFmtId="0" fontId="6" fillId="0" borderId="0"/>
    <xf numFmtId="0" fontId="28" fillId="0" borderId="0"/>
    <xf numFmtId="0" fontId="28" fillId="0" borderId="0"/>
    <xf numFmtId="0" fontId="8" fillId="23" borderId="7" applyNumberFormat="0" applyFont="0" applyAlignment="0" applyProtection="0"/>
    <xf numFmtId="0" fontId="73" fillId="20" borderId="8" applyNumberFormat="0" applyAlignment="0" applyProtection="0"/>
    <xf numFmtId="9" fontId="1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71" fillId="0" borderId="9" applyNumberFormat="0" applyFill="0" applyAlignment="0" applyProtection="0"/>
    <xf numFmtId="0" fontId="63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83" fillId="0" borderId="0" applyFont="0" applyFill="0" applyBorder="0" applyAlignment="0" applyProtection="0"/>
    <xf numFmtId="0" fontId="4" fillId="0" borderId="0"/>
    <xf numFmtId="0" fontId="8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" fillId="0" borderId="0"/>
    <xf numFmtId="0" fontId="4" fillId="0" borderId="0"/>
    <xf numFmtId="0" fontId="29" fillId="0" borderId="0"/>
    <xf numFmtId="9" fontId="4" fillId="0" borderId="0" applyFont="0" applyFill="0" applyBorder="0" applyAlignment="0" applyProtection="0"/>
  </cellStyleXfs>
  <cellXfs count="84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quotePrefix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0" xfId="72"/>
    <xf numFmtId="0" fontId="1" fillId="0" borderId="12" xfId="72" quotePrefix="1" applyBorder="1" applyAlignment="1">
      <alignment horizontal="center"/>
    </xf>
    <xf numFmtId="0" fontId="8" fillId="0" borderId="12" xfId="74" quotePrefix="1" applyFont="1" applyBorder="1" applyAlignment="1">
      <alignment horizontal="center"/>
    </xf>
    <xf numFmtId="0" fontId="8" fillId="0" borderId="12" xfId="74" applyFont="1" applyBorder="1" applyAlignment="1">
      <alignment horizontal="center"/>
    </xf>
    <xf numFmtId="0" fontId="1" fillId="0" borderId="13" xfId="72" applyBorder="1" applyAlignment="1">
      <alignment horizontal="center"/>
    </xf>
    <xf numFmtId="0" fontId="8" fillId="0" borderId="13" xfId="74" applyFont="1" applyBorder="1" applyAlignment="1">
      <alignment horizontal="left" indent="1"/>
    </xf>
    <xf numFmtId="166" fontId="1" fillId="0" borderId="13" xfId="72" applyNumberFormat="1" applyBorder="1"/>
    <xf numFmtId="0" fontId="1" fillId="0" borderId="10" xfId="72" applyBorder="1" applyAlignment="1">
      <alignment horizontal="center"/>
    </xf>
    <xf numFmtId="0" fontId="8" fillId="0" borderId="10" xfId="74" applyFont="1" applyBorder="1" applyAlignment="1">
      <alignment horizontal="left" indent="1"/>
    </xf>
    <xf numFmtId="166" fontId="1" fillId="0" borderId="10" xfId="72" applyNumberFormat="1" applyBorder="1"/>
    <xf numFmtId="0" fontId="1" fillId="0" borderId="11" xfId="72" applyBorder="1" applyAlignment="1">
      <alignment horizontal="center"/>
    </xf>
    <xf numFmtId="0" fontId="8" fillId="0" borderId="11" xfId="74" applyFont="1" applyBorder="1" applyAlignment="1">
      <alignment horizontal="left" indent="1"/>
    </xf>
    <xf numFmtId="166" fontId="1" fillId="0" borderId="11" xfId="72" applyNumberFormat="1" applyBorder="1"/>
    <xf numFmtId="0" fontId="8" fillId="0" borderId="10" xfId="74" quotePrefix="1" applyFont="1" applyBorder="1" applyAlignment="1">
      <alignment horizontal="left" indent="1"/>
    </xf>
    <xf numFmtId="0" fontId="9" fillId="0" borderId="0" xfId="72" quotePrefix="1" applyFont="1" applyAlignment="1">
      <alignment horizontal="left"/>
    </xf>
    <xf numFmtId="0" fontId="8" fillId="0" borderId="0" xfId="73" applyFont="1"/>
    <xf numFmtId="0" fontId="8" fillId="0" borderId="13" xfId="73" applyFont="1" applyBorder="1" applyAlignment="1">
      <alignment horizontal="center"/>
    </xf>
    <xf numFmtId="0" fontId="8" fillId="0" borderId="10" xfId="73" applyFont="1" applyBorder="1"/>
    <xf numFmtId="0" fontId="8" fillId="0" borderId="11" xfId="73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12" xfId="73" applyFont="1" applyBorder="1"/>
    <xf numFmtId="0" fontId="0" fillId="0" borderId="10" xfId="0" quotePrefix="1" applyBorder="1" applyAlignment="1">
      <alignment horizontal="left"/>
    </xf>
    <xf numFmtId="0" fontId="0" fillId="24" borderId="12" xfId="0" applyFill="1" applyBorder="1" applyAlignment="1">
      <alignment horizontal="center"/>
    </xf>
    <xf numFmtId="0" fontId="0" fillId="24" borderId="10" xfId="0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0" fillId="24" borderId="13" xfId="0" applyFill="1" applyBorder="1" applyAlignment="1">
      <alignment horizontal="center"/>
    </xf>
    <xf numFmtId="0" fontId="12" fillId="0" borderId="0" xfId="73" applyFont="1"/>
    <xf numFmtId="0" fontId="0" fillId="25" borderId="14" xfId="0" applyFill="1" applyBorder="1" applyAlignment="1">
      <alignment horizontal="centerContinuous"/>
    </xf>
    <xf numFmtId="0" fontId="0" fillId="25" borderId="15" xfId="0" applyFill="1" applyBorder="1" applyAlignment="1">
      <alignment horizontal="centerContinuous"/>
    </xf>
    <xf numFmtId="0" fontId="0" fillId="25" borderId="13" xfId="0" applyFill="1" applyBorder="1" applyAlignment="1">
      <alignment horizontal="center"/>
    </xf>
    <xf numFmtId="0" fontId="0" fillId="25" borderId="13" xfId="0" quotePrefix="1" applyFill="1" applyBorder="1" applyAlignment="1">
      <alignment horizontal="center"/>
    </xf>
    <xf numFmtId="0" fontId="0" fillId="25" borderId="13" xfId="0" applyFill="1" applyBorder="1" applyAlignment="1">
      <alignment horizontal="centerContinuous"/>
    </xf>
    <xf numFmtId="0" fontId="0" fillId="25" borderId="12" xfId="0" applyFill="1" applyBorder="1" applyAlignment="1">
      <alignment horizontal="center"/>
    </xf>
    <xf numFmtId="0" fontId="0" fillId="25" borderId="16" xfId="0" applyFill="1" applyBorder="1" applyAlignment="1">
      <alignment horizontal="centerContinuous"/>
    </xf>
    <xf numFmtId="0" fontId="0" fillId="25" borderId="11" xfId="0" applyFill="1" applyBorder="1" applyAlignment="1">
      <alignment horizontal="center"/>
    </xf>
    <xf numFmtId="0" fontId="0" fillId="25" borderId="11" xfId="0" quotePrefix="1" applyFill="1" applyBorder="1" applyAlignment="1">
      <alignment horizontal="center"/>
    </xf>
    <xf numFmtId="0" fontId="0" fillId="25" borderId="12" xfId="0" quotePrefix="1" applyFill="1" applyBorder="1" applyAlignment="1">
      <alignment horizontal="center"/>
    </xf>
    <xf numFmtId="0" fontId="13" fillId="0" borderId="0" xfId="0" quotePrefix="1" applyFont="1" applyAlignment="1">
      <alignment horizontal="left"/>
    </xf>
    <xf numFmtId="0" fontId="14" fillId="0" borderId="0" xfId="0" applyFont="1"/>
    <xf numFmtId="41" fontId="14" fillId="0" borderId="0" xfId="0" applyNumberFormat="1" applyFont="1"/>
    <xf numFmtId="0" fontId="10" fillId="0" borderId="0" xfId="0" applyFont="1" applyAlignment="1">
      <alignment horizontal="center"/>
    </xf>
    <xf numFmtId="0" fontId="0" fillId="0" borderId="0" xfId="0" quotePrefix="1" applyAlignment="1">
      <alignment horizontal="left"/>
    </xf>
    <xf numFmtId="0" fontId="13" fillId="0" borderId="0" xfId="0" applyFont="1" applyAlignment="1">
      <alignment horizontal="left"/>
    </xf>
    <xf numFmtId="41" fontId="16" fillId="0" borderId="12" xfId="0" applyNumberFormat="1" applyFont="1" applyBorder="1"/>
    <xf numFmtId="1" fontId="0" fillId="0" borderId="0" xfId="0" applyNumberFormat="1"/>
    <xf numFmtId="0" fontId="17" fillId="0" borderId="0" xfId="0" applyFont="1"/>
    <xf numFmtId="0" fontId="8" fillId="0" borderId="17" xfId="73" applyFont="1" applyBorder="1" applyAlignment="1">
      <alignment horizontal="center"/>
    </xf>
    <xf numFmtId="4" fontId="8" fillId="0" borderId="17" xfId="73" applyNumberFormat="1" applyFont="1" applyBorder="1" applyAlignment="1">
      <alignment horizontal="center"/>
    </xf>
    <xf numFmtId="0" fontId="8" fillId="0" borderId="17" xfId="73" applyFont="1" applyBorder="1"/>
    <xf numFmtId="0" fontId="8" fillId="0" borderId="18" xfId="73" applyFont="1" applyBorder="1" applyAlignment="1">
      <alignment horizontal="center"/>
    </xf>
    <xf numFmtId="4" fontId="8" fillId="0" borderId="18" xfId="73" applyNumberFormat="1" applyFont="1" applyBorder="1" applyAlignment="1">
      <alignment horizontal="center"/>
    </xf>
    <xf numFmtId="0" fontId="8" fillId="0" borderId="18" xfId="73" applyFont="1" applyBorder="1"/>
    <xf numFmtId="0" fontId="8" fillId="0" borderId="19" xfId="73" applyFont="1" applyBorder="1" applyAlignment="1">
      <alignment horizontal="center"/>
    </xf>
    <xf numFmtId="0" fontId="8" fillId="0" borderId="19" xfId="73" applyFont="1" applyBorder="1"/>
    <xf numFmtId="0" fontId="16" fillId="0" borderId="20" xfId="0" applyFont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0" borderId="22" xfId="0" applyFont="1" applyBorder="1" applyAlignment="1">
      <alignment horizontal="center" vertical="top"/>
    </xf>
    <xf numFmtId="0" fontId="18" fillId="0" borderId="23" xfId="0" applyFont="1" applyBorder="1" applyAlignment="1">
      <alignment vertical="top"/>
    </xf>
    <xf numFmtId="0" fontId="18" fillId="0" borderId="23" xfId="0" applyFont="1" applyBorder="1" applyAlignment="1">
      <alignment horizontal="center" vertical="top"/>
    </xf>
    <xf numFmtId="0" fontId="1" fillId="0" borderId="23" xfId="0" applyFont="1" applyBorder="1" applyAlignment="1">
      <alignment vertical="top"/>
    </xf>
    <xf numFmtId="0" fontId="1" fillId="0" borderId="23" xfId="0" applyFont="1" applyBorder="1" applyAlignment="1">
      <alignment horizontal="center"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horizontal="center" vertical="top"/>
    </xf>
    <xf numFmtId="0" fontId="23" fillId="0" borderId="23" xfId="0" applyFont="1" applyBorder="1" applyAlignment="1">
      <alignment vertical="top"/>
    </xf>
    <xf numFmtId="0" fontId="23" fillId="0" borderId="23" xfId="0" applyFont="1" applyBorder="1" applyAlignment="1">
      <alignment horizontal="center" vertical="top"/>
    </xf>
    <xf numFmtId="16" fontId="23" fillId="0" borderId="23" xfId="0" applyNumberFormat="1" applyFont="1" applyBorder="1" applyAlignment="1">
      <alignment horizontal="center" vertical="top"/>
    </xf>
    <xf numFmtId="0" fontId="23" fillId="0" borderId="20" xfId="0" applyFont="1" applyBorder="1" applyAlignment="1">
      <alignment horizontal="left" vertical="top"/>
    </xf>
    <xf numFmtId="0" fontId="1" fillId="0" borderId="20" xfId="0" applyFont="1" applyBorder="1" applyAlignment="1">
      <alignment vertical="top"/>
    </xf>
    <xf numFmtId="0" fontId="23" fillId="0" borderId="20" xfId="0" applyFont="1" applyBorder="1" applyAlignment="1">
      <alignment horizontal="center" vertical="top"/>
    </xf>
    <xf numFmtId="0" fontId="23" fillId="0" borderId="21" xfId="0" applyFont="1" applyBorder="1" applyAlignment="1">
      <alignment horizontal="left" vertical="top"/>
    </xf>
    <xf numFmtId="0" fontId="1" fillId="0" borderId="21" xfId="0" applyFont="1" applyBorder="1" applyAlignment="1">
      <alignment vertical="top"/>
    </xf>
    <xf numFmtId="0" fontId="23" fillId="0" borderId="21" xfId="0" applyFont="1" applyBorder="1" applyAlignment="1">
      <alignment horizontal="center" vertical="top"/>
    </xf>
    <xf numFmtId="0" fontId="23" fillId="0" borderId="20" xfId="0" applyFont="1" applyBorder="1" applyAlignment="1">
      <alignment vertical="top"/>
    </xf>
    <xf numFmtId="0" fontId="23" fillId="0" borderId="22" xfId="0" applyFont="1" applyBorder="1" applyAlignment="1">
      <alignment vertical="top"/>
    </xf>
    <xf numFmtId="0" fontId="1" fillId="0" borderId="22" xfId="0" applyFont="1" applyBorder="1" applyAlignment="1">
      <alignment vertical="top"/>
    </xf>
    <xf numFmtId="0" fontId="23" fillId="0" borderId="22" xfId="0" applyFont="1" applyBorder="1" applyAlignment="1">
      <alignment horizontal="center" vertical="top"/>
    </xf>
    <xf numFmtId="0" fontId="23" fillId="26" borderId="24" xfId="0" applyFont="1" applyFill="1" applyBorder="1" applyAlignment="1">
      <alignment vertical="top"/>
    </xf>
    <xf numFmtId="0" fontId="23" fillId="26" borderId="25" xfId="0" applyFont="1" applyFill="1" applyBorder="1" applyAlignment="1">
      <alignment horizontal="center" vertical="top"/>
    </xf>
    <xf numFmtId="0" fontId="23" fillId="26" borderId="26" xfId="0" applyFont="1" applyFill="1" applyBorder="1" applyAlignment="1">
      <alignment horizontal="center" vertical="top"/>
    </xf>
    <xf numFmtId="0" fontId="15" fillId="25" borderId="12" xfId="0" applyFont="1" applyFill="1" applyBorder="1" applyAlignment="1">
      <alignment horizontal="centerContinuous"/>
    </xf>
    <xf numFmtId="0" fontId="15" fillId="25" borderId="27" xfId="0" applyFont="1" applyFill="1" applyBorder="1" applyAlignment="1">
      <alignment horizontal="centerContinuous"/>
    </xf>
    <xf numFmtId="0" fontId="15" fillId="25" borderId="15" xfId="0" applyFont="1" applyFill="1" applyBorder="1" applyAlignment="1">
      <alignment horizontal="centerContinuous"/>
    </xf>
    <xf numFmtId="0" fontId="15" fillId="25" borderId="16" xfId="0" applyFont="1" applyFill="1" applyBorder="1" applyAlignment="1">
      <alignment horizontal="centerContinuous"/>
    </xf>
    <xf numFmtId="0" fontId="15" fillId="25" borderId="12" xfId="0" applyFont="1" applyFill="1" applyBorder="1" applyAlignment="1">
      <alignment horizontal="center"/>
    </xf>
    <xf numFmtId="0" fontId="0" fillId="25" borderId="17" xfId="0" applyFill="1" applyBorder="1" applyAlignment="1">
      <alignment horizontal="center"/>
    </xf>
    <xf numFmtId="0" fontId="0" fillId="25" borderId="18" xfId="0" applyFill="1" applyBorder="1" applyAlignment="1">
      <alignment horizontal="center"/>
    </xf>
    <xf numFmtId="0" fontId="0" fillId="25" borderId="19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 indent="1"/>
    </xf>
    <xf numFmtId="0" fontId="10" fillId="27" borderId="28" xfId="0" applyFont="1" applyFill="1" applyBorder="1" applyAlignment="1">
      <alignment horizontal="center"/>
    </xf>
    <xf numFmtId="41" fontId="0" fillId="0" borderId="17" xfId="0" applyNumberFormat="1" applyBorder="1" applyAlignment="1">
      <alignment horizontal="center"/>
    </xf>
    <xf numFmtId="43" fontId="0" fillId="0" borderId="17" xfId="0" applyNumberFormat="1" applyBorder="1"/>
    <xf numFmtId="41" fontId="0" fillId="0" borderId="17" xfId="0" applyNumberFormat="1" applyBorder="1"/>
    <xf numFmtId="167" fontId="0" fillId="25" borderId="18" xfId="0" applyNumberFormat="1" applyFill="1" applyBorder="1" applyAlignment="1">
      <alignment horizontal="center"/>
    </xf>
    <xf numFmtId="43" fontId="0" fillId="0" borderId="18" xfId="0" applyNumberFormat="1" applyBorder="1"/>
    <xf numFmtId="41" fontId="0" fillId="0" borderId="18" xfId="0" applyNumberFormat="1" applyBorder="1"/>
    <xf numFmtId="43" fontId="0" fillId="0" borderId="19" xfId="0" applyNumberFormat="1" applyBorder="1"/>
    <xf numFmtId="41" fontId="0" fillId="0" borderId="19" xfId="0" applyNumberFormat="1" applyBorder="1"/>
    <xf numFmtId="168" fontId="0" fillId="25" borderId="17" xfId="0" applyNumberFormat="1" applyFill="1" applyBorder="1" applyAlignment="1">
      <alignment horizontal="center"/>
    </xf>
    <xf numFmtId="168" fontId="0" fillId="25" borderId="29" xfId="0" applyNumberFormat="1" applyFill="1" applyBorder="1" applyAlignment="1">
      <alignment horizontal="center"/>
    </xf>
    <xf numFmtId="168" fontId="0" fillId="25" borderId="18" xfId="0" applyNumberFormat="1" applyFill="1" applyBorder="1" applyAlignment="1">
      <alignment horizontal="center"/>
    </xf>
    <xf numFmtId="168" fontId="0" fillId="25" borderId="28" xfId="0" applyNumberFormat="1" applyFill="1" applyBorder="1" applyAlignment="1">
      <alignment horizontal="center"/>
    </xf>
    <xf numFmtId="168" fontId="0" fillId="25" borderId="19" xfId="0" applyNumberFormat="1" applyFill="1" applyBorder="1" applyAlignment="1">
      <alignment horizontal="center"/>
    </xf>
    <xf numFmtId="168" fontId="0" fillId="25" borderId="30" xfId="0" applyNumberFormat="1" applyFill="1" applyBorder="1" applyAlignment="1">
      <alignment horizontal="center"/>
    </xf>
    <xf numFmtId="1" fontId="1" fillId="0" borderId="17" xfId="0" applyNumberFormat="1" applyFont="1" applyBorder="1" applyAlignment="1">
      <alignment shrinkToFit="1"/>
    </xf>
    <xf numFmtId="1" fontId="11" fillId="0" borderId="17" xfId="0" applyNumberFormat="1" applyFont="1" applyBorder="1" applyAlignment="1">
      <alignment shrinkToFit="1"/>
    </xf>
    <xf numFmtId="1" fontId="1" fillId="0" borderId="18" xfId="0" applyNumberFormat="1" applyFont="1" applyBorder="1" applyAlignment="1">
      <alignment shrinkToFit="1"/>
    </xf>
    <xf numFmtId="1" fontId="15" fillId="0" borderId="18" xfId="0" applyNumberFormat="1" applyFont="1" applyBorder="1" applyAlignment="1">
      <alignment shrinkToFit="1"/>
    </xf>
    <xf numFmtId="1" fontId="1" fillId="0" borderId="19" xfId="0" applyNumberFormat="1" applyFont="1" applyBorder="1" applyAlignment="1">
      <alignment shrinkToFit="1"/>
    </xf>
    <xf numFmtId="1" fontId="15" fillId="0" borderId="19" xfId="0" applyNumberFormat="1" applyFont="1" applyBorder="1" applyAlignment="1">
      <alignment shrinkToFit="1"/>
    </xf>
    <xf numFmtId="41" fontId="0" fillId="0" borderId="17" xfId="0" applyNumberFormat="1" applyBorder="1" applyAlignment="1">
      <alignment shrinkToFit="1"/>
    </xf>
    <xf numFmtId="41" fontId="0" fillId="0" borderId="18" xfId="0" applyNumberFormat="1" applyBorder="1" applyAlignment="1">
      <alignment shrinkToFit="1"/>
    </xf>
    <xf numFmtId="41" fontId="0" fillId="0" borderId="19" xfId="0" applyNumberFormat="1" applyBorder="1" applyAlignment="1">
      <alignment shrinkToFit="1"/>
    </xf>
    <xf numFmtId="0" fontId="26" fillId="0" borderId="0" xfId="0" quotePrefix="1" applyFont="1" applyAlignment="1">
      <alignment horizontal="center"/>
    </xf>
    <xf numFmtId="0" fontId="10" fillId="27" borderId="31" xfId="0" applyFont="1" applyFill="1" applyBorder="1" applyAlignment="1">
      <alignment horizontal="center"/>
    </xf>
    <xf numFmtId="0" fontId="10" fillId="27" borderId="32" xfId="0" quotePrefix="1" applyFont="1" applyFill="1" applyBorder="1" applyAlignment="1">
      <alignment horizontal="center"/>
    </xf>
    <xf numFmtId="0" fontId="10" fillId="27" borderId="33" xfId="0" applyFont="1" applyFill="1" applyBorder="1" applyAlignment="1">
      <alignment horizontal="center"/>
    </xf>
    <xf numFmtId="3" fontId="0" fillId="28" borderId="34" xfId="0" applyNumberFormat="1" applyFill="1" applyBorder="1" applyAlignment="1">
      <alignment shrinkToFit="1"/>
    </xf>
    <xf numFmtId="3" fontId="0" fillId="28" borderId="35" xfId="0" applyNumberFormat="1" applyFill="1" applyBorder="1" applyAlignment="1">
      <alignment shrinkToFit="1"/>
    </xf>
    <xf numFmtId="0" fontId="10" fillId="27" borderId="36" xfId="0" applyFont="1" applyFill="1" applyBorder="1" applyAlignment="1">
      <alignment horizontal="center"/>
    </xf>
    <xf numFmtId="3" fontId="0" fillId="28" borderId="37" xfId="0" applyNumberFormat="1" applyFill="1" applyBorder="1" applyAlignment="1">
      <alignment shrinkToFit="1"/>
    </xf>
    <xf numFmtId="0" fontId="8" fillId="0" borderId="38" xfId="0" applyFont="1" applyBorder="1"/>
    <xf numFmtId="0" fontId="0" fillId="0" borderId="39" xfId="0" applyBorder="1"/>
    <xf numFmtId="0" fontId="0" fillId="0" borderId="40" xfId="0" applyBorder="1"/>
    <xf numFmtId="0" fontId="8" fillId="0" borderId="40" xfId="0" applyFont="1" applyBorder="1"/>
    <xf numFmtId="0" fontId="0" fillId="28" borderId="41" xfId="0" applyFill="1" applyBorder="1" applyAlignment="1">
      <alignment horizontal="right"/>
    </xf>
    <xf numFmtId="0" fontId="0" fillId="0" borderId="40" xfId="0" quotePrefix="1" applyBorder="1" applyAlignment="1">
      <alignment horizontal="left"/>
    </xf>
    <xf numFmtId="0" fontId="0" fillId="0" borderId="40" xfId="0" applyBorder="1" applyAlignment="1">
      <alignment horizontal="left"/>
    </xf>
    <xf numFmtId="3" fontId="0" fillId="0" borderId="42" xfId="0" applyNumberFormat="1" applyBorder="1" applyAlignment="1">
      <alignment shrinkToFit="1"/>
    </xf>
    <xf numFmtId="0" fontId="0" fillId="28" borderId="43" xfId="0" applyFill="1" applyBorder="1"/>
    <xf numFmtId="0" fontId="0" fillId="0" borderId="44" xfId="0" quotePrefix="1" applyBorder="1" applyAlignment="1">
      <alignment horizontal="left"/>
    </xf>
    <xf numFmtId="0" fontId="0" fillId="0" borderId="45" xfId="0" applyBorder="1"/>
    <xf numFmtId="0" fontId="0" fillId="0" borderId="45" xfId="0" quotePrefix="1" applyBorder="1" applyAlignment="1">
      <alignment horizontal="right" indent="1"/>
    </xf>
    <xf numFmtId="1" fontId="0" fillId="28" borderId="46" xfId="0" applyNumberFormat="1" applyFill="1" applyBorder="1"/>
    <xf numFmtId="0" fontId="1" fillId="28" borderId="43" xfId="0" applyFont="1" applyFill="1" applyBorder="1"/>
    <xf numFmtId="0" fontId="0" fillId="28" borderId="43" xfId="0" applyFill="1" applyBorder="1" applyAlignment="1">
      <alignment horizontal="right"/>
    </xf>
    <xf numFmtId="0" fontId="0" fillId="0" borderId="45" xfId="0" applyBorder="1" applyAlignment="1">
      <alignment horizontal="left"/>
    </xf>
    <xf numFmtId="0" fontId="0" fillId="0" borderId="45" xfId="0" quotePrefix="1" applyBorder="1" applyAlignment="1">
      <alignment horizontal="left"/>
    </xf>
    <xf numFmtId="3" fontId="0" fillId="28" borderId="47" xfId="0" applyNumberFormat="1" applyFill="1" applyBorder="1" applyAlignment="1">
      <alignment shrinkToFit="1"/>
    </xf>
    <xf numFmtId="0" fontId="17" fillId="0" borderId="0" xfId="0" quotePrefix="1" applyFont="1" applyAlignment="1">
      <alignment horizontal="left"/>
    </xf>
    <xf numFmtId="0" fontId="27" fillId="0" borderId="0" xfId="0" quotePrefix="1" applyFon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/>
    <xf numFmtId="0" fontId="0" fillId="29" borderId="12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27" fillId="0" borderId="0" xfId="0" applyFont="1"/>
    <xf numFmtId="167" fontId="0" fillId="25" borderId="17" xfId="0" applyNumberFormat="1" applyFill="1" applyBorder="1" applyAlignment="1">
      <alignment horizontal="center"/>
    </xf>
    <xf numFmtId="167" fontId="0" fillId="25" borderId="19" xfId="0" applyNumberFormat="1" applyFill="1" applyBorder="1" applyAlignment="1">
      <alignment horizontal="center"/>
    </xf>
    <xf numFmtId="0" fontId="0" fillId="28" borderId="12" xfId="0" applyFill="1" applyBorder="1" applyAlignment="1">
      <alignment horizontal="center"/>
    </xf>
    <xf numFmtId="0" fontId="0" fillId="28" borderId="10" xfId="0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0" fillId="0" borderId="0" xfId="0" applyAlignment="1">
      <alignment horizontal="right"/>
    </xf>
    <xf numFmtId="169" fontId="0" fillId="0" borderId="17" xfId="31" applyNumberFormat="1" applyFont="1" applyBorder="1"/>
    <xf numFmtId="169" fontId="0" fillId="0" borderId="18" xfId="31" applyNumberFormat="1" applyFont="1" applyBorder="1"/>
    <xf numFmtId="169" fontId="11" fillId="0" borderId="18" xfId="31" applyNumberFormat="1" applyFont="1" applyBorder="1"/>
    <xf numFmtId="169" fontId="11" fillId="0" borderId="19" xfId="31" applyNumberFormat="1" applyFont="1" applyBorder="1"/>
    <xf numFmtId="169" fontId="0" fillId="0" borderId="0" xfId="31" applyNumberFormat="1" applyFont="1"/>
    <xf numFmtId="0" fontId="0" fillId="0" borderId="14" xfId="0" applyBorder="1" applyAlignment="1">
      <alignment horizontal="right"/>
    </xf>
    <xf numFmtId="0" fontId="0" fillId="0" borderId="48" xfId="0" applyBorder="1"/>
    <xf numFmtId="0" fontId="0" fillId="28" borderId="49" xfId="0" applyFill="1" applyBorder="1" applyAlignment="1">
      <alignment horizontal="right"/>
    </xf>
    <xf numFmtId="0" fontId="0" fillId="0" borderId="50" xfId="0" applyBorder="1" applyAlignment="1">
      <alignment horizontal="right"/>
    </xf>
    <xf numFmtId="0" fontId="0" fillId="28" borderId="14" xfId="0" applyFill="1" applyBorder="1" applyAlignment="1">
      <alignment horizontal="right"/>
    </xf>
    <xf numFmtId="0" fontId="0" fillId="0" borderId="48" xfId="0" applyBorder="1" applyAlignment="1">
      <alignment horizontal="right"/>
    </xf>
    <xf numFmtId="0" fontId="0" fillId="30" borderId="12" xfId="0" applyFill="1" applyBorder="1" applyAlignment="1">
      <alignment horizontal="center"/>
    </xf>
    <xf numFmtId="0" fontId="0" fillId="30" borderId="10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31" borderId="12" xfId="0" applyFill="1" applyBorder="1" applyAlignment="1">
      <alignment horizontal="center"/>
    </xf>
    <xf numFmtId="0" fontId="0" fillId="31" borderId="10" xfId="0" applyFill="1" applyBorder="1" applyAlignment="1">
      <alignment horizontal="center"/>
    </xf>
    <xf numFmtId="0" fontId="0" fillId="31" borderId="11" xfId="0" applyFill="1" applyBorder="1" applyAlignment="1">
      <alignment horizontal="center"/>
    </xf>
    <xf numFmtId="169" fontId="1" fillId="0" borderId="17" xfId="31" applyNumberFormat="1" applyBorder="1"/>
    <xf numFmtId="0" fontId="28" fillId="0" borderId="0" xfId="75"/>
    <xf numFmtId="2" fontId="28" fillId="0" borderId="0" xfId="75" applyNumberFormat="1"/>
    <xf numFmtId="165" fontId="28" fillId="0" borderId="0" xfId="75" applyNumberFormat="1"/>
    <xf numFmtId="0" fontId="28" fillId="0" borderId="10" xfId="75" applyBorder="1" applyAlignment="1">
      <alignment horizontal="center"/>
    </xf>
    <xf numFmtId="0" fontId="28" fillId="0" borderId="17" xfId="75" applyBorder="1" applyAlignment="1">
      <alignment horizontal="center"/>
    </xf>
    <xf numFmtId="0" fontId="28" fillId="0" borderId="19" xfId="75" applyBorder="1" applyAlignment="1">
      <alignment horizontal="center"/>
    </xf>
    <xf numFmtId="0" fontId="28" fillId="0" borderId="19" xfId="75" applyBorder="1"/>
    <xf numFmtId="0" fontId="28" fillId="0" borderId="18" xfId="75" applyBorder="1"/>
    <xf numFmtId="0" fontId="8" fillId="0" borderId="0" xfId="75" applyFont="1"/>
    <xf numFmtId="0" fontId="8" fillId="0" borderId="0" xfId="104" applyFont="1"/>
    <xf numFmtId="0" fontId="8" fillId="0" borderId="0" xfId="75" quotePrefix="1" applyFont="1" applyAlignment="1">
      <alignment horizontal="left"/>
    </xf>
    <xf numFmtId="171" fontId="8" fillId="0" borderId="0" xfId="45" applyNumberFormat="1" applyFont="1" applyBorder="1"/>
    <xf numFmtId="171" fontId="8" fillId="0" borderId="0" xfId="45" applyNumberFormat="1" applyFont="1" applyBorder="1" applyAlignment="1"/>
    <xf numFmtId="0" fontId="8" fillId="0" borderId="0" xfId="75" applyFont="1" applyAlignment="1">
      <alignment horizontal="left"/>
    </xf>
    <xf numFmtId="170" fontId="8" fillId="0" borderId="0" xfId="104" applyNumberFormat="1" applyFont="1" applyAlignment="1">
      <alignment horizontal="center"/>
    </xf>
    <xf numFmtId="0" fontId="8" fillId="31" borderId="13" xfId="75" quotePrefix="1" applyFont="1" applyFill="1" applyBorder="1" applyAlignment="1">
      <alignment horizontal="center"/>
    </xf>
    <xf numFmtId="0" fontId="8" fillId="29" borderId="13" xfId="75" quotePrefix="1" applyFont="1" applyFill="1" applyBorder="1" applyAlignment="1">
      <alignment horizontal="center"/>
    </xf>
    <xf numFmtId="0" fontId="8" fillId="31" borderId="10" xfId="75" applyFont="1" applyFill="1" applyBorder="1" applyAlignment="1">
      <alignment horizontal="center"/>
    </xf>
    <xf numFmtId="0" fontId="8" fillId="31" borderId="10" xfId="75" quotePrefix="1" applyFont="1" applyFill="1" applyBorder="1" applyAlignment="1">
      <alignment horizontal="center"/>
    </xf>
    <xf numFmtId="0" fontId="8" fillId="29" borderId="10" xfId="75" applyFont="1" applyFill="1" applyBorder="1" applyAlignment="1">
      <alignment horizontal="center"/>
    </xf>
    <xf numFmtId="0" fontId="8" fillId="0" borderId="0" xfId="75" applyFont="1" applyAlignment="1">
      <alignment horizontal="center"/>
    </xf>
    <xf numFmtId="0" fontId="8" fillId="31" borderId="11" xfId="75" applyFont="1" applyFill="1" applyBorder="1" applyAlignment="1">
      <alignment horizontal="center"/>
    </xf>
    <xf numFmtId="0" fontId="8" fillId="29" borderId="11" xfId="75" applyFont="1" applyFill="1" applyBorder="1" applyAlignment="1">
      <alignment horizontal="center"/>
    </xf>
    <xf numFmtId="0" fontId="8" fillId="0" borderId="17" xfId="75" applyFont="1" applyBorder="1" applyAlignment="1">
      <alignment horizontal="center"/>
    </xf>
    <xf numFmtId="0" fontId="8" fillId="0" borderId="18" xfId="75" applyFont="1" applyBorder="1" applyAlignment="1">
      <alignment horizontal="center"/>
    </xf>
    <xf numFmtId="0" fontId="33" fillId="0" borderId="0" xfId="75" applyFont="1"/>
    <xf numFmtId="0" fontId="8" fillId="0" borderId="0" xfId="75" quotePrefix="1" applyFont="1" applyAlignment="1">
      <alignment horizontal="center"/>
    </xf>
    <xf numFmtId="0" fontId="34" fillId="0" borderId="0" xfId="75" quotePrefix="1" applyFont="1" applyAlignment="1">
      <alignment horizontal="center"/>
    </xf>
    <xf numFmtId="0" fontId="34" fillId="0" borderId="0" xfId="75" applyFont="1"/>
    <xf numFmtId="0" fontId="8" fillId="28" borderId="0" xfId="75" quotePrefix="1" applyFont="1" applyFill="1" applyAlignment="1">
      <alignment horizontal="center"/>
    </xf>
    <xf numFmtId="0" fontId="8" fillId="28" borderId="0" xfId="75" applyFont="1" applyFill="1"/>
    <xf numFmtId="0" fontId="8" fillId="0" borderId="0" xfId="75" applyFont="1" applyAlignment="1">
      <alignment horizontal="right"/>
    </xf>
    <xf numFmtId="0" fontId="8" fillId="29" borderId="0" xfId="75" applyFont="1" applyFill="1"/>
    <xf numFmtId="0" fontId="16" fillId="0" borderId="0" xfId="75" applyFont="1"/>
    <xf numFmtId="0" fontId="28" fillId="0" borderId="10" xfId="75" applyBorder="1" applyAlignment="1">
      <alignment horizontal="center" vertical="center"/>
    </xf>
    <xf numFmtId="0" fontId="28" fillId="0" borderId="51" xfId="75" applyBorder="1" applyAlignment="1">
      <alignment horizontal="center" vertical="center"/>
    </xf>
    <xf numFmtId="0" fontId="30" fillId="0" borderId="10" xfId="75" applyFont="1" applyBorder="1" applyAlignment="1">
      <alignment horizontal="center" vertical="center"/>
    </xf>
    <xf numFmtId="0" fontId="28" fillId="0" borderId="10" xfId="75" applyBorder="1" applyAlignment="1">
      <alignment vertical="center"/>
    </xf>
    <xf numFmtId="0" fontId="28" fillId="0" borderId="10" xfId="75" quotePrefix="1" applyBorder="1" applyAlignment="1">
      <alignment horizontal="center" vertical="center"/>
    </xf>
    <xf numFmtId="0" fontId="28" fillId="0" borderId="11" xfId="75" quotePrefix="1" applyBorder="1" applyAlignment="1">
      <alignment horizontal="center"/>
    </xf>
    <xf numFmtId="0" fontId="28" fillId="0" borderId="18" xfId="75" applyBorder="1" applyAlignment="1">
      <alignment horizontal="center"/>
    </xf>
    <xf numFmtId="0" fontId="28" fillId="0" borderId="0" xfId="75" applyAlignment="1">
      <alignment horizontal="center"/>
    </xf>
    <xf numFmtId="0" fontId="28" fillId="0" borderId="0" xfId="75" quotePrefix="1" applyAlignment="1">
      <alignment horizontal="left"/>
    </xf>
    <xf numFmtId="0" fontId="28" fillId="0" borderId="0" xfId="75" applyAlignment="1">
      <alignment horizontal="left"/>
    </xf>
    <xf numFmtId="0" fontId="28" fillId="0" borderId="52" xfId="75" applyBorder="1"/>
    <xf numFmtId="0" fontId="28" fillId="0" borderId="17" xfId="75" quotePrefix="1" applyBorder="1" applyAlignment="1">
      <alignment horizontal="center"/>
    </xf>
    <xf numFmtId="0" fontId="28" fillId="0" borderId="18" xfId="75" quotePrefix="1" applyBorder="1" applyAlignment="1">
      <alignment horizontal="center"/>
    </xf>
    <xf numFmtId="0" fontId="0" fillId="0" borderId="53" xfId="0" quotePrefix="1" applyBorder="1" applyAlignment="1">
      <alignment horizontal="left"/>
    </xf>
    <xf numFmtId="0" fontId="0" fillId="0" borderId="54" xfId="0" quotePrefix="1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55" xfId="0" applyBorder="1"/>
    <xf numFmtId="0" fontId="0" fillId="0" borderId="56" xfId="0" applyBorder="1"/>
    <xf numFmtId="0" fontId="8" fillId="0" borderId="57" xfId="0" applyFont="1" applyBorder="1"/>
    <xf numFmtId="0" fontId="0" fillId="28" borderId="46" xfId="0" applyFill="1" applyBorder="1" applyProtection="1">
      <protection locked="0"/>
    </xf>
    <xf numFmtId="3" fontId="0" fillId="28" borderId="58" xfId="0" applyNumberFormat="1" applyFill="1" applyBorder="1" applyAlignment="1" applyProtection="1">
      <alignment shrinkToFit="1"/>
      <protection locked="0"/>
    </xf>
    <xf numFmtId="0" fontId="0" fillId="28" borderId="41" xfId="0" applyFill="1" applyBorder="1" applyAlignment="1" applyProtection="1">
      <alignment horizontal="right"/>
      <protection locked="0"/>
    </xf>
    <xf numFmtId="0" fontId="0" fillId="28" borderId="59" xfId="0" applyFill="1" applyBorder="1" applyAlignment="1" applyProtection="1">
      <alignment horizontal="right"/>
      <protection locked="0"/>
    </xf>
    <xf numFmtId="0" fontId="1" fillId="28" borderId="43" xfId="0" applyFont="1" applyFill="1" applyBorder="1" applyProtection="1">
      <protection locked="0"/>
    </xf>
    <xf numFmtId="0" fontId="1" fillId="28" borderId="14" xfId="0" applyFont="1" applyFill="1" applyBorder="1" applyProtection="1">
      <protection locked="0"/>
    </xf>
    <xf numFmtId="1" fontId="0" fillId="28" borderId="46" xfId="0" applyNumberFormat="1" applyFill="1" applyBorder="1" applyProtection="1">
      <protection locked="0"/>
    </xf>
    <xf numFmtId="1" fontId="0" fillId="28" borderId="60" xfId="0" applyNumberFormat="1" applyFill="1" applyBorder="1" applyProtection="1">
      <protection locked="0"/>
    </xf>
    <xf numFmtId="3" fontId="0" fillId="28" borderId="61" xfId="0" applyNumberFormat="1" applyFill="1" applyBorder="1" applyAlignment="1" applyProtection="1">
      <alignment shrinkToFit="1"/>
      <protection locked="0"/>
    </xf>
    <xf numFmtId="3" fontId="0" fillId="28" borderId="62" xfId="0" applyNumberFormat="1" applyFill="1" applyBorder="1" applyAlignment="1" applyProtection="1">
      <alignment shrinkToFit="1"/>
      <protection locked="0"/>
    </xf>
    <xf numFmtId="3" fontId="0" fillId="28" borderId="47" xfId="0" applyNumberFormat="1" applyFill="1" applyBorder="1" applyAlignment="1" applyProtection="1">
      <alignment shrinkToFit="1"/>
      <protection locked="0"/>
    </xf>
    <xf numFmtId="3" fontId="0" fillId="28" borderId="63" xfId="0" applyNumberFormat="1" applyFill="1" applyBorder="1" applyAlignment="1" applyProtection="1">
      <alignment shrinkToFit="1"/>
      <protection locked="0"/>
    </xf>
    <xf numFmtId="0" fontId="16" fillId="0" borderId="0" xfId="75" applyFont="1" applyAlignment="1">
      <alignment horizontal="right"/>
    </xf>
    <xf numFmtId="0" fontId="16" fillId="0" borderId="0" xfId="75" quotePrefix="1" applyFont="1"/>
    <xf numFmtId="0" fontId="0" fillId="0" borderId="64" xfId="0" applyBorder="1"/>
    <xf numFmtId="0" fontId="0" fillId="0" borderId="65" xfId="0" applyBorder="1"/>
    <xf numFmtId="0" fontId="0" fillId="0" borderId="57" xfId="0" applyBorder="1"/>
    <xf numFmtId="0" fontId="8" fillId="0" borderId="66" xfId="0" applyFont="1" applyBorder="1"/>
    <xf numFmtId="0" fontId="0" fillId="0" borderId="67" xfId="0" applyBorder="1"/>
    <xf numFmtId="0" fontId="10" fillId="0" borderId="68" xfId="0" applyFont="1" applyBorder="1" applyAlignment="1">
      <alignment horizontal="center"/>
    </xf>
    <xf numFmtId="0" fontId="0" fillId="0" borderId="65" xfId="0" quotePrefix="1" applyBorder="1" applyAlignment="1">
      <alignment horizontal="left"/>
    </xf>
    <xf numFmtId="0" fontId="0" fillId="0" borderId="65" xfId="0" quotePrefix="1" applyBorder="1" applyAlignment="1">
      <alignment horizontal="right" indent="1"/>
    </xf>
    <xf numFmtId="0" fontId="0" fillId="0" borderId="69" xfId="0" quotePrefix="1" applyBorder="1" applyAlignment="1">
      <alignment horizontal="right" indent="1"/>
    </xf>
    <xf numFmtId="3" fontId="0" fillId="0" borderId="70" xfId="0" applyNumberFormat="1" applyBorder="1" applyAlignment="1">
      <alignment shrinkToFit="1"/>
    </xf>
    <xf numFmtId="0" fontId="0" fillId="0" borderId="57" xfId="0" quotePrefix="1" applyBorder="1" applyAlignment="1">
      <alignment horizontal="left"/>
    </xf>
    <xf numFmtId="0" fontId="0" fillId="0" borderId="71" xfId="0" applyBorder="1" applyAlignment="1">
      <alignment horizontal="left"/>
    </xf>
    <xf numFmtId="0" fontId="0" fillId="0" borderId="56" xfId="0" applyBorder="1" applyAlignment="1">
      <alignment horizontal="left"/>
    </xf>
    <xf numFmtId="0" fontId="8" fillId="28" borderId="0" xfId="75" applyFont="1" applyFill="1" applyProtection="1">
      <protection locked="0"/>
    </xf>
    <xf numFmtId="172" fontId="8" fillId="0" borderId="17" xfId="75" quotePrefix="1" applyNumberFormat="1" applyFont="1" applyBorder="1" applyAlignment="1">
      <alignment horizontal="center"/>
    </xf>
    <xf numFmtId="172" fontId="8" fillId="0" borderId="18" xfId="75" quotePrefix="1" applyNumberFormat="1" applyFont="1" applyBorder="1" applyAlignment="1">
      <alignment horizontal="center"/>
    </xf>
    <xf numFmtId="0" fontId="0" fillId="0" borderId="71" xfId="0" applyBorder="1"/>
    <xf numFmtId="0" fontId="0" fillId="0" borderId="54" xfId="0" applyBorder="1"/>
    <xf numFmtId="0" fontId="8" fillId="0" borderId="54" xfId="0" applyFont="1" applyBorder="1"/>
    <xf numFmtId="0" fontId="0" fillId="0" borderId="55" xfId="0" quotePrefix="1" applyBorder="1" applyAlignment="1">
      <alignment horizontal="left"/>
    </xf>
    <xf numFmtId="0" fontId="0" fillId="0" borderId="55" xfId="0" quotePrefix="1" applyBorder="1" applyAlignment="1">
      <alignment horizontal="right" indent="1"/>
    </xf>
    <xf numFmtId="0" fontId="0" fillId="0" borderId="56" xfId="0" quotePrefix="1" applyBorder="1" applyAlignment="1">
      <alignment horizontal="right" indent="1"/>
    </xf>
    <xf numFmtId="3" fontId="0" fillId="0" borderId="72" xfId="0" applyNumberFormat="1" applyBorder="1" applyAlignment="1">
      <alignment shrinkToFit="1"/>
    </xf>
    <xf numFmtId="0" fontId="0" fillId="28" borderId="72" xfId="0" applyFill="1" applyBorder="1"/>
    <xf numFmtId="1" fontId="0" fillId="28" borderId="73" xfId="0" applyNumberFormat="1" applyFill="1" applyBorder="1"/>
    <xf numFmtId="0" fontId="8" fillId="0" borderId="0" xfId="104" quotePrefix="1" applyFont="1" applyAlignment="1">
      <alignment horizontal="right"/>
    </xf>
    <xf numFmtId="0" fontId="8" fillId="0" borderId="0" xfId="104" applyFont="1" applyAlignment="1">
      <alignment horizontal="right"/>
    </xf>
    <xf numFmtId="0" fontId="8" fillId="0" borderId="0" xfId="75" quotePrefix="1" applyFont="1" applyAlignment="1">
      <alignment horizontal="right"/>
    </xf>
    <xf numFmtId="0" fontId="28" fillId="0" borderId="0" xfId="76"/>
    <xf numFmtId="0" fontId="28" fillId="0" borderId="23" xfId="76" applyBorder="1" applyAlignment="1">
      <alignment horizontal="center"/>
    </xf>
    <xf numFmtId="0" fontId="28" fillId="0" borderId="20" xfId="76" applyBorder="1" applyAlignment="1">
      <alignment horizontal="center"/>
    </xf>
    <xf numFmtId="0" fontId="28" fillId="0" borderId="21" xfId="76" applyBorder="1" applyAlignment="1">
      <alignment horizontal="center"/>
    </xf>
    <xf numFmtId="0" fontId="28" fillId="0" borderId="22" xfId="76" applyBorder="1" applyAlignment="1">
      <alignment horizontal="center"/>
    </xf>
    <xf numFmtId="0" fontId="28" fillId="0" borderId="20" xfId="76" applyBorder="1" applyAlignment="1">
      <alignment horizontal="left"/>
    </xf>
    <xf numFmtId="0" fontId="28" fillId="0" borderId="22" xfId="76" applyBorder="1" applyAlignment="1">
      <alignment horizontal="left"/>
    </xf>
    <xf numFmtId="0" fontId="28" fillId="0" borderId="21" xfId="76" applyBorder="1" applyAlignment="1">
      <alignment horizontal="left"/>
    </xf>
    <xf numFmtId="0" fontId="28" fillId="0" borderId="21" xfId="76" quotePrefix="1" applyBorder="1" applyAlignment="1">
      <alignment horizontal="left"/>
    </xf>
    <xf numFmtId="0" fontId="28" fillId="0" borderId="0" xfId="76" applyAlignment="1">
      <alignment horizontal="left"/>
    </xf>
    <xf numFmtId="0" fontId="1" fillId="28" borderId="0" xfId="72" applyFill="1"/>
    <xf numFmtId="0" fontId="1" fillId="28" borderId="12" xfId="72" applyFill="1" applyBorder="1" applyAlignment="1">
      <alignment horizontal="center"/>
    </xf>
    <xf numFmtId="0" fontId="1" fillId="29" borderId="0" xfId="72" applyFill="1"/>
    <xf numFmtId="0" fontId="1" fillId="29" borderId="12" xfId="72" applyFill="1" applyBorder="1" applyAlignment="1">
      <alignment horizontal="center"/>
    </xf>
    <xf numFmtId="166" fontId="1" fillId="0" borderId="0" xfId="72" applyNumberFormat="1"/>
    <xf numFmtId="43" fontId="0" fillId="0" borderId="18" xfId="31" applyFont="1" applyBorder="1"/>
    <xf numFmtId="43" fontId="0" fillId="0" borderId="18" xfId="31" quotePrefix="1" applyFont="1" applyBorder="1" applyAlignment="1">
      <alignment horizontal="left"/>
    </xf>
    <xf numFmtId="0" fontId="28" fillId="0" borderId="74" xfId="75" applyBorder="1"/>
    <xf numFmtId="0" fontId="28" fillId="0" borderId="12" xfId="75" applyBorder="1"/>
    <xf numFmtId="0" fontId="16" fillId="0" borderId="12" xfId="75" applyFont="1" applyBorder="1"/>
    <xf numFmtId="0" fontId="25" fillId="0" borderId="0" xfId="75" quotePrefix="1" applyFont="1" applyAlignment="1">
      <alignment horizontal="center"/>
    </xf>
    <xf numFmtId="169" fontId="8" fillId="0" borderId="0" xfId="31" applyNumberFormat="1" applyFont="1" applyBorder="1" applyAlignment="1">
      <alignment horizontal="center"/>
    </xf>
    <xf numFmtId="0" fontId="8" fillId="28" borderId="0" xfId="0" applyFont="1" applyFill="1" applyAlignment="1" applyProtection="1">
      <alignment horizontal="left"/>
      <protection locked="0"/>
    </xf>
    <xf numFmtId="0" fontId="36" fillId="31" borderId="10" xfId="75" applyFont="1" applyFill="1" applyBorder="1" applyAlignment="1">
      <alignment horizontal="center"/>
    </xf>
    <xf numFmtId="0" fontId="36" fillId="31" borderId="10" xfId="75" quotePrefix="1" applyFont="1" applyFill="1" applyBorder="1" applyAlignment="1">
      <alignment horizontal="center"/>
    </xf>
    <xf numFmtId="0" fontId="36" fillId="29" borderId="10" xfId="75" applyFont="1" applyFill="1" applyBorder="1" applyAlignment="1">
      <alignment horizontal="center"/>
    </xf>
    <xf numFmtId="0" fontId="8" fillId="29" borderId="10" xfId="75" quotePrefix="1" applyFont="1" applyFill="1" applyBorder="1" applyAlignment="1">
      <alignment horizontal="center"/>
    </xf>
    <xf numFmtId="164" fontId="28" fillId="0" borderId="0" xfId="75" applyNumberFormat="1"/>
    <xf numFmtId="43" fontId="28" fillId="0" borderId="17" xfId="31" applyFont="1" applyBorder="1"/>
    <xf numFmtId="43" fontId="28" fillId="0" borderId="18" xfId="31" applyFont="1" applyBorder="1"/>
    <xf numFmtId="43" fontId="28" fillId="0" borderId="12" xfId="31" applyFont="1" applyBorder="1"/>
    <xf numFmtId="0" fontId="28" fillId="0" borderId="19" xfId="75" quotePrefix="1" applyBorder="1" applyAlignment="1">
      <alignment horizontal="center"/>
    </xf>
    <xf numFmtId="43" fontId="28" fillId="0" borderId="19" xfId="31" applyFont="1" applyBorder="1"/>
    <xf numFmtId="0" fontId="0" fillId="25" borderId="13" xfId="0" applyFill="1" applyBorder="1" applyAlignment="1">
      <alignment horizontal="left"/>
    </xf>
    <xf numFmtId="174" fontId="28" fillId="0" borderId="75" xfId="76" applyNumberFormat="1" applyBorder="1" applyAlignment="1">
      <alignment horizontal="center"/>
    </xf>
    <xf numFmtId="174" fontId="28" fillId="0" borderId="75" xfId="76" applyNumberFormat="1" applyBorder="1"/>
    <xf numFmtId="174" fontId="28" fillId="0" borderId="76" xfId="76" applyNumberFormat="1" applyBorder="1" applyAlignment="1">
      <alignment horizontal="center"/>
    </xf>
    <xf numFmtId="174" fontId="28" fillId="0" borderId="76" xfId="76" applyNumberFormat="1" applyBorder="1"/>
    <xf numFmtId="174" fontId="28" fillId="0" borderId="77" xfId="76" applyNumberFormat="1" applyBorder="1" applyAlignment="1">
      <alignment horizontal="center"/>
    </xf>
    <xf numFmtId="174" fontId="28" fillId="0" borderId="77" xfId="76" applyNumberFormat="1" applyBorder="1"/>
    <xf numFmtId="0" fontId="28" fillId="0" borderId="52" xfId="75" quotePrefix="1" applyBorder="1" applyAlignment="1">
      <alignment horizontal="left"/>
    </xf>
    <xf numFmtId="0" fontId="28" fillId="0" borderId="13" xfId="75" applyBorder="1" applyAlignment="1">
      <alignment vertical="center"/>
    </xf>
    <xf numFmtId="0" fontId="28" fillId="0" borderId="13" xfId="75" applyBorder="1" applyAlignment="1">
      <alignment horizontal="center" vertical="center"/>
    </xf>
    <xf numFmtId="0" fontId="28" fillId="0" borderId="0" xfId="75" quotePrefix="1"/>
    <xf numFmtId="1" fontId="28" fillId="0" borderId="0" xfId="75" applyNumberFormat="1"/>
    <xf numFmtId="4" fontId="8" fillId="0" borderId="17" xfId="75" applyNumberFormat="1" applyFont="1" applyBorder="1"/>
    <xf numFmtId="4" fontId="8" fillId="0" borderId="18" xfId="45" applyNumberFormat="1" applyFont="1" applyBorder="1"/>
    <xf numFmtId="4" fontId="35" fillId="0" borderId="0" xfId="31" applyNumberFormat="1" applyFont="1" applyFill="1"/>
    <xf numFmtId="4" fontId="8" fillId="0" borderId="0" xfId="75" applyNumberFormat="1" applyFont="1"/>
    <xf numFmtId="4" fontId="8" fillId="0" borderId="18" xfId="75" applyNumberFormat="1" applyFont="1" applyBorder="1"/>
    <xf numFmtId="4" fontId="8" fillId="0" borderId="19" xfId="75" applyNumberFormat="1" applyFont="1" applyBorder="1"/>
    <xf numFmtId="4" fontId="8" fillId="32" borderId="78" xfId="75" applyNumberFormat="1" applyFont="1" applyFill="1" applyBorder="1" applyAlignment="1">
      <alignment horizontal="center"/>
    </xf>
    <xf numFmtId="4" fontId="8" fillId="32" borderId="11" xfId="75" applyNumberFormat="1" applyFont="1" applyFill="1" applyBorder="1"/>
    <xf numFmtId="4" fontId="8" fillId="33" borderId="11" xfId="75" applyNumberFormat="1" applyFont="1" applyFill="1" applyBorder="1"/>
    <xf numFmtId="4" fontId="8" fillId="0" borderId="17" xfId="45" applyNumberFormat="1" applyFont="1" applyBorder="1"/>
    <xf numFmtId="4" fontId="8" fillId="0" borderId="19" xfId="45" applyNumberFormat="1" applyFont="1" applyBorder="1"/>
    <xf numFmtId="0" fontId="10" fillId="27" borderId="12" xfId="0" applyFont="1" applyFill="1" applyBorder="1" applyAlignment="1">
      <alignment horizontal="center" vertical="center" wrapText="1"/>
    </xf>
    <xf numFmtId="0" fontId="38" fillId="27" borderId="12" xfId="0" applyFont="1" applyFill="1" applyBorder="1" applyAlignment="1">
      <alignment vertical="center" wrapText="1"/>
    </xf>
    <xf numFmtId="173" fontId="8" fillId="28" borderId="18" xfId="75" applyNumberFormat="1" applyFont="1" applyFill="1" applyBorder="1" applyProtection="1">
      <protection locked="0"/>
    </xf>
    <xf numFmtId="173" fontId="8" fillId="28" borderId="17" xfId="75" applyNumberFormat="1" applyFont="1" applyFill="1" applyBorder="1" applyProtection="1">
      <protection locked="0"/>
    </xf>
    <xf numFmtId="173" fontId="8" fillId="28" borderId="19" xfId="75" applyNumberFormat="1" applyFont="1" applyFill="1" applyBorder="1" applyProtection="1">
      <protection locked="0"/>
    </xf>
    <xf numFmtId="177" fontId="28" fillId="0" borderId="20" xfId="31" applyNumberFormat="1" applyFont="1" applyFill="1" applyBorder="1" applyAlignment="1">
      <alignment horizontal="center"/>
    </xf>
    <xf numFmtId="177" fontId="28" fillId="0" borderId="21" xfId="31" applyNumberFormat="1" applyFont="1" applyFill="1" applyBorder="1" applyAlignment="1">
      <alignment horizontal="center"/>
    </xf>
    <xf numFmtId="177" fontId="28" fillId="0" borderId="22" xfId="31" applyNumberFormat="1" applyFont="1" applyFill="1" applyBorder="1" applyAlignment="1">
      <alignment horizontal="center"/>
    </xf>
    <xf numFmtId="0" fontId="31" fillId="0" borderId="0" xfId="75" applyFont="1" applyAlignment="1">
      <alignment horizontal="center"/>
    </xf>
    <xf numFmtId="0" fontId="39" fillId="0" borderId="0" xfId="75" applyFont="1" applyAlignment="1">
      <alignment vertical="center"/>
    </xf>
    <xf numFmtId="1" fontId="39" fillId="0" borderId="0" xfId="75" applyNumberFormat="1" applyFont="1"/>
    <xf numFmtId="0" fontId="39" fillId="0" borderId="0" xfId="75" applyFont="1"/>
    <xf numFmtId="164" fontId="0" fillId="0" borderId="0" xfId="0" applyNumberFormat="1"/>
    <xf numFmtId="178" fontId="0" fillId="0" borderId="17" xfId="0" applyNumberFormat="1" applyBorder="1"/>
    <xf numFmtId="178" fontId="0" fillId="0" borderId="18" xfId="0" applyNumberFormat="1" applyBorder="1"/>
    <xf numFmtId="178" fontId="0" fillId="0" borderId="19" xfId="0" applyNumberFormat="1" applyBorder="1"/>
    <xf numFmtId="169" fontId="0" fillId="0" borderId="12" xfId="31" applyNumberFormat="1" applyFont="1" applyBorder="1"/>
    <xf numFmtId="4" fontId="8" fillId="28" borderId="18" xfId="31" applyNumberFormat="1" applyFont="1" applyFill="1" applyBorder="1" applyProtection="1">
      <protection locked="0"/>
    </xf>
    <xf numFmtId="4" fontId="8" fillId="28" borderId="18" xfId="75" applyNumberFormat="1" applyFont="1" applyFill="1" applyBorder="1" applyProtection="1">
      <protection locked="0"/>
    </xf>
    <xf numFmtId="4" fontId="8" fillId="28" borderId="18" xfId="0" applyNumberFormat="1" applyFont="1" applyFill="1" applyBorder="1" applyProtection="1">
      <protection locked="0"/>
    </xf>
    <xf numFmtId="4" fontId="8" fillId="28" borderId="19" xfId="31" applyNumberFormat="1" applyFont="1" applyFill="1" applyBorder="1" applyProtection="1">
      <protection locked="0"/>
    </xf>
    <xf numFmtId="4" fontId="8" fillId="28" borderId="19" xfId="0" applyNumberFormat="1" applyFont="1" applyFill="1" applyBorder="1" applyProtection="1">
      <protection locked="0"/>
    </xf>
    <xf numFmtId="3" fontId="8" fillId="0" borderId="0" xfId="75" applyNumberFormat="1" applyFont="1"/>
    <xf numFmtId="165" fontId="8" fillId="0" borderId="0" xfId="0" applyNumberFormat="1" applyFont="1"/>
    <xf numFmtId="4" fontId="8" fillId="0" borderId="17" xfId="31" applyNumberFormat="1" applyFont="1" applyFill="1" applyBorder="1" applyProtection="1"/>
    <xf numFmtId="4" fontId="8" fillId="0" borderId="18" xfId="31" applyNumberFormat="1" applyFont="1" applyFill="1" applyBorder="1" applyProtection="1"/>
    <xf numFmtId="4" fontId="8" fillId="0" borderId="19" xfId="31" applyNumberFormat="1" applyFont="1" applyFill="1" applyBorder="1" applyProtection="1"/>
    <xf numFmtId="3" fontId="8" fillId="28" borderId="17" xfId="75" applyNumberFormat="1" applyFont="1" applyFill="1" applyBorder="1" applyProtection="1">
      <protection locked="0"/>
    </xf>
    <xf numFmtId="0" fontId="8" fillId="28" borderId="18" xfId="75" applyFont="1" applyFill="1" applyBorder="1" applyProtection="1">
      <protection locked="0"/>
    </xf>
    <xf numFmtId="3" fontId="8" fillId="28" borderId="18" xfId="75" applyNumberFormat="1" applyFont="1" applyFill="1" applyBorder="1" applyProtection="1">
      <protection locked="0"/>
    </xf>
    <xf numFmtId="165" fontId="8" fillId="28" borderId="18" xfId="0" applyNumberFormat="1" applyFont="1" applyFill="1" applyBorder="1" applyProtection="1">
      <protection locked="0"/>
    </xf>
    <xf numFmtId="0" fontId="0" fillId="0" borderId="79" xfId="0" applyBorder="1"/>
    <xf numFmtId="0" fontId="0" fillId="0" borderId="80" xfId="0" applyBorder="1"/>
    <xf numFmtId="0" fontId="8" fillId="0" borderId="29" xfId="104" quotePrefix="1" applyFont="1" applyBorder="1" applyAlignment="1">
      <alignment horizontal="right"/>
    </xf>
    <xf numFmtId="0" fontId="0" fillId="0" borderId="81" xfId="0" applyBorder="1"/>
    <xf numFmtId="0" fontId="0" fillId="0" borderId="82" xfId="0" applyBorder="1"/>
    <xf numFmtId="0" fontId="8" fillId="0" borderId="28" xfId="104" applyFont="1" applyBorder="1" applyAlignment="1">
      <alignment horizontal="right"/>
    </xf>
    <xf numFmtId="0" fontId="8" fillId="0" borderId="28" xfId="75" applyFont="1" applyBorder="1" applyAlignment="1">
      <alignment horizontal="right"/>
    </xf>
    <xf numFmtId="0" fontId="8" fillId="0" borderId="28" xfId="104" quotePrefix="1" applyFont="1" applyBorder="1" applyAlignment="1">
      <alignment horizontal="right"/>
    </xf>
    <xf numFmtId="169" fontId="8" fillId="28" borderId="18" xfId="31" applyNumberFormat="1" applyFont="1" applyFill="1" applyBorder="1" applyProtection="1">
      <protection locked="0"/>
    </xf>
    <xf numFmtId="169" fontId="8" fillId="28" borderId="19" xfId="31" applyNumberFormat="1" applyFont="1" applyFill="1" applyBorder="1" applyProtection="1">
      <protection locked="0"/>
    </xf>
    <xf numFmtId="0" fontId="0" fillId="28" borderId="83" xfId="0" applyFill="1" applyBorder="1"/>
    <xf numFmtId="1" fontId="0" fillId="28" borderId="84" xfId="0" applyNumberFormat="1" applyFill="1" applyBorder="1"/>
    <xf numFmtId="0" fontId="10" fillId="27" borderId="85" xfId="0" applyFont="1" applyFill="1" applyBorder="1" applyAlignment="1">
      <alignment horizontal="center"/>
    </xf>
    <xf numFmtId="176" fontId="8" fillId="0" borderId="17" xfId="75" applyNumberFormat="1" applyFont="1" applyBorder="1"/>
    <xf numFmtId="176" fontId="8" fillId="0" borderId="18" xfId="45" applyNumberFormat="1" applyFont="1" applyBorder="1"/>
    <xf numFmtId="176" fontId="8" fillId="0" borderId="19" xfId="45" applyNumberFormat="1" applyFont="1" applyBorder="1"/>
    <xf numFmtId="0" fontId="0" fillId="28" borderId="0" xfId="0" applyFill="1" applyProtection="1">
      <protection locked="0"/>
    </xf>
    <xf numFmtId="0" fontId="0" fillId="28" borderId="18" xfId="0" applyFill="1" applyBorder="1" applyProtection="1">
      <protection locked="0"/>
    </xf>
    <xf numFmtId="0" fontId="0" fillId="28" borderId="19" xfId="0" applyFill="1" applyBorder="1" applyProtection="1">
      <protection locked="0"/>
    </xf>
    <xf numFmtId="3" fontId="0" fillId="28" borderId="86" xfId="0" applyNumberFormat="1" applyFill="1" applyBorder="1" applyAlignment="1" applyProtection="1">
      <alignment shrinkToFit="1"/>
      <protection locked="0"/>
    </xf>
    <xf numFmtId="0" fontId="12" fillId="0" borderId="0" xfId="75" quotePrefix="1" applyFont="1" applyAlignment="1">
      <alignment horizontal="left"/>
    </xf>
    <xf numFmtId="0" fontId="12" fillId="0" borderId="0" xfId="75" applyFont="1" applyAlignment="1">
      <alignment horizontal="left"/>
    </xf>
    <xf numFmtId="0" fontId="8" fillId="0" borderId="17" xfId="104" applyFont="1" applyBorder="1"/>
    <xf numFmtId="0" fontId="8" fillId="0" borderId="18" xfId="104" applyFont="1" applyBorder="1"/>
    <xf numFmtId="0" fontId="10" fillId="27" borderId="87" xfId="0" applyFont="1" applyFill="1" applyBorder="1" applyAlignment="1">
      <alignment horizontal="center"/>
    </xf>
    <xf numFmtId="0" fontId="10" fillId="27" borderId="88" xfId="0" quotePrefix="1" applyFont="1" applyFill="1" applyBorder="1" applyAlignment="1">
      <alignment horizontal="center"/>
    </xf>
    <xf numFmtId="0" fontId="10" fillId="27" borderId="89" xfId="0" quotePrefix="1" applyFont="1" applyFill="1" applyBorder="1" applyAlignment="1">
      <alignment horizontal="center"/>
    </xf>
    <xf numFmtId="0" fontId="10" fillId="27" borderId="90" xfId="0" applyFont="1" applyFill="1" applyBorder="1" applyAlignment="1">
      <alignment horizontal="center"/>
    </xf>
    <xf numFmtId="0" fontId="10" fillId="27" borderId="91" xfId="0" applyFont="1" applyFill="1" applyBorder="1" applyAlignment="1">
      <alignment horizontal="center"/>
    </xf>
    <xf numFmtId="0" fontId="0" fillId="0" borderId="92" xfId="0" applyBorder="1"/>
    <xf numFmtId="0" fontId="0" fillId="0" borderId="93" xfId="0" applyBorder="1"/>
    <xf numFmtId="0" fontId="0" fillId="0" borderId="93" xfId="0" applyBorder="1" applyAlignment="1">
      <alignment horizontal="right"/>
    </xf>
    <xf numFmtId="0" fontId="0" fillId="0" borderId="30" xfId="0" applyBorder="1"/>
    <xf numFmtId="0" fontId="10" fillId="27" borderId="94" xfId="0" applyFont="1" applyFill="1" applyBorder="1" applyAlignment="1">
      <alignment horizontal="center"/>
    </xf>
    <xf numFmtId="0" fontId="10" fillId="27" borderId="86" xfId="0" quotePrefix="1" applyFont="1" applyFill="1" applyBorder="1" applyAlignment="1">
      <alignment horizontal="center"/>
    </xf>
    <xf numFmtId="0" fontId="0" fillId="0" borderId="71" xfId="0" quotePrefix="1" applyBorder="1" applyAlignment="1">
      <alignment horizontal="left"/>
    </xf>
    <xf numFmtId="0" fontId="0" fillId="0" borderId="56" xfId="0" quotePrefix="1" applyBorder="1" applyAlignment="1">
      <alignment horizontal="left"/>
    </xf>
    <xf numFmtId="173" fontId="0" fillId="0" borderId="0" xfId="0" applyNumberFormat="1"/>
    <xf numFmtId="172" fontId="8" fillId="28" borderId="18" xfId="75" quotePrefix="1" applyNumberFormat="1" applyFont="1" applyFill="1" applyBorder="1" applyAlignment="1" applyProtection="1">
      <alignment horizontal="center"/>
      <protection locked="0"/>
    </xf>
    <xf numFmtId="172" fontId="8" fillId="28" borderId="17" xfId="75" quotePrefix="1" applyNumberFormat="1" applyFont="1" applyFill="1" applyBorder="1" applyAlignment="1" applyProtection="1">
      <alignment horizontal="center"/>
      <protection locked="0"/>
    </xf>
    <xf numFmtId="172" fontId="8" fillId="28" borderId="19" xfId="75" quotePrefix="1" applyNumberFormat="1" applyFont="1" applyFill="1" applyBorder="1" applyAlignment="1" applyProtection="1">
      <alignment horizontal="center"/>
      <protection locked="0"/>
    </xf>
    <xf numFmtId="0" fontId="10" fillId="27" borderId="95" xfId="0" applyFont="1" applyFill="1" applyBorder="1" applyAlignment="1">
      <alignment horizontal="center"/>
    </xf>
    <xf numFmtId="3" fontId="0" fillId="28" borderId="96" xfId="0" applyNumberFormat="1" applyFill="1" applyBorder="1" applyAlignment="1">
      <alignment shrinkToFit="1"/>
    </xf>
    <xf numFmtId="0" fontId="10" fillId="27" borderId="97" xfId="0" applyFont="1" applyFill="1" applyBorder="1" applyAlignment="1">
      <alignment horizontal="center"/>
    </xf>
    <xf numFmtId="0" fontId="10" fillId="27" borderId="98" xfId="0" quotePrefix="1" applyFont="1" applyFill="1" applyBorder="1" applyAlignment="1">
      <alignment horizontal="center"/>
    </xf>
    <xf numFmtId="43" fontId="40" fillId="0" borderId="18" xfId="0" applyNumberFormat="1" applyFont="1" applyBorder="1"/>
    <xf numFmtId="43" fontId="40" fillId="0" borderId="19" xfId="0" applyNumberFormat="1" applyFont="1" applyBorder="1"/>
    <xf numFmtId="169" fontId="1" fillId="0" borderId="18" xfId="31" applyNumberFormat="1" applyBorder="1"/>
    <xf numFmtId="169" fontId="1" fillId="0" borderId="19" xfId="31" applyNumberFormat="1" applyBorder="1"/>
    <xf numFmtId="41" fontId="0" fillId="0" borderId="17" xfId="0" quotePrefix="1" applyNumberFormat="1" applyBorder="1" applyAlignment="1">
      <alignment horizontal="left"/>
    </xf>
    <xf numFmtId="0" fontId="41" fillId="0" borderId="0" xfId="0" applyFont="1"/>
    <xf numFmtId="0" fontId="41" fillId="0" borderId="0" xfId="0" applyFont="1" applyAlignment="1">
      <alignment horizontal="right"/>
    </xf>
    <xf numFmtId="0" fontId="41" fillId="0" borderId="0" xfId="0" quotePrefix="1" applyFont="1" applyAlignment="1">
      <alignment horizontal="right"/>
    </xf>
    <xf numFmtId="165" fontId="39" fillId="0" borderId="0" xfId="75" applyNumberFormat="1" applyFont="1"/>
    <xf numFmtId="4" fontId="8" fillId="28" borderId="17" xfId="75" applyNumberFormat="1" applyFont="1" applyFill="1" applyBorder="1" applyAlignment="1" applyProtection="1">
      <alignment horizontal="right"/>
      <protection locked="0"/>
    </xf>
    <xf numFmtId="4" fontId="8" fillId="0" borderId="59" xfId="75" applyNumberFormat="1" applyFont="1" applyBorder="1"/>
    <xf numFmtId="3" fontId="0" fillId="28" borderId="72" xfId="0" applyNumberFormat="1" applyFill="1" applyBorder="1" applyAlignment="1">
      <alignment shrinkToFit="1"/>
    </xf>
    <xf numFmtId="169" fontId="0" fillId="30" borderId="83" xfId="31" applyNumberFormat="1" applyFont="1" applyFill="1" applyBorder="1"/>
    <xf numFmtId="3" fontId="0" fillId="30" borderId="43" xfId="0" applyNumberFormat="1" applyFill="1" applyBorder="1"/>
    <xf numFmtId="0" fontId="8" fillId="26" borderId="0" xfId="75" applyFont="1" applyFill="1" applyAlignment="1" applyProtection="1">
      <alignment horizontal="left"/>
      <protection locked="0"/>
    </xf>
    <xf numFmtId="171" fontId="8" fillId="24" borderId="0" xfId="45" applyNumberFormat="1" applyFont="1" applyFill="1" applyBorder="1"/>
    <xf numFmtId="0" fontId="8" fillId="24" borderId="0" xfId="75" applyFont="1" applyFill="1"/>
    <xf numFmtId="0" fontId="41" fillId="0" borderId="0" xfId="75" applyFont="1" applyAlignment="1">
      <alignment horizontal="left"/>
    </xf>
    <xf numFmtId="0" fontId="8" fillId="0" borderId="12" xfId="0" applyFont="1" applyBorder="1" applyAlignment="1">
      <alignment horizontal="center" vertical="center"/>
    </xf>
    <xf numFmtId="165" fontId="0" fillId="0" borderId="12" xfId="0" applyNumberFormat="1" applyBorder="1"/>
    <xf numFmtId="2" fontId="0" fillId="28" borderId="17" xfId="0" applyNumberFormat="1" applyFill="1" applyBorder="1" applyProtection="1">
      <protection locked="0"/>
    </xf>
    <xf numFmtId="2" fontId="0" fillId="28" borderId="18" xfId="0" applyNumberFormat="1" applyFill="1" applyBorder="1" applyProtection="1">
      <protection locked="0"/>
    </xf>
    <xf numFmtId="165" fontId="0" fillId="28" borderId="17" xfId="0" applyNumberFormat="1" applyFill="1" applyBorder="1" applyProtection="1">
      <protection locked="0"/>
    </xf>
    <xf numFmtId="165" fontId="0" fillId="28" borderId="18" xfId="0" applyNumberFormat="1" applyFill="1" applyBorder="1" applyProtection="1">
      <protection locked="0"/>
    </xf>
    <xf numFmtId="0" fontId="8" fillId="0" borderId="13" xfId="0" applyFont="1" applyBorder="1"/>
    <xf numFmtId="0" fontId="43" fillId="0" borderId="12" xfId="0" applyFont="1" applyBorder="1" applyAlignment="1">
      <alignment horizontal="center"/>
    </xf>
    <xf numFmtId="0" fontId="43" fillId="0" borderId="12" xfId="0" applyFont="1" applyBorder="1" applyAlignment="1">
      <alignment horizontal="center" shrinkToFit="1"/>
    </xf>
    <xf numFmtId="171" fontId="8" fillId="0" borderId="0" xfId="45" applyNumberFormat="1" applyFont="1" applyBorder="1" applyProtection="1"/>
    <xf numFmtId="0" fontId="44" fillId="0" borderId="0" xfId="0" applyFont="1"/>
    <xf numFmtId="0" fontId="45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46" fillId="0" borderId="0" xfId="0" applyFont="1"/>
    <xf numFmtId="0" fontId="46" fillId="0" borderId="17" xfId="0" applyFont="1" applyBorder="1" applyAlignment="1">
      <alignment horizontal="center"/>
    </xf>
    <xf numFmtId="0" fontId="46" fillId="0" borderId="17" xfId="75" quotePrefix="1" applyFont="1" applyBorder="1" applyAlignment="1">
      <alignment horizontal="center"/>
    </xf>
    <xf numFmtId="179" fontId="46" fillId="0" borderId="17" xfId="31" applyNumberFormat="1" applyFont="1" applyBorder="1" applyAlignment="1">
      <alignment horizontal="center"/>
    </xf>
    <xf numFmtId="169" fontId="48" fillId="0" borderId="17" xfId="31" applyNumberFormat="1" applyFont="1" applyFill="1" applyBorder="1" applyAlignment="1">
      <alignment horizontal="center" vertical="center"/>
    </xf>
    <xf numFmtId="169" fontId="46" fillId="0" borderId="17" xfId="0" applyNumberFormat="1" applyFont="1" applyBorder="1"/>
    <xf numFmtId="3" fontId="46" fillId="0" borderId="17" xfId="0" applyNumberFormat="1" applyFont="1" applyBorder="1"/>
    <xf numFmtId="0" fontId="46" fillId="0" borderId="17" xfId="0" applyFont="1" applyBorder="1"/>
    <xf numFmtId="0" fontId="46" fillId="0" borderId="18" xfId="0" applyFont="1" applyBorder="1" applyAlignment="1">
      <alignment horizontal="center"/>
    </xf>
    <xf numFmtId="0" fontId="46" fillId="0" borderId="18" xfId="75" quotePrefix="1" applyFont="1" applyBorder="1" applyAlignment="1">
      <alignment horizontal="center"/>
    </xf>
    <xf numFmtId="39" fontId="46" fillId="0" borderId="18" xfId="31" applyNumberFormat="1" applyFont="1" applyBorder="1" applyAlignment="1">
      <alignment horizontal="center" vertical="center"/>
    </xf>
    <xf numFmtId="4" fontId="46" fillId="0" borderId="18" xfId="0" applyNumberFormat="1" applyFont="1" applyBorder="1" applyAlignment="1">
      <alignment horizontal="center"/>
    </xf>
    <xf numFmtId="169" fontId="48" fillId="0" borderId="18" xfId="31" applyNumberFormat="1" applyFont="1" applyFill="1" applyBorder="1" applyAlignment="1">
      <alignment horizontal="center" vertical="center"/>
    </xf>
    <xf numFmtId="169" fontId="46" fillId="0" borderId="18" xfId="0" applyNumberFormat="1" applyFont="1" applyBorder="1"/>
    <xf numFmtId="3" fontId="46" fillId="0" borderId="18" xfId="0" applyNumberFormat="1" applyFont="1" applyBorder="1"/>
    <xf numFmtId="0" fontId="46" fillId="0" borderId="18" xfId="0" applyFont="1" applyBorder="1"/>
    <xf numFmtId="0" fontId="46" fillId="0" borderId="19" xfId="0" applyFont="1" applyBorder="1" applyAlignment="1">
      <alignment horizontal="center"/>
    </xf>
    <xf numFmtId="0" fontId="46" fillId="0" borderId="19" xfId="75" quotePrefix="1" applyFont="1" applyBorder="1" applyAlignment="1">
      <alignment horizontal="center"/>
    </xf>
    <xf numFmtId="39" fontId="46" fillId="0" borderId="19" xfId="31" applyNumberFormat="1" applyFont="1" applyBorder="1" applyAlignment="1">
      <alignment horizontal="center" vertical="center"/>
    </xf>
    <xf numFmtId="4" fontId="46" fillId="0" borderId="19" xfId="0" applyNumberFormat="1" applyFont="1" applyBorder="1" applyAlignment="1">
      <alignment horizontal="center"/>
    </xf>
    <xf numFmtId="0" fontId="46" fillId="0" borderId="19" xfId="0" applyFont="1" applyBorder="1"/>
    <xf numFmtId="0" fontId="44" fillId="34" borderId="12" xfId="0" applyFont="1" applyFill="1" applyBorder="1" applyAlignment="1">
      <alignment horizontal="center"/>
    </xf>
    <xf numFmtId="179" fontId="44" fillId="34" borderId="12" xfId="0" applyNumberFormat="1" applyFont="1" applyFill="1" applyBorder="1" applyAlignment="1">
      <alignment horizontal="center"/>
    </xf>
    <xf numFmtId="169" fontId="44" fillId="34" borderId="12" xfId="0" applyNumberFormat="1" applyFont="1" applyFill="1" applyBorder="1"/>
    <xf numFmtId="0" fontId="44" fillId="34" borderId="12" xfId="0" applyFont="1" applyFill="1" applyBorder="1"/>
    <xf numFmtId="181" fontId="46" fillId="0" borderId="17" xfId="75" quotePrefix="1" applyNumberFormat="1" applyFont="1" applyBorder="1" applyAlignment="1">
      <alignment horizontal="center"/>
    </xf>
    <xf numFmtId="181" fontId="46" fillId="0" borderId="18" xfId="75" quotePrefix="1" applyNumberFormat="1" applyFont="1" applyBorder="1" applyAlignment="1">
      <alignment horizontal="center"/>
    </xf>
    <xf numFmtId="179" fontId="46" fillId="0" borderId="18" xfId="31" applyNumberFormat="1" applyFont="1" applyBorder="1" applyAlignment="1">
      <alignment horizontal="center"/>
    </xf>
    <xf numFmtId="169" fontId="48" fillId="0" borderId="99" xfId="31" applyNumberFormat="1" applyFont="1" applyFill="1" applyBorder="1" applyAlignment="1">
      <alignment horizontal="center" vertical="center"/>
    </xf>
    <xf numFmtId="0" fontId="46" fillId="0" borderId="99" xfId="0" applyFont="1" applyBorder="1"/>
    <xf numFmtId="169" fontId="49" fillId="34" borderId="12" xfId="31" applyNumberFormat="1" applyFont="1" applyFill="1" applyBorder="1" applyAlignment="1">
      <alignment horizontal="center" vertical="center"/>
    </xf>
    <xf numFmtId="0" fontId="44" fillId="0" borderId="0" xfId="94" quotePrefix="1" applyFont="1"/>
    <xf numFmtId="0" fontId="45" fillId="0" borderId="0" xfId="94" applyFont="1" applyAlignment="1">
      <alignment horizontal="center"/>
    </xf>
    <xf numFmtId="0" fontId="44" fillId="0" borderId="0" xfId="94" applyFont="1" applyAlignment="1">
      <alignment horizontal="center"/>
    </xf>
    <xf numFmtId="0" fontId="44" fillId="0" borderId="100" xfId="94" applyFont="1" applyBorder="1" applyAlignment="1">
      <alignment horizontal="center"/>
    </xf>
    <xf numFmtId="0" fontId="46" fillId="0" borderId="0" xfId="94" applyFont="1" applyAlignment="1">
      <alignment horizontal="center"/>
    </xf>
    <xf numFmtId="0" fontId="46" fillId="0" borderId="10" xfId="94" quotePrefix="1" applyFont="1" applyBorder="1" applyAlignment="1">
      <alignment horizontal="center"/>
    </xf>
    <xf numFmtId="0" fontId="45" fillId="0" borderId="10" xfId="103" applyFont="1" applyBorder="1" applyAlignment="1">
      <alignment horizontal="center"/>
    </xf>
    <xf numFmtId="0" fontId="46" fillId="0" borderId="11" xfId="94" applyFont="1" applyBorder="1" applyAlignment="1">
      <alignment horizontal="center"/>
    </xf>
    <xf numFmtId="0" fontId="45" fillId="0" borderId="11" xfId="103" applyFont="1" applyBorder="1" applyAlignment="1">
      <alignment horizontal="center"/>
    </xf>
    <xf numFmtId="0" fontId="46" fillId="0" borderId="17" xfId="94" applyFont="1" applyBorder="1" applyAlignment="1">
      <alignment horizontal="center"/>
    </xf>
    <xf numFmtId="0" fontId="46" fillId="0" borderId="17" xfId="94" quotePrefix="1" applyFont="1" applyBorder="1" applyAlignment="1">
      <alignment horizontal="left"/>
    </xf>
    <xf numFmtId="3" fontId="46" fillId="0" borderId="17" xfId="31" applyNumberFormat="1" applyFont="1" applyFill="1" applyBorder="1" applyAlignment="1" applyProtection="1">
      <alignment horizontal="center" vertical="center"/>
      <protection locked="0"/>
    </xf>
    <xf numFmtId="165" fontId="46" fillId="0" borderId="17" xfId="94" applyNumberFormat="1" applyFont="1" applyBorder="1" applyAlignment="1">
      <alignment horizontal="center"/>
    </xf>
    <xf numFmtId="3" fontId="46" fillId="0" borderId="17" xfId="94" applyNumberFormat="1" applyFont="1" applyBorder="1" applyAlignment="1">
      <alignment horizontal="center"/>
    </xf>
    <xf numFmtId="0" fontId="46" fillId="28" borderId="17" xfId="94" applyFont="1" applyFill="1" applyBorder="1" applyAlignment="1">
      <alignment horizontal="center"/>
    </xf>
    <xf numFmtId="172" fontId="46" fillId="0" borderId="17" xfId="0" applyNumberFormat="1" applyFont="1" applyBorder="1" applyAlignment="1">
      <alignment horizontal="center" vertical="center"/>
    </xf>
    <xf numFmtId="0" fontId="46" fillId="0" borderId="18" xfId="94" applyFont="1" applyBorder="1" applyAlignment="1">
      <alignment horizontal="center"/>
    </xf>
    <xf numFmtId="0" fontId="46" fillId="0" borderId="74" xfId="94" applyFont="1" applyBorder="1" applyAlignment="1">
      <alignment horizontal="center"/>
    </xf>
    <xf numFmtId="0" fontId="46" fillId="0" borderId="18" xfId="94" quotePrefix="1" applyFont="1" applyBorder="1" applyAlignment="1">
      <alignment horizontal="center"/>
    </xf>
    <xf numFmtId="0" fontId="46" fillId="0" borderId="19" xfId="94" applyFont="1" applyBorder="1" applyAlignment="1">
      <alignment horizontal="center"/>
    </xf>
    <xf numFmtId="0" fontId="46" fillId="0" borderId="0" xfId="103" applyFont="1" applyAlignment="1">
      <alignment horizontal="center"/>
    </xf>
    <xf numFmtId="0" fontId="46" fillId="0" borderId="10" xfId="103" quotePrefix="1" applyFont="1" applyBorder="1" applyAlignment="1">
      <alignment horizontal="center"/>
    </xf>
    <xf numFmtId="0" fontId="46" fillId="0" borderId="10" xfId="103" applyFont="1" applyBorder="1" applyAlignment="1">
      <alignment horizontal="center"/>
    </xf>
    <xf numFmtId="0" fontId="46" fillId="0" borderId="11" xfId="103" applyFont="1" applyBorder="1" applyAlignment="1">
      <alignment horizontal="center"/>
    </xf>
    <xf numFmtId="0" fontId="46" fillId="0" borderId="17" xfId="103" applyFont="1" applyBorder="1" applyAlignment="1">
      <alignment horizontal="center"/>
    </xf>
    <xf numFmtId="4" fontId="46" fillId="0" borderId="17" xfId="103" applyNumberFormat="1" applyFont="1" applyBorder="1" applyAlignment="1">
      <alignment horizontal="center"/>
    </xf>
    <xf numFmtId="3" fontId="46" fillId="0" borderId="17" xfId="103" applyNumberFormat="1" applyFont="1" applyBorder="1" applyAlignment="1">
      <alignment horizontal="center"/>
    </xf>
    <xf numFmtId="0" fontId="44" fillId="0" borderId="0" xfId="103" applyFont="1" applyAlignment="1">
      <alignment horizontal="center"/>
    </xf>
    <xf numFmtId="0" fontId="46" fillId="0" borderId="18" xfId="103" applyFont="1" applyBorder="1" applyAlignment="1">
      <alignment horizontal="center"/>
    </xf>
    <xf numFmtId="0" fontId="46" fillId="0" borderId="74" xfId="103" applyFont="1" applyBorder="1" applyAlignment="1">
      <alignment horizontal="center"/>
    </xf>
    <xf numFmtId="0" fontId="46" fillId="0" borderId="19" xfId="103" applyFont="1" applyBorder="1" applyAlignment="1">
      <alignment horizontal="center"/>
    </xf>
    <xf numFmtId="0" fontId="44" fillId="0" borderId="0" xfId="0" quotePrefix="1" applyFont="1"/>
    <xf numFmtId="0" fontId="45" fillId="0" borderId="0" xfId="0" applyFont="1"/>
    <xf numFmtId="0" fontId="46" fillId="28" borderId="13" xfId="0" quotePrefix="1" applyFont="1" applyFill="1" applyBorder="1" applyAlignment="1">
      <alignment horizontal="center"/>
    </xf>
    <xf numFmtId="0" fontId="46" fillId="28" borderId="11" xfId="0" applyFont="1" applyFill="1" applyBorder="1" applyAlignment="1">
      <alignment horizontal="center"/>
    </xf>
    <xf numFmtId="0" fontId="46" fillId="0" borderId="12" xfId="0" applyFont="1" applyBorder="1" applyAlignment="1">
      <alignment horizontal="center"/>
    </xf>
    <xf numFmtId="2" fontId="48" fillId="0" borderId="17" xfId="0" applyNumberFormat="1" applyFont="1" applyBorder="1" applyAlignment="1">
      <alignment horizontal="center"/>
    </xf>
    <xf numFmtId="179" fontId="49" fillId="0" borderId="17" xfId="0" applyNumberFormat="1" applyFont="1" applyBorder="1" applyAlignment="1">
      <alignment horizontal="center"/>
    </xf>
    <xf numFmtId="39" fontId="49" fillId="0" borderId="18" xfId="0" applyNumberFormat="1" applyFont="1" applyBorder="1" applyAlignment="1">
      <alignment horizontal="center"/>
    </xf>
    <xf numFmtId="180" fontId="45" fillId="0" borderId="101" xfId="0" applyNumberFormat="1" applyFont="1" applyBorder="1" applyAlignment="1">
      <alignment horizontal="center"/>
    </xf>
    <xf numFmtId="49" fontId="45" fillId="0" borderId="0" xfId="0" applyNumberFormat="1" applyFont="1"/>
    <xf numFmtId="4" fontId="45" fillId="0" borderId="51" xfId="0" applyNumberFormat="1" applyFont="1" applyBorder="1" applyAlignment="1">
      <alignment horizontal="center"/>
    </xf>
    <xf numFmtId="179" fontId="49" fillId="0" borderId="18" xfId="0" applyNumberFormat="1" applyFont="1" applyBorder="1" applyAlignment="1">
      <alignment horizontal="center"/>
    </xf>
    <xf numFmtId="0" fontId="45" fillId="0" borderId="101" xfId="0" applyFont="1" applyBorder="1" applyAlignment="1">
      <alignment horizontal="center"/>
    </xf>
    <xf numFmtId="4" fontId="52" fillId="0" borderId="51" xfId="0" applyNumberFormat="1" applyFont="1" applyBorder="1" applyAlignment="1">
      <alignment horizontal="center"/>
    </xf>
    <xf numFmtId="0" fontId="45" fillId="0" borderId="101" xfId="0" applyFont="1" applyBorder="1"/>
    <xf numFmtId="0" fontId="45" fillId="0" borderId="51" xfId="0" applyFont="1" applyBorder="1" applyAlignment="1">
      <alignment horizontal="center"/>
    </xf>
    <xf numFmtId="179" fontId="49" fillId="0" borderId="19" xfId="0" applyNumberFormat="1" applyFont="1" applyBorder="1" applyAlignment="1">
      <alignment horizontal="center"/>
    </xf>
    <xf numFmtId="179" fontId="44" fillId="0" borderId="12" xfId="0" applyNumberFormat="1" applyFont="1" applyBorder="1" applyAlignment="1">
      <alignment horizontal="center"/>
    </xf>
    <xf numFmtId="0" fontId="45" fillId="0" borderId="70" xfId="0" applyFont="1" applyBorder="1"/>
    <xf numFmtId="0" fontId="45" fillId="0" borderId="100" xfId="0" applyFont="1" applyBorder="1"/>
    <xf numFmtId="0" fontId="45" fillId="0" borderId="78" xfId="0" applyFont="1" applyBorder="1" applyAlignment="1">
      <alignment horizontal="center"/>
    </xf>
    <xf numFmtId="0" fontId="44" fillId="0" borderId="0" xfId="0" applyFont="1" applyAlignment="1">
      <alignment horizontal="left"/>
    </xf>
    <xf numFmtId="0" fontId="44" fillId="0" borderId="0" xfId="0" quotePrefix="1" applyFont="1" applyAlignment="1">
      <alignment horizontal="left"/>
    </xf>
    <xf numFmtId="0" fontId="44" fillId="0" borderId="0" xfId="95" applyFont="1" applyAlignment="1">
      <alignment horizontal="center"/>
    </xf>
    <xf numFmtId="0" fontId="46" fillId="0" borderId="0" xfId="95" applyFont="1"/>
    <xf numFmtId="0" fontId="44" fillId="0" borderId="0" xfId="95" applyFont="1"/>
    <xf numFmtId="2" fontId="44" fillId="0" borderId="0" xfId="95" applyNumberFormat="1" applyFont="1"/>
    <xf numFmtId="0" fontId="44" fillId="0" borderId="12" xfId="95" applyFont="1" applyBorder="1" applyAlignment="1">
      <alignment horizontal="center"/>
    </xf>
    <xf numFmtId="0" fontId="46" fillId="0" borderId="17" xfId="95" applyFont="1" applyBorder="1" applyAlignment="1">
      <alignment horizontal="center"/>
    </xf>
    <xf numFmtId="183" fontId="46" fillId="0" borderId="17" xfId="95" applyNumberFormat="1" applyFont="1" applyBorder="1" applyAlignment="1">
      <alignment horizontal="center"/>
    </xf>
    <xf numFmtId="169" fontId="48" fillId="35" borderId="18" xfId="90" applyNumberFormat="1" applyFont="1" applyFill="1" applyBorder="1" applyAlignment="1" applyProtection="1">
      <alignment horizontal="center" vertical="center"/>
      <protection locked="0"/>
    </xf>
    <xf numFmtId="3" fontId="46" fillId="35" borderId="17" xfId="95" applyNumberFormat="1" applyFont="1" applyFill="1" applyBorder="1" applyAlignment="1" applyProtection="1">
      <alignment horizontal="center" vertical="center"/>
      <protection locked="0"/>
    </xf>
    <xf numFmtId="0" fontId="46" fillId="0" borderId="17" xfId="95" applyFont="1" applyBorder="1"/>
    <xf numFmtId="169" fontId="48" fillId="0" borderId="18" xfId="90" applyNumberFormat="1" applyFont="1" applyFill="1" applyBorder="1" applyAlignment="1">
      <alignment horizontal="center" vertical="center"/>
    </xf>
    <xf numFmtId="0" fontId="46" fillId="0" borderId="18" xfId="95" applyFont="1" applyBorder="1" applyAlignment="1">
      <alignment horizontal="center"/>
    </xf>
    <xf numFmtId="183" fontId="46" fillId="0" borderId="18" xfId="95" applyNumberFormat="1" applyFont="1" applyBorder="1" applyAlignment="1">
      <alignment horizontal="center"/>
    </xf>
    <xf numFmtId="3" fontId="46" fillId="35" borderId="18" xfId="95" applyNumberFormat="1" applyFont="1" applyFill="1" applyBorder="1" applyAlignment="1" applyProtection="1">
      <alignment horizontal="center" vertical="center"/>
      <protection locked="0"/>
    </xf>
    <xf numFmtId="0" fontId="46" fillId="0" borderId="18" xfId="95" applyFont="1" applyBorder="1"/>
    <xf numFmtId="0" fontId="46" fillId="0" borderId="19" xfId="95" applyFont="1" applyBorder="1" applyAlignment="1">
      <alignment horizontal="center"/>
    </xf>
    <xf numFmtId="183" fontId="46" fillId="0" borderId="19" xfId="95" applyNumberFormat="1" applyFont="1" applyBorder="1" applyAlignment="1">
      <alignment horizontal="center"/>
    </xf>
    <xf numFmtId="169" fontId="48" fillId="35" borderId="19" xfId="90" applyNumberFormat="1" applyFont="1" applyFill="1" applyBorder="1" applyAlignment="1" applyProtection="1">
      <alignment horizontal="center" vertical="center"/>
      <protection locked="0"/>
    </xf>
    <xf numFmtId="3" fontId="46" fillId="35" borderId="19" xfId="95" applyNumberFormat="1" applyFont="1" applyFill="1" applyBorder="1" applyAlignment="1" applyProtection="1">
      <alignment horizontal="center" vertical="center"/>
      <protection locked="0"/>
    </xf>
    <xf numFmtId="0" fontId="46" fillId="0" borderId="19" xfId="95" applyFont="1" applyBorder="1"/>
    <xf numFmtId="169" fontId="48" fillId="0" borderId="19" xfId="90" applyNumberFormat="1" applyFont="1" applyFill="1" applyBorder="1" applyAlignment="1">
      <alignment horizontal="center" vertical="center"/>
    </xf>
    <xf numFmtId="0" fontId="44" fillId="0" borderId="0" xfId="95" applyFont="1" applyAlignment="1">
      <alignment horizontal="center" vertical="center"/>
    </xf>
    <xf numFmtId="3" fontId="44" fillId="0" borderId="12" xfId="95" applyNumberFormat="1" applyFont="1" applyBorder="1" applyAlignment="1">
      <alignment horizontal="center" vertical="center"/>
    </xf>
    <xf numFmtId="169" fontId="48" fillId="0" borderId="74" xfId="90" applyNumberFormat="1" applyFont="1" applyFill="1" applyBorder="1" applyAlignment="1">
      <alignment horizontal="center" vertical="center"/>
    </xf>
    <xf numFmtId="3" fontId="44" fillId="0" borderId="11" xfId="95" applyNumberFormat="1" applyFont="1" applyBorder="1" applyAlignment="1">
      <alignment horizontal="center" vertical="center"/>
    </xf>
    <xf numFmtId="0" fontId="46" fillId="0" borderId="0" xfId="102" applyFont="1"/>
    <xf numFmtId="0" fontId="44" fillId="0" borderId="0" xfId="102" applyFont="1"/>
    <xf numFmtId="2" fontId="44" fillId="0" borderId="0" xfId="102" applyNumberFormat="1" applyFont="1"/>
    <xf numFmtId="0" fontId="44" fillId="0" borderId="12" xfId="102" applyFont="1" applyBorder="1" applyAlignment="1">
      <alignment horizontal="center"/>
    </xf>
    <xf numFmtId="0" fontId="46" fillId="0" borderId="17" xfId="102" applyFont="1" applyBorder="1" applyAlignment="1">
      <alignment horizontal="center"/>
    </xf>
    <xf numFmtId="183" fontId="46" fillId="0" borderId="17" xfId="102" applyNumberFormat="1" applyFont="1" applyBorder="1" applyAlignment="1">
      <alignment horizontal="center"/>
    </xf>
    <xf numFmtId="0" fontId="46" fillId="0" borderId="17" xfId="102" applyFont="1" applyBorder="1"/>
    <xf numFmtId="0" fontId="46" fillId="0" borderId="18" xfId="102" applyFont="1" applyBorder="1" applyAlignment="1">
      <alignment horizontal="center"/>
    </xf>
    <xf numFmtId="183" fontId="46" fillId="0" borderId="18" xfId="102" applyNumberFormat="1" applyFont="1" applyBorder="1" applyAlignment="1">
      <alignment horizontal="center"/>
    </xf>
    <xf numFmtId="0" fontId="46" fillId="0" borderId="18" xfId="102" applyFont="1" applyBorder="1"/>
    <xf numFmtId="0" fontId="46" fillId="0" borderId="19" xfId="102" applyFont="1" applyBorder="1" applyAlignment="1">
      <alignment horizontal="center"/>
    </xf>
    <xf numFmtId="183" fontId="46" fillId="0" borderId="19" xfId="102" applyNumberFormat="1" applyFont="1" applyBorder="1" applyAlignment="1">
      <alignment horizontal="center"/>
    </xf>
    <xf numFmtId="0" fontId="46" fillId="0" borderId="19" xfId="102" applyFont="1" applyBorder="1"/>
    <xf numFmtId="0" fontId="44" fillId="0" borderId="0" xfId="102" applyFont="1" applyAlignment="1">
      <alignment horizontal="center" vertical="center"/>
    </xf>
    <xf numFmtId="169" fontId="48" fillId="0" borderId="19" xfId="90" applyNumberFormat="1" applyFont="1" applyFill="1" applyBorder="1" applyAlignment="1" applyProtection="1">
      <alignment horizontal="center" vertical="center"/>
      <protection locked="0"/>
    </xf>
    <xf numFmtId="3" fontId="46" fillId="0" borderId="0" xfId="95" applyNumberFormat="1" applyFont="1"/>
    <xf numFmtId="0" fontId="8" fillId="24" borderId="13" xfId="75" quotePrefix="1" applyFont="1" applyFill="1" applyBorder="1" applyAlignment="1">
      <alignment horizontal="center"/>
    </xf>
    <xf numFmtId="0" fontId="8" fillId="24" borderId="10" xfId="75" applyFont="1" applyFill="1" applyBorder="1" applyAlignment="1">
      <alignment horizontal="center"/>
    </xf>
    <xf numFmtId="0" fontId="8" fillId="24" borderId="11" xfId="75" applyFont="1" applyFill="1" applyBorder="1" applyAlignment="1">
      <alignment horizontal="center"/>
    </xf>
    <xf numFmtId="4" fontId="8" fillId="24" borderId="17" xfId="31" applyNumberFormat="1" applyFont="1" applyFill="1" applyBorder="1" applyProtection="1">
      <protection locked="0"/>
    </xf>
    <xf numFmtId="4" fontId="8" fillId="24" borderId="18" xfId="31" applyNumberFormat="1" applyFont="1" applyFill="1" applyBorder="1" applyProtection="1">
      <protection locked="0"/>
    </xf>
    <xf numFmtId="4" fontId="8" fillId="24" borderId="19" xfId="31" applyNumberFormat="1" applyFont="1" applyFill="1" applyBorder="1" applyProtection="1">
      <protection locked="0"/>
    </xf>
    <xf numFmtId="0" fontId="55" fillId="0" borderId="0" xfId="0" applyFont="1"/>
    <xf numFmtId="0" fontId="56" fillId="0" borderId="0" xfId="0" applyFont="1" applyAlignment="1">
      <alignment horizontal="center"/>
    </xf>
    <xf numFmtId="0" fontId="55" fillId="0" borderId="0" xfId="0" applyFont="1" applyAlignment="1">
      <alignment horizontal="center"/>
    </xf>
    <xf numFmtId="0" fontId="55" fillId="0" borderId="0" xfId="0" quotePrefix="1" applyFont="1" applyAlignment="1">
      <alignment horizontal="center"/>
    </xf>
    <xf numFmtId="0" fontId="57" fillId="25" borderId="12" xfId="0" applyFont="1" applyFill="1" applyBorder="1" applyAlignment="1">
      <alignment horizontal="center" vertical="center"/>
    </xf>
    <xf numFmtId="0" fontId="57" fillId="0" borderId="12" xfId="0" applyFont="1" applyBorder="1" applyAlignment="1">
      <alignment horizontal="center" vertical="center"/>
    </xf>
    <xf numFmtId="169" fontId="57" fillId="0" borderId="12" xfId="31" applyNumberFormat="1" applyFont="1" applyFill="1" applyBorder="1" applyAlignment="1">
      <alignment horizontal="center" vertical="center"/>
    </xf>
    <xf numFmtId="172" fontId="57" fillId="0" borderId="12" xfId="0" applyNumberFormat="1" applyFont="1" applyBorder="1" applyAlignment="1">
      <alignment horizontal="center" vertical="center"/>
    </xf>
    <xf numFmtId="2" fontId="57" fillId="0" borderId="12" xfId="0" applyNumberFormat="1" applyFont="1" applyBorder="1" applyAlignment="1">
      <alignment horizontal="center" vertical="center"/>
    </xf>
    <xf numFmtId="10" fontId="57" fillId="0" borderId="12" xfId="79" applyNumberFormat="1" applyFont="1" applyBorder="1" applyAlignment="1">
      <alignment horizontal="center" vertical="center"/>
    </xf>
    <xf numFmtId="169" fontId="59" fillId="0" borderId="12" xfId="31" applyNumberFormat="1" applyFont="1" applyFill="1" applyBorder="1" applyAlignment="1">
      <alignment horizontal="center" vertical="center"/>
    </xf>
    <xf numFmtId="43" fontId="55" fillId="0" borderId="0" xfId="31" quotePrefix="1" applyFont="1" applyAlignment="1">
      <alignment horizontal="center"/>
    </xf>
    <xf numFmtId="0" fontId="55" fillId="0" borderId="0" xfId="0" quotePrefix="1" applyFont="1" applyAlignment="1">
      <alignment horizontal="center" vertical="center"/>
    </xf>
    <xf numFmtId="0" fontId="55" fillId="0" borderId="51" xfId="0" applyFont="1" applyBorder="1"/>
    <xf numFmtId="0" fontId="57" fillId="25" borderId="10" xfId="0" quotePrefix="1" applyFont="1" applyFill="1" applyBorder="1" applyAlignment="1">
      <alignment horizontal="center"/>
    </xf>
    <xf numFmtId="0" fontId="57" fillId="25" borderId="11" xfId="0" applyFont="1" applyFill="1" applyBorder="1" applyAlignment="1">
      <alignment horizontal="center"/>
    </xf>
    <xf numFmtId="0" fontId="57" fillId="0" borderId="51" xfId="0" applyFont="1" applyBorder="1" applyAlignment="1">
      <alignment horizontal="center"/>
    </xf>
    <xf numFmtId="2" fontId="59" fillId="0" borderId="12" xfId="0" applyNumberFormat="1" applyFont="1" applyBorder="1" applyAlignment="1">
      <alignment horizontal="center" vertical="center"/>
    </xf>
    <xf numFmtId="169" fontId="59" fillId="28" borderId="12" xfId="31" applyNumberFormat="1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/>
    </xf>
    <xf numFmtId="2" fontId="59" fillId="0" borderId="0" xfId="0" applyNumberFormat="1" applyFont="1" applyAlignment="1">
      <alignment horizontal="center" vertical="center"/>
    </xf>
    <xf numFmtId="169" fontId="59" fillId="0" borderId="0" xfId="31" applyNumberFormat="1" applyFont="1" applyFill="1" applyBorder="1" applyAlignment="1">
      <alignment horizontal="center" vertical="center"/>
    </xf>
    <xf numFmtId="10" fontId="57" fillId="0" borderId="0" xfId="79" applyNumberFormat="1" applyFont="1" applyBorder="1" applyAlignment="1">
      <alignment horizontal="center" vertical="center"/>
    </xf>
    <xf numFmtId="0" fontId="57" fillId="0" borderId="51" xfId="0" applyFont="1" applyBorder="1" applyAlignment="1">
      <alignment horizontal="center" vertical="center"/>
    </xf>
    <xf numFmtId="171" fontId="59" fillId="0" borderId="12" xfId="31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176" fontId="57" fillId="0" borderId="12" xfId="0" applyNumberFormat="1" applyFont="1" applyBorder="1" applyAlignment="1">
      <alignment horizontal="center" vertical="center"/>
    </xf>
    <xf numFmtId="0" fontId="57" fillId="28" borderId="0" xfId="0" applyFont="1" applyFill="1" applyAlignment="1" applyProtection="1">
      <alignment horizontal="center"/>
      <protection locked="0"/>
    </xf>
    <xf numFmtId="0" fontId="56" fillId="28" borderId="0" xfId="0" applyFont="1" applyFill="1" applyAlignment="1" applyProtection="1">
      <alignment horizontal="center"/>
      <protection locked="0"/>
    </xf>
    <xf numFmtId="0" fontId="8" fillId="0" borderId="0" xfId="0" applyFont="1"/>
    <xf numFmtId="164" fontId="46" fillId="0" borderId="0" xfId="0" applyNumberFormat="1" applyFont="1"/>
    <xf numFmtId="166" fontId="1" fillId="26" borderId="10" xfId="72" applyNumberFormat="1" applyFill="1" applyBorder="1"/>
    <xf numFmtId="0" fontId="8" fillId="0" borderId="0" xfId="72" applyFont="1"/>
    <xf numFmtId="41" fontId="0" fillId="0" borderId="0" xfId="0" applyNumberFormat="1"/>
    <xf numFmtId="43" fontId="0" fillId="0" borderId="0" xfId="31" applyFont="1"/>
    <xf numFmtId="184" fontId="46" fillId="0" borderId="18" xfId="31" applyNumberFormat="1" applyFont="1" applyBorder="1" applyAlignment="1">
      <alignment horizontal="center" vertical="center"/>
    </xf>
    <xf numFmtId="184" fontId="46" fillId="0" borderId="19" xfId="31" applyNumberFormat="1" applyFont="1" applyBorder="1" applyAlignment="1">
      <alignment horizontal="center" vertical="center"/>
    </xf>
    <xf numFmtId="165" fontId="46" fillId="0" borderId="17" xfId="75" applyNumberFormat="1" applyFont="1" applyBorder="1" applyAlignment="1">
      <alignment horizontal="center"/>
    </xf>
    <xf numFmtId="165" fontId="48" fillId="0" borderId="17" xfId="0" applyNumberFormat="1" applyFont="1" applyBorder="1" applyAlignment="1">
      <alignment horizontal="center"/>
    </xf>
    <xf numFmtId="165" fontId="46" fillId="0" borderId="18" xfId="31" applyNumberFormat="1" applyFont="1" applyBorder="1" applyAlignment="1">
      <alignment horizontal="center" vertical="center"/>
    </xf>
    <xf numFmtId="2" fontId="46" fillId="0" borderId="18" xfId="31" applyNumberFormat="1" applyFont="1" applyBorder="1" applyAlignment="1">
      <alignment horizontal="center" vertical="center"/>
    </xf>
    <xf numFmtId="2" fontId="46" fillId="0" borderId="19" xfId="31" applyNumberFormat="1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81" fillId="0" borderId="13" xfId="75" quotePrefix="1" applyFont="1" applyBorder="1" applyAlignment="1">
      <alignment horizontal="center"/>
    </xf>
    <xf numFmtId="0" fontId="81" fillId="0" borderId="13" xfId="75" applyFont="1" applyBorder="1"/>
    <xf numFmtId="0" fontId="81" fillId="0" borderId="13" xfId="75" quotePrefix="1" applyFont="1" applyBorder="1"/>
    <xf numFmtId="0" fontId="81" fillId="0" borderId="10" xfId="75" applyFont="1" applyBorder="1" applyAlignment="1">
      <alignment horizontal="center"/>
    </xf>
    <xf numFmtId="0" fontId="81" fillId="0" borderId="74" xfId="75" quotePrefix="1" applyFont="1" applyBorder="1" applyAlignment="1">
      <alignment horizontal="center"/>
    </xf>
    <xf numFmtId="0" fontId="81" fillId="0" borderId="74" xfId="75" applyFont="1" applyBorder="1" applyAlignment="1">
      <alignment horizontal="center"/>
    </xf>
    <xf numFmtId="0" fontId="81" fillId="0" borderId="17" xfId="75" quotePrefix="1" applyFont="1" applyBorder="1" applyAlignment="1">
      <alignment horizontal="center"/>
    </xf>
    <xf numFmtId="0" fontId="81" fillId="0" borderId="17" xfId="75" applyFont="1" applyBorder="1" applyAlignment="1">
      <alignment horizontal="center"/>
    </xf>
    <xf numFmtId="0" fontId="81" fillId="0" borderId="11" xfId="75" applyFont="1" applyBorder="1"/>
    <xf numFmtId="0" fontId="81" fillId="0" borderId="19" xfId="75" applyFont="1" applyBorder="1" applyAlignment="1">
      <alignment horizontal="center"/>
    </xf>
    <xf numFmtId="0" fontId="81" fillId="0" borderId="19" xfId="75" applyFont="1" applyBorder="1"/>
    <xf numFmtId="0" fontId="81" fillId="0" borderId="17" xfId="75" applyFont="1" applyBorder="1"/>
    <xf numFmtId="0" fontId="81" fillId="0" borderId="18" xfId="75" applyFont="1" applyBorder="1"/>
    <xf numFmtId="171" fontId="81" fillId="0" borderId="18" xfId="45" applyNumberFormat="1" applyFont="1" applyBorder="1"/>
    <xf numFmtId="0" fontId="81" fillId="0" borderId="0" xfId="75" applyFont="1"/>
    <xf numFmtId="171" fontId="81" fillId="43" borderId="18" xfId="45" applyNumberFormat="1" applyFont="1" applyFill="1" applyBorder="1"/>
    <xf numFmtId="169" fontId="0" fillId="0" borderId="0" xfId="0" applyNumberFormat="1"/>
    <xf numFmtId="1" fontId="8" fillId="28" borderId="18" xfId="75" applyNumberFormat="1" applyFont="1" applyFill="1" applyBorder="1" applyProtection="1">
      <protection locked="0"/>
    </xf>
    <xf numFmtId="0" fontId="8" fillId="28" borderId="0" xfId="0" applyFont="1" applyFill="1" applyAlignment="1" applyProtection="1">
      <alignment horizontal="left"/>
      <protection locked="0"/>
    </xf>
    <xf numFmtId="0" fontId="0" fillId="28" borderId="49" xfId="0" applyFill="1" applyBorder="1" applyAlignment="1" applyProtection="1">
      <alignment horizontal="right"/>
      <protection locked="0"/>
    </xf>
    <xf numFmtId="0" fontId="0" fillId="0" borderId="50" xfId="0" applyBorder="1" applyAlignment="1" applyProtection="1">
      <alignment horizontal="right"/>
      <protection locked="0"/>
    </xf>
    <xf numFmtId="0" fontId="0" fillId="0" borderId="102" xfId="0" applyBorder="1" applyAlignment="1" applyProtection="1">
      <alignment horizontal="right"/>
      <protection locked="0"/>
    </xf>
    <xf numFmtId="0" fontId="0" fillId="28" borderId="70" xfId="0" applyFill="1" applyBorder="1" applyAlignment="1" applyProtection="1">
      <alignment horizontal="right"/>
      <protection locked="0"/>
    </xf>
    <xf numFmtId="0" fontId="0" fillId="0" borderId="103" xfId="0" applyBorder="1" applyAlignment="1" applyProtection="1">
      <alignment horizontal="right"/>
      <protection locked="0"/>
    </xf>
    <xf numFmtId="0" fontId="0" fillId="0" borderId="14" xfId="0" applyBorder="1" applyAlignment="1">
      <alignment horizontal="right"/>
    </xf>
    <xf numFmtId="0" fontId="0" fillId="0" borderId="48" xfId="0" applyBorder="1"/>
    <xf numFmtId="0" fontId="0" fillId="28" borderId="49" xfId="0" quotePrefix="1" applyFill="1" applyBorder="1" applyAlignment="1" applyProtection="1">
      <alignment horizontal="right"/>
      <protection locked="0"/>
    </xf>
    <xf numFmtId="0" fontId="16" fillId="0" borderId="0" xfId="75" applyFont="1" applyAlignment="1">
      <alignment horizontal="right"/>
    </xf>
    <xf numFmtId="0" fontId="16" fillId="0" borderId="0" xfId="75" quotePrefix="1" applyFont="1" applyAlignment="1">
      <alignment horizontal="right"/>
    </xf>
    <xf numFmtId="0" fontId="16" fillId="28" borderId="0" xfId="75" applyFont="1" applyFill="1" applyAlignment="1" applyProtection="1">
      <alignment horizontal="left"/>
      <protection locked="0"/>
    </xf>
    <xf numFmtId="0" fontId="16" fillId="28" borderId="0" xfId="75" quotePrefix="1" applyFont="1" applyFill="1" applyAlignment="1" applyProtection="1">
      <alignment horizontal="left"/>
      <protection locked="0"/>
    </xf>
    <xf numFmtId="0" fontId="10" fillId="27" borderId="12" xfId="0" applyFont="1" applyFill="1" applyBorder="1" applyAlignment="1">
      <alignment horizontal="center"/>
    </xf>
    <xf numFmtId="0" fontId="10" fillId="27" borderId="12" xfId="0" applyFont="1" applyFill="1" applyBorder="1" applyAlignment="1">
      <alignment horizontal="center" vertical="center"/>
    </xf>
    <xf numFmtId="0" fontId="8" fillId="28" borderId="14" xfId="75" applyFont="1" applyFill="1" applyBorder="1" applyAlignment="1" applyProtection="1">
      <alignment horizontal="right"/>
      <protection locked="0"/>
    </xf>
    <xf numFmtId="0" fontId="8" fillId="28" borderId="15" xfId="75" applyFont="1" applyFill="1" applyBorder="1" applyAlignment="1" applyProtection="1">
      <alignment horizontal="right"/>
      <protection locked="0"/>
    </xf>
    <xf numFmtId="43" fontId="8" fillId="28" borderId="12" xfId="31" applyFont="1" applyFill="1" applyBorder="1" applyAlignment="1">
      <alignment horizontal="center" vertical="center"/>
    </xf>
    <xf numFmtId="0" fontId="8" fillId="32" borderId="14" xfId="75" applyFont="1" applyFill="1" applyBorder="1" applyAlignment="1">
      <alignment horizontal="center"/>
    </xf>
    <xf numFmtId="0" fontId="8" fillId="32" borderId="15" xfId="75" applyFont="1" applyFill="1" applyBorder="1" applyAlignment="1">
      <alignment horizontal="center"/>
    </xf>
    <xf numFmtId="0" fontId="31" fillId="0" borderId="0" xfId="75" quotePrefix="1" applyFont="1" applyAlignment="1">
      <alignment horizontal="center"/>
    </xf>
    <xf numFmtId="0" fontId="31" fillId="0" borderId="0" xfId="75" applyFont="1" applyAlignment="1">
      <alignment horizontal="center"/>
    </xf>
    <xf numFmtId="0" fontId="37" fillId="0" borderId="13" xfId="0" quotePrefix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5" fillId="0" borderId="0" xfId="75" quotePrefix="1" applyFont="1" applyAlignment="1">
      <alignment horizontal="center"/>
    </xf>
    <xf numFmtId="0" fontId="8" fillId="28" borderId="12" xfId="0" applyFont="1" applyFill="1" applyBorder="1" applyAlignment="1">
      <alignment horizontal="center" vertical="center"/>
    </xf>
    <xf numFmtId="0" fontId="80" fillId="0" borderId="0" xfId="75" applyFont="1" applyAlignment="1">
      <alignment horizontal="center"/>
    </xf>
    <xf numFmtId="0" fontId="80" fillId="0" borderId="0" xfId="75" quotePrefix="1" applyFont="1" applyAlignment="1">
      <alignment horizontal="center"/>
    </xf>
    <xf numFmtId="0" fontId="81" fillId="0" borderId="14" xfId="75" applyFont="1" applyBorder="1" applyAlignment="1">
      <alignment horizontal="center"/>
    </xf>
    <xf numFmtId="0" fontId="81" fillId="0" borderId="27" xfId="75" applyFont="1" applyBorder="1" applyAlignment="1">
      <alignment horizontal="center"/>
    </xf>
    <xf numFmtId="0" fontId="81" fillId="0" borderId="15" xfId="75" applyFont="1" applyBorder="1" applyAlignment="1">
      <alignment horizontal="center"/>
    </xf>
    <xf numFmtId="0" fontId="81" fillId="0" borderId="14" xfId="75" quotePrefix="1" applyFont="1" applyBorder="1" applyAlignment="1">
      <alignment horizontal="center"/>
    </xf>
    <xf numFmtId="0" fontId="57" fillId="25" borderId="13" xfId="0" applyFont="1" applyFill="1" applyBorder="1" applyAlignment="1">
      <alignment horizontal="center" vertical="center"/>
    </xf>
    <xf numFmtId="0" fontId="57" fillId="25" borderId="11" xfId="0" applyFont="1" applyFill="1" applyBorder="1" applyAlignment="1">
      <alignment horizontal="center" vertical="center"/>
    </xf>
    <xf numFmtId="0" fontId="57" fillId="25" borderId="10" xfId="0" applyFont="1" applyFill="1" applyBorder="1" applyAlignment="1">
      <alignment horizontal="center" vertical="center"/>
    </xf>
    <xf numFmtId="0" fontId="57" fillId="25" borderId="59" xfId="0" applyFont="1" applyFill="1" applyBorder="1" applyAlignment="1">
      <alignment horizontal="center" vertical="center"/>
    </xf>
    <xf numFmtId="0" fontId="57" fillId="25" borderId="70" xfId="0" applyFont="1" applyFill="1" applyBorder="1" applyAlignment="1">
      <alignment horizontal="center" vertical="center"/>
    </xf>
    <xf numFmtId="0" fontId="55" fillId="36" borderId="14" xfId="0" applyFont="1" applyFill="1" applyBorder="1" applyAlignment="1">
      <alignment horizontal="center"/>
    </xf>
    <xf numFmtId="0" fontId="55" fillId="36" borderId="27" xfId="0" applyFont="1" applyFill="1" applyBorder="1" applyAlignment="1">
      <alignment horizontal="center"/>
    </xf>
    <xf numFmtId="0" fontId="55" fillId="36" borderId="15" xfId="0" applyFont="1" applyFill="1" applyBorder="1" applyAlignment="1">
      <alignment horizontal="center"/>
    </xf>
    <xf numFmtId="0" fontId="57" fillId="29" borderId="14" xfId="0" applyFont="1" applyFill="1" applyBorder="1" applyAlignment="1">
      <alignment horizontal="center" vertical="center"/>
    </xf>
    <xf numFmtId="0" fontId="57" fillId="29" borderId="27" xfId="0" applyFont="1" applyFill="1" applyBorder="1" applyAlignment="1">
      <alignment horizontal="center" vertical="center"/>
    </xf>
    <xf numFmtId="0" fontId="57" fillId="29" borderId="15" xfId="0" applyFont="1" applyFill="1" applyBorder="1" applyAlignment="1">
      <alignment horizontal="center" vertical="center"/>
    </xf>
    <xf numFmtId="0" fontId="57" fillId="25" borderId="13" xfId="0" applyFont="1" applyFill="1" applyBorder="1" applyAlignment="1">
      <alignment horizontal="center" vertical="center" shrinkToFit="1"/>
    </xf>
    <xf numFmtId="0" fontId="57" fillId="25" borderId="11" xfId="0" applyFont="1" applyFill="1" applyBorder="1" applyAlignment="1">
      <alignment horizontal="center" vertical="center" shrinkToFit="1"/>
    </xf>
    <xf numFmtId="0" fontId="57" fillId="25" borderId="13" xfId="0" applyFont="1" applyFill="1" applyBorder="1" applyAlignment="1">
      <alignment horizontal="center" vertical="center" wrapText="1"/>
    </xf>
    <xf numFmtId="0" fontId="57" fillId="25" borderId="11" xfId="0" applyFont="1" applyFill="1" applyBorder="1" applyAlignment="1">
      <alignment horizontal="center" vertical="center" wrapText="1"/>
    </xf>
    <xf numFmtId="0" fontId="57" fillId="25" borderId="16" xfId="0" applyFont="1" applyFill="1" applyBorder="1" applyAlignment="1">
      <alignment horizontal="center" vertical="center"/>
    </xf>
    <xf numFmtId="0" fontId="57" fillId="25" borderId="78" xfId="0" applyFont="1" applyFill="1" applyBorder="1" applyAlignment="1">
      <alignment horizontal="center" vertical="center"/>
    </xf>
    <xf numFmtId="175" fontId="57" fillId="24" borderId="10" xfId="0" applyNumberFormat="1" applyFont="1" applyFill="1" applyBorder="1" applyAlignment="1">
      <alignment horizontal="center" vertical="center"/>
    </xf>
    <xf numFmtId="0" fontId="57" fillId="24" borderId="11" xfId="0" applyFont="1" applyFill="1" applyBorder="1" applyAlignment="1">
      <alignment horizontal="center" vertical="center"/>
    </xf>
    <xf numFmtId="0" fontId="57" fillId="24" borderId="13" xfId="0" applyFont="1" applyFill="1" applyBorder="1" applyAlignment="1">
      <alignment horizontal="center" vertical="center"/>
    </xf>
    <xf numFmtId="0" fontId="55" fillId="24" borderId="14" xfId="0" applyFont="1" applyFill="1" applyBorder="1" applyAlignment="1">
      <alignment horizontal="center"/>
    </xf>
    <xf numFmtId="0" fontId="55" fillId="24" borderId="27" xfId="0" applyFont="1" applyFill="1" applyBorder="1" applyAlignment="1">
      <alignment horizontal="center"/>
    </xf>
    <xf numFmtId="0" fontId="55" fillId="24" borderId="15" xfId="0" applyFont="1" applyFill="1" applyBorder="1" applyAlignment="1">
      <alignment horizontal="center"/>
    </xf>
    <xf numFmtId="0" fontId="57" fillId="24" borderId="10" xfId="0" applyFont="1" applyFill="1" applyBorder="1" applyAlignment="1">
      <alignment horizontal="center" vertical="center"/>
    </xf>
    <xf numFmtId="0" fontId="57" fillId="24" borderId="13" xfId="0" quotePrefix="1" applyFont="1" applyFill="1" applyBorder="1" applyAlignment="1">
      <alignment horizontal="center" vertical="center"/>
    </xf>
    <xf numFmtId="0" fontId="57" fillId="24" borderId="11" xfId="0" quotePrefix="1" applyFont="1" applyFill="1" applyBorder="1" applyAlignment="1">
      <alignment horizontal="center" vertical="center"/>
    </xf>
    <xf numFmtId="0" fontId="57" fillId="24" borderId="13" xfId="0" applyFont="1" applyFill="1" applyBorder="1" applyAlignment="1">
      <alignment horizontal="center" vertical="center" wrapText="1"/>
    </xf>
    <xf numFmtId="0" fontId="57" fillId="24" borderId="10" xfId="0" applyFont="1" applyFill="1" applyBorder="1" applyAlignment="1">
      <alignment horizontal="center" vertical="center" wrapText="1"/>
    </xf>
    <xf numFmtId="0" fontId="57" fillId="24" borderId="11" xfId="0" applyFont="1" applyFill="1" applyBorder="1" applyAlignment="1">
      <alignment horizontal="center" vertical="center" wrapText="1"/>
    </xf>
    <xf numFmtId="0" fontId="55" fillId="37" borderId="14" xfId="0" applyFont="1" applyFill="1" applyBorder="1" applyAlignment="1">
      <alignment horizontal="center"/>
    </xf>
    <xf numFmtId="0" fontId="55" fillId="37" borderId="27" xfId="0" applyFont="1" applyFill="1" applyBorder="1" applyAlignment="1">
      <alignment horizontal="center"/>
    </xf>
    <xf numFmtId="0" fontId="55" fillId="37" borderId="15" xfId="0" applyFont="1" applyFill="1" applyBorder="1" applyAlignment="1">
      <alignment horizontal="center"/>
    </xf>
    <xf numFmtId="0" fontId="57" fillId="38" borderId="14" xfId="0" quotePrefix="1" applyFont="1" applyFill="1" applyBorder="1" applyAlignment="1">
      <alignment horizontal="center" vertical="center"/>
    </xf>
    <xf numFmtId="0" fontId="57" fillId="38" borderId="27" xfId="0" quotePrefix="1" applyFont="1" applyFill="1" applyBorder="1" applyAlignment="1">
      <alignment horizontal="center" vertical="center"/>
    </xf>
    <xf numFmtId="0" fontId="57" fillId="38" borderId="15" xfId="0" quotePrefix="1" applyFont="1" applyFill="1" applyBorder="1" applyAlignment="1">
      <alignment horizontal="center" vertical="center"/>
    </xf>
    <xf numFmtId="0" fontId="57" fillId="24" borderId="59" xfId="0" quotePrefix="1" applyFont="1" applyFill="1" applyBorder="1" applyAlignment="1">
      <alignment horizontal="center" vertical="center"/>
    </xf>
    <xf numFmtId="0" fontId="57" fillId="24" borderId="70" xfId="0" quotePrefix="1" applyFont="1" applyFill="1" applyBorder="1" applyAlignment="1">
      <alignment horizontal="center" vertical="center"/>
    </xf>
    <xf numFmtId="0" fontId="57" fillId="0" borderId="51" xfId="0" applyFont="1" applyBorder="1" applyAlignment="1">
      <alignment horizontal="center" vertical="center" wrapText="1"/>
    </xf>
    <xf numFmtId="0" fontId="55" fillId="0" borderId="0" xfId="0" applyFont="1" applyAlignment="1">
      <alignment horizontal="right" vertical="center"/>
    </xf>
    <xf numFmtId="0" fontId="57" fillId="39" borderId="14" xfId="0" applyFont="1" applyFill="1" applyBorder="1" applyAlignment="1">
      <alignment horizontal="center" vertical="center"/>
    </xf>
    <xf numFmtId="0" fontId="57" fillId="39" borderId="15" xfId="0" applyFont="1" applyFill="1" applyBorder="1" applyAlignment="1">
      <alignment horizontal="center" vertical="center"/>
    </xf>
    <xf numFmtId="0" fontId="55" fillId="0" borderId="14" xfId="0" applyFont="1" applyBorder="1" applyAlignment="1">
      <alignment horizontal="center" vertical="center" wrapText="1"/>
    </xf>
    <xf numFmtId="0" fontId="55" fillId="0" borderId="15" xfId="0" applyFont="1" applyBorder="1" applyAlignment="1">
      <alignment horizontal="center" vertical="center" wrapText="1"/>
    </xf>
    <xf numFmtId="0" fontId="57" fillId="24" borderId="59" xfId="0" applyFont="1" applyFill="1" applyBorder="1" applyAlignment="1">
      <alignment horizontal="center" vertical="center"/>
    </xf>
    <xf numFmtId="0" fontId="57" fillId="24" borderId="16" xfId="0" applyFont="1" applyFill="1" applyBorder="1" applyAlignment="1">
      <alignment horizontal="center" vertical="center"/>
    </xf>
    <xf numFmtId="0" fontId="57" fillId="24" borderId="101" xfId="0" applyFont="1" applyFill="1" applyBorder="1" applyAlignment="1">
      <alignment horizontal="center" vertical="center"/>
    </xf>
    <xf numFmtId="0" fontId="57" fillId="24" borderId="51" xfId="0" applyFont="1" applyFill="1" applyBorder="1" applyAlignment="1">
      <alignment horizontal="center" vertical="center"/>
    </xf>
    <xf numFmtId="0" fontId="57" fillId="24" borderId="70" xfId="0" applyFont="1" applyFill="1" applyBorder="1" applyAlignment="1">
      <alignment horizontal="center" vertical="center"/>
    </xf>
    <xf numFmtId="0" fontId="57" fillId="24" borderId="78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5" fillId="37" borderId="59" xfId="0" applyFont="1" applyFill="1" applyBorder="1" applyAlignment="1">
      <alignment horizontal="center" vertical="center" wrapText="1"/>
    </xf>
    <xf numFmtId="0" fontId="55" fillId="37" borderId="16" xfId="0" applyFont="1" applyFill="1" applyBorder="1" applyAlignment="1">
      <alignment horizontal="center" vertical="center" wrapText="1"/>
    </xf>
    <xf numFmtId="0" fontId="55" fillId="37" borderId="70" xfId="0" applyFont="1" applyFill="1" applyBorder="1" applyAlignment="1">
      <alignment horizontal="center" vertical="center" wrapText="1"/>
    </xf>
    <xf numFmtId="0" fontId="55" fillId="37" borderId="78" xfId="0" applyFont="1" applyFill="1" applyBorder="1" applyAlignment="1">
      <alignment horizontal="center" vertical="center" wrapText="1"/>
    </xf>
    <xf numFmtId="0" fontId="57" fillId="29" borderId="14" xfId="0" quotePrefix="1" applyFont="1" applyFill="1" applyBorder="1" applyAlignment="1">
      <alignment horizontal="center" vertical="center"/>
    </xf>
    <xf numFmtId="0" fontId="57" fillId="29" borderId="27" xfId="0" quotePrefix="1" applyFont="1" applyFill="1" applyBorder="1" applyAlignment="1">
      <alignment horizontal="center" vertical="center"/>
    </xf>
    <xf numFmtId="0" fontId="57" fillId="29" borderId="15" xfId="0" quotePrefix="1" applyFont="1" applyFill="1" applyBorder="1" applyAlignment="1">
      <alignment horizontal="center" vertical="center"/>
    </xf>
    <xf numFmtId="0" fontId="57" fillId="38" borderId="14" xfId="0" applyFont="1" applyFill="1" applyBorder="1" applyAlignment="1">
      <alignment horizontal="center" vertical="center"/>
    </xf>
    <xf numFmtId="0" fontId="57" fillId="38" borderId="15" xfId="0" applyFont="1" applyFill="1" applyBorder="1" applyAlignment="1">
      <alignment horizontal="center" vertical="center"/>
    </xf>
    <xf numFmtId="0" fontId="44" fillId="32" borderId="12" xfId="0" applyFont="1" applyFill="1" applyBorder="1" applyAlignment="1">
      <alignment horizontal="center" vertical="center" wrapText="1"/>
    </xf>
    <xf numFmtId="0" fontId="44" fillId="32" borderId="12" xfId="0" applyFont="1" applyFill="1" applyBorder="1" applyAlignment="1">
      <alignment horizontal="center" vertical="center"/>
    </xf>
    <xf numFmtId="0" fontId="44" fillId="36" borderId="12" xfId="0" applyFont="1" applyFill="1" applyBorder="1" applyAlignment="1">
      <alignment horizontal="center"/>
    </xf>
    <xf numFmtId="0" fontId="44" fillId="28" borderId="12" xfId="0" applyFont="1" applyFill="1" applyBorder="1" applyAlignment="1">
      <alignment horizontal="center"/>
    </xf>
    <xf numFmtId="0" fontId="44" fillId="40" borderId="12" xfId="0" applyFont="1" applyFill="1" applyBorder="1" applyAlignment="1">
      <alignment horizontal="center"/>
    </xf>
    <xf numFmtId="0" fontId="44" fillId="0" borderId="0" xfId="0" applyFont="1" applyAlignment="1">
      <alignment horizontal="right"/>
    </xf>
    <xf numFmtId="0" fontId="44" fillId="0" borderId="0" xfId="0" applyFont="1" applyAlignment="1">
      <alignment horizontal="left" indent="1"/>
    </xf>
    <xf numFmtId="0" fontId="44" fillId="32" borderId="13" xfId="0" applyFont="1" applyFill="1" applyBorder="1" applyAlignment="1">
      <alignment horizontal="center" vertical="center" wrapText="1"/>
    </xf>
    <xf numFmtId="0" fontId="44" fillId="32" borderId="11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/>
    </xf>
    <xf numFmtId="0" fontId="44" fillId="32" borderId="13" xfId="0" quotePrefix="1" applyFont="1" applyFill="1" applyBorder="1" applyAlignment="1">
      <alignment horizontal="center" vertical="center" wrapText="1"/>
    </xf>
    <xf numFmtId="0" fontId="44" fillId="32" borderId="10" xfId="0" quotePrefix="1" applyFont="1" applyFill="1" applyBorder="1" applyAlignment="1">
      <alignment horizontal="center" vertical="center"/>
    </xf>
    <xf numFmtId="0" fontId="44" fillId="32" borderId="11" xfId="0" quotePrefix="1" applyFont="1" applyFill="1" applyBorder="1" applyAlignment="1">
      <alignment horizontal="center" vertical="center"/>
    </xf>
    <xf numFmtId="0" fontId="44" fillId="32" borderId="12" xfId="0" applyFont="1" applyFill="1" applyBorder="1" applyAlignment="1">
      <alignment horizontal="center" wrapText="1"/>
    </xf>
    <xf numFmtId="0" fontId="44" fillId="0" borderId="0" xfId="0" applyFont="1" applyAlignment="1">
      <alignment horizontal="left"/>
    </xf>
    <xf numFmtId="0" fontId="44" fillId="32" borderId="13" xfId="0" applyFont="1" applyFill="1" applyBorder="1" applyAlignment="1">
      <alignment horizontal="center" vertical="center"/>
    </xf>
    <xf numFmtId="0" fontId="44" fillId="32" borderId="10" xfId="0" applyFont="1" applyFill="1" applyBorder="1" applyAlignment="1">
      <alignment horizontal="center" vertical="center"/>
    </xf>
    <xf numFmtId="0" fontId="44" fillId="32" borderId="11" xfId="0" applyFont="1" applyFill="1" applyBorder="1" applyAlignment="1">
      <alignment horizontal="center" vertical="center"/>
    </xf>
    <xf numFmtId="0" fontId="44" fillId="32" borderId="12" xfId="0" applyFont="1" applyFill="1" applyBorder="1" applyAlignment="1">
      <alignment horizontal="center"/>
    </xf>
    <xf numFmtId="0" fontId="44" fillId="28" borderId="0" xfId="0" applyFont="1" applyFill="1" applyAlignment="1">
      <alignment horizontal="left" indent="1"/>
    </xf>
    <xf numFmtId="0" fontId="44" fillId="28" borderId="0" xfId="0" applyFont="1" applyFill="1" applyAlignment="1">
      <alignment horizontal="left"/>
    </xf>
    <xf numFmtId="0" fontId="44" fillId="25" borderId="12" xfId="0" applyFont="1" applyFill="1" applyBorder="1" applyAlignment="1">
      <alignment horizontal="center"/>
    </xf>
    <xf numFmtId="0" fontId="44" fillId="29" borderId="12" xfId="0" applyFont="1" applyFill="1" applyBorder="1" applyAlignment="1">
      <alignment horizontal="center"/>
    </xf>
    <xf numFmtId="0" fontId="46" fillId="0" borderId="13" xfId="94" quotePrefix="1" applyFont="1" applyBorder="1" applyAlignment="1">
      <alignment horizontal="center" vertical="center"/>
    </xf>
    <xf numFmtId="0" fontId="46" fillId="0" borderId="11" xfId="94" quotePrefix="1" applyFont="1" applyBorder="1" applyAlignment="1">
      <alignment horizontal="center" vertical="center"/>
    </xf>
    <xf numFmtId="0" fontId="46" fillId="0" borderId="12" xfId="94" applyFont="1" applyBorder="1" applyAlignment="1">
      <alignment horizontal="center"/>
    </xf>
    <xf numFmtId="0" fontId="46" fillId="0" borderId="16" xfId="94" applyFont="1" applyBorder="1" applyAlignment="1">
      <alignment horizontal="center" vertical="center"/>
    </xf>
    <xf numFmtId="0" fontId="46" fillId="0" borderId="78" xfId="94" applyFont="1" applyBorder="1" applyAlignment="1">
      <alignment horizontal="center" vertical="center"/>
    </xf>
    <xf numFmtId="0" fontId="46" fillId="0" borderId="13" xfId="94" applyFont="1" applyBorder="1" applyAlignment="1">
      <alignment horizontal="center" vertical="center"/>
    </xf>
    <xf numFmtId="0" fontId="46" fillId="0" borderId="10" xfId="94" applyFont="1" applyBorder="1" applyAlignment="1">
      <alignment horizontal="center" vertical="center"/>
    </xf>
    <xf numFmtId="0" fontId="46" fillId="0" borderId="11" xfId="94" applyFont="1" applyBorder="1" applyAlignment="1">
      <alignment horizontal="center" vertical="center"/>
    </xf>
    <xf numFmtId="0" fontId="46" fillId="0" borderId="13" xfId="94" applyFont="1" applyBorder="1" applyAlignment="1">
      <alignment horizontal="center" vertical="center" wrapText="1"/>
    </xf>
    <xf numFmtId="0" fontId="46" fillId="0" borderId="59" xfId="94" quotePrefix="1" applyFont="1" applyBorder="1" applyAlignment="1">
      <alignment horizontal="center" vertical="center"/>
    </xf>
    <xf numFmtId="0" fontId="46" fillId="0" borderId="70" xfId="94" quotePrefix="1" applyFont="1" applyBorder="1" applyAlignment="1">
      <alignment horizontal="center" vertical="center"/>
    </xf>
    <xf numFmtId="0" fontId="44" fillId="0" borderId="0" xfId="94" quotePrefix="1" applyFont="1" applyAlignment="1">
      <alignment horizontal="right"/>
    </xf>
    <xf numFmtId="0" fontId="46" fillId="0" borderId="10" xfId="94" applyFont="1" applyBorder="1" applyAlignment="1">
      <alignment horizontal="center" vertical="center" shrinkToFit="1"/>
    </xf>
    <xf numFmtId="0" fontId="46" fillId="0" borderId="11" xfId="94" applyFont="1" applyBorder="1" applyAlignment="1">
      <alignment horizontal="center" vertical="center" shrinkToFit="1"/>
    </xf>
    <xf numFmtId="0" fontId="46" fillId="29" borderId="12" xfId="94" quotePrefix="1" applyFont="1" applyFill="1" applyBorder="1" applyAlignment="1">
      <alignment horizontal="center"/>
    </xf>
    <xf numFmtId="0" fontId="46" fillId="37" borderId="12" xfId="94" quotePrefix="1" applyFont="1" applyFill="1" applyBorder="1" applyAlignment="1">
      <alignment horizontal="center"/>
    </xf>
    <xf numFmtId="0" fontId="46" fillId="0" borderId="13" xfId="94" applyFont="1" applyBorder="1" applyAlignment="1">
      <alignment horizontal="center" vertical="center" shrinkToFit="1"/>
    </xf>
    <xf numFmtId="0" fontId="46" fillId="0" borderId="13" xfId="103" applyFont="1" applyBorder="1" applyAlignment="1">
      <alignment horizontal="center" vertical="center"/>
    </xf>
    <xf numFmtId="0" fontId="46" fillId="0" borderId="11" xfId="103" applyFont="1" applyBorder="1" applyAlignment="1">
      <alignment horizontal="center" vertical="center"/>
    </xf>
    <xf numFmtId="0" fontId="46" fillId="0" borderId="10" xfId="103" applyFont="1" applyBorder="1" applyAlignment="1">
      <alignment horizontal="center" vertical="center"/>
    </xf>
    <xf numFmtId="0" fontId="46" fillId="0" borderId="14" xfId="103" quotePrefix="1" applyFont="1" applyBorder="1" applyAlignment="1">
      <alignment horizontal="center"/>
    </xf>
    <xf numFmtId="0" fontId="46" fillId="0" borderId="27" xfId="103" quotePrefix="1" applyFont="1" applyBorder="1" applyAlignment="1">
      <alignment horizontal="center"/>
    </xf>
    <xf numFmtId="0" fontId="46" fillId="0" borderId="15" xfId="103" quotePrefix="1" applyFont="1" applyBorder="1" applyAlignment="1">
      <alignment horizontal="center"/>
    </xf>
    <xf numFmtId="0" fontId="46" fillId="0" borderId="13" xfId="103" applyFont="1" applyBorder="1" applyAlignment="1">
      <alignment horizontal="center" vertical="center" shrinkToFit="1"/>
    </xf>
    <xf numFmtId="0" fontId="46" fillId="0" borderId="11" xfId="103" applyFont="1" applyBorder="1" applyAlignment="1">
      <alignment horizontal="center" vertical="center" shrinkToFit="1"/>
    </xf>
    <xf numFmtId="0" fontId="46" fillId="0" borderId="16" xfId="103" applyFont="1" applyBorder="1" applyAlignment="1">
      <alignment horizontal="center" vertical="center"/>
    </xf>
    <xf numFmtId="0" fontId="46" fillId="0" borderId="78" xfId="103" applyFont="1" applyBorder="1" applyAlignment="1">
      <alignment horizontal="center" vertical="center"/>
    </xf>
    <xf numFmtId="0" fontId="46" fillId="0" borderId="12" xfId="103" applyFont="1" applyBorder="1" applyAlignment="1">
      <alignment horizontal="center"/>
    </xf>
    <xf numFmtId="0" fontId="46" fillId="0" borderId="12" xfId="103" quotePrefix="1" applyFont="1" applyBorder="1" applyAlignment="1">
      <alignment horizontal="center"/>
    </xf>
    <xf numFmtId="0" fontId="46" fillId="0" borderId="59" xfId="103" quotePrefix="1" applyFont="1" applyBorder="1" applyAlignment="1">
      <alignment horizontal="center" vertical="center"/>
    </xf>
    <xf numFmtId="0" fontId="46" fillId="0" borderId="70" xfId="103" quotePrefix="1" applyFont="1" applyBorder="1" applyAlignment="1">
      <alignment horizontal="center" vertical="center"/>
    </xf>
    <xf numFmtId="0" fontId="46" fillId="0" borderId="13" xfId="103" quotePrefix="1" applyFont="1" applyBorder="1" applyAlignment="1">
      <alignment horizontal="center" vertical="center"/>
    </xf>
    <xf numFmtId="0" fontId="46" fillId="0" borderId="11" xfId="103" quotePrefix="1" applyFont="1" applyBorder="1" applyAlignment="1">
      <alignment horizontal="center" vertical="center"/>
    </xf>
    <xf numFmtId="0" fontId="44" fillId="0" borderId="0" xfId="0" quotePrefix="1" applyFont="1" applyAlignment="1">
      <alignment horizontal="center"/>
    </xf>
    <xf numFmtId="0" fontId="44" fillId="0" borderId="14" xfId="0" quotePrefix="1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100" xfId="0" applyFont="1" applyBorder="1" applyAlignment="1">
      <alignment horizontal="center"/>
    </xf>
    <xf numFmtId="0" fontId="46" fillId="37" borderId="13" xfId="0" applyFont="1" applyFill="1" applyBorder="1" applyAlignment="1">
      <alignment horizontal="center" vertical="center"/>
    </xf>
    <xf numFmtId="0" fontId="46" fillId="37" borderId="11" xfId="0" applyFont="1" applyFill="1" applyBorder="1" applyAlignment="1">
      <alignment horizontal="center" vertical="center"/>
    </xf>
    <xf numFmtId="0" fontId="46" fillId="32" borderId="14" xfId="0" quotePrefix="1" applyFont="1" applyFill="1" applyBorder="1" applyAlignment="1">
      <alignment horizontal="center"/>
    </xf>
    <xf numFmtId="0" fontId="46" fillId="32" borderId="27" xfId="0" applyFont="1" applyFill="1" applyBorder="1" applyAlignment="1">
      <alignment horizontal="center"/>
    </xf>
    <xf numFmtId="0" fontId="46" fillId="32" borderId="15" xfId="0" applyFont="1" applyFill="1" applyBorder="1" applyAlignment="1">
      <alignment horizontal="center"/>
    </xf>
    <xf numFmtId="0" fontId="46" fillId="25" borderId="59" xfId="0" applyFont="1" applyFill="1" applyBorder="1" applyAlignment="1">
      <alignment horizontal="center" vertical="center"/>
    </xf>
    <xf numFmtId="0" fontId="46" fillId="25" borderId="104" xfId="0" applyFont="1" applyFill="1" applyBorder="1" applyAlignment="1">
      <alignment horizontal="center" vertical="center"/>
    </xf>
    <xf numFmtId="0" fontId="46" fillId="25" borderId="16" xfId="0" applyFont="1" applyFill="1" applyBorder="1" applyAlignment="1">
      <alignment horizontal="center" vertical="center"/>
    </xf>
    <xf numFmtId="0" fontId="46" fillId="25" borderId="70" xfId="0" applyFont="1" applyFill="1" applyBorder="1" applyAlignment="1">
      <alignment horizontal="center" vertical="center"/>
    </xf>
    <xf numFmtId="0" fontId="46" fillId="25" borderId="100" xfId="0" applyFont="1" applyFill="1" applyBorder="1" applyAlignment="1">
      <alignment horizontal="center" vertical="center"/>
    </xf>
    <xf numFmtId="0" fontId="46" fillId="25" borderId="78" xfId="0" applyFont="1" applyFill="1" applyBorder="1" applyAlignment="1">
      <alignment horizontal="center" vertical="center"/>
    </xf>
    <xf numFmtId="0" fontId="50" fillId="0" borderId="59" xfId="0" quotePrefix="1" applyFont="1" applyBorder="1" applyAlignment="1">
      <alignment horizontal="center"/>
    </xf>
    <xf numFmtId="0" fontId="50" fillId="0" borderId="104" xfId="0" quotePrefix="1" applyFont="1" applyBorder="1" applyAlignment="1">
      <alignment horizontal="center"/>
    </xf>
    <xf numFmtId="0" fontId="50" fillId="0" borderId="16" xfId="0" quotePrefix="1" applyFont="1" applyBorder="1" applyAlignment="1">
      <alignment horizontal="center"/>
    </xf>
    <xf numFmtId="0" fontId="44" fillId="0" borderId="12" xfId="95" applyFont="1" applyBorder="1" applyAlignment="1">
      <alignment horizontal="center"/>
    </xf>
    <xf numFmtId="0" fontId="44" fillId="0" borderId="0" xfId="95" applyFont="1" applyAlignment="1">
      <alignment horizontal="left"/>
    </xf>
    <xf numFmtId="3" fontId="44" fillId="0" borderId="12" xfId="95" applyNumberFormat="1" applyFont="1" applyBorder="1" applyAlignment="1">
      <alignment horizontal="center"/>
    </xf>
    <xf numFmtId="0" fontId="44" fillId="0" borderId="12" xfId="95" applyFont="1" applyBorder="1" applyAlignment="1">
      <alignment horizontal="center" vertical="center"/>
    </xf>
    <xf numFmtId="0" fontId="44" fillId="0" borderId="0" xfId="95" applyFont="1" applyAlignment="1">
      <alignment horizontal="center"/>
    </xf>
    <xf numFmtId="0" fontId="44" fillId="0" borderId="14" xfId="95" applyFont="1" applyBorder="1" applyAlignment="1">
      <alignment horizontal="center"/>
    </xf>
    <xf numFmtId="0" fontId="44" fillId="0" borderId="27" xfId="95" applyFont="1" applyBorder="1" applyAlignment="1">
      <alignment horizontal="center"/>
    </xf>
    <xf numFmtId="0" fontId="44" fillId="0" borderId="15" xfId="95" applyFont="1" applyBorder="1" applyAlignment="1">
      <alignment horizontal="center"/>
    </xf>
    <xf numFmtId="0" fontId="44" fillId="0" borderId="12" xfId="95" applyFont="1" applyBorder="1" applyAlignment="1" applyProtection="1">
      <alignment horizontal="center"/>
      <protection locked="0"/>
    </xf>
    <xf numFmtId="3" fontId="44" fillId="0" borderId="14" xfId="95" applyNumberFormat="1" applyFont="1" applyBorder="1" applyAlignment="1">
      <alignment horizontal="center"/>
    </xf>
    <xf numFmtId="3" fontId="44" fillId="0" borderId="15" xfId="95" applyNumberFormat="1" applyFont="1" applyBorder="1" applyAlignment="1">
      <alignment horizontal="center"/>
    </xf>
    <xf numFmtId="0" fontId="44" fillId="0" borderId="12" xfId="95" applyFont="1" applyBorder="1" applyAlignment="1">
      <alignment horizontal="center" vertical="center" wrapText="1"/>
    </xf>
    <xf numFmtId="0" fontId="44" fillId="0" borderId="0" xfId="95" applyFont="1" applyAlignment="1">
      <alignment horizontal="right"/>
    </xf>
    <xf numFmtId="3" fontId="44" fillId="0" borderId="0" xfId="95" applyNumberFormat="1" applyFont="1" applyAlignment="1">
      <alignment horizontal="center" vertical="center"/>
    </xf>
    <xf numFmtId="0" fontId="44" fillId="0" borderId="12" xfId="102" applyFont="1" applyBorder="1" applyAlignment="1">
      <alignment horizontal="center"/>
    </xf>
    <xf numFmtId="0" fontId="44" fillId="0" borderId="0" xfId="102" applyFont="1" applyAlignment="1">
      <alignment horizontal="left"/>
    </xf>
    <xf numFmtId="0" fontId="44" fillId="0" borderId="12" xfId="102" applyFont="1" applyBorder="1" applyAlignment="1">
      <alignment horizontal="center" vertical="center"/>
    </xf>
    <xf numFmtId="0" fontId="44" fillId="0" borderId="0" xfId="102" applyFont="1" applyAlignment="1">
      <alignment horizontal="center"/>
    </xf>
    <xf numFmtId="0" fontId="44" fillId="0" borderId="12" xfId="102" applyFont="1" applyBorder="1" applyAlignment="1">
      <alignment horizontal="center" vertical="center" wrapText="1"/>
    </xf>
    <xf numFmtId="0" fontId="44" fillId="0" borderId="0" xfId="102" applyFont="1" applyAlignment="1">
      <alignment horizontal="right"/>
    </xf>
    <xf numFmtId="3" fontId="44" fillId="0" borderId="0" xfId="102" applyNumberFormat="1" applyFont="1" applyAlignment="1">
      <alignment horizontal="center" vertical="center"/>
    </xf>
    <xf numFmtId="0" fontId="31" fillId="0" borderId="100" xfId="75" quotePrefix="1" applyFont="1" applyBorder="1" applyAlignment="1">
      <alignment horizontal="center"/>
    </xf>
    <xf numFmtId="0" fontId="28" fillId="0" borderId="12" xfId="75" applyBorder="1" applyAlignment="1">
      <alignment horizontal="center"/>
    </xf>
    <xf numFmtId="0" fontId="0" fillId="28" borderId="105" xfId="0" applyFill="1" applyBorder="1" applyAlignment="1">
      <alignment horizontal="right"/>
    </xf>
    <xf numFmtId="0" fontId="0" fillId="28" borderId="106" xfId="0" applyFill="1" applyBorder="1"/>
    <xf numFmtId="0" fontId="0" fillId="28" borderId="71" xfId="0" applyFill="1" applyBorder="1" applyAlignment="1">
      <alignment horizontal="right"/>
    </xf>
    <xf numFmtId="0" fontId="0" fillId="28" borderId="107" xfId="0" applyFill="1" applyBorder="1" applyAlignment="1">
      <alignment horizontal="right"/>
    </xf>
    <xf numFmtId="0" fontId="0" fillId="28" borderId="55" xfId="0" applyFill="1" applyBorder="1" applyAlignment="1">
      <alignment horizontal="right"/>
    </xf>
    <xf numFmtId="0" fontId="0" fillId="28" borderId="106" xfId="0" applyFill="1" applyBorder="1" applyAlignment="1">
      <alignment horizontal="right"/>
    </xf>
    <xf numFmtId="0" fontId="0" fillId="28" borderId="55" xfId="0" applyFill="1" applyBorder="1"/>
    <xf numFmtId="0" fontId="0" fillId="28" borderId="14" xfId="0" applyFill="1" applyBorder="1" applyAlignment="1">
      <alignment horizontal="right"/>
    </xf>
    <xf numFmtId="0" fontId="0" fillId="0" borderId="48" xfId="0" applyBorder="1" applyAlignment="1">
      <alignment horizontal="right"/>
    </xf>
    <xf numFmtId="0" fontId="0" fillId="28" borderId="49" xfId="0" applyFill="1" applyBorder="1" applyAlignment="1">
      <alignment horizontal="right"/>
    </xf>
    <xf numFmtId="0" fontId="0" fillId="0" borderId="50" xfId="0" applyBorder="1" applyAlignment="1">
      <alignment horizontal="right"/>
    </xf>
    <xf numFmtId="0" fontId="0" fillId="31" borderId="100" xfId="0" quotePrefix="1" applyFill="1" applyBorder="1" applyAlignment="1">
      <alignment horizontal="center"/>
    </xf>
    <xf numFmtId="0" fontId="0" fillId="31" borderId="100" xfId="0" applyFill="1" applyBorder="1" applyAlignment="1">
      <alignment horizontal="center"/>
    </xf>
    <xf numFmtId="0" fontId="0" fillId="29" borderId="100" xfId="0" applyFill="1" applyBorder="1" applyAlignment="1">
      <alignment horizontal="center"/>
    </xf>
    <xf numFmtId="0" fontId="0" fillId="26" borderId="100" xfId="0" applyFill="1" applyBorder="1" applyAlignment="1">
      <alignment horizontal="center"/>
    </xf>
    <xf numFmtId="0" fontId="0" fillId="28" borderId="100" xfId="0" applyFill="1" applyBorder="1" applyAlignment="1">
      <alignment horizontal="center"/>
    </xf>
    <xf numFmtId="0" fontId="0" fillId="30" borderId="100" xfId="0" applyFill="1" applyBorder="1" applyAlignment="1">
      <alignment horizontal="center"/>
    </xf>
    <xf numFmtId="0" fontId="8" fillId="0" borderId="13" xfId="73" applyFont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8" fillId="0" borderId="13" xfId="73" quotePrefix="1" applyFont="1" applyBorder="1" applyAlignment="1">
      <alignment horizontal="center" vertical="top" wrapText="1"/>
    </xf>
    <xf numFmtId="0" fontId="28" fillId="0" borderId="20" xfId="76" applyBorder="1" applyAlignment="1">
      <alignment horizontal="left"/>
    </xf>
    <xf numFmtId="0" fontId="28" fillId="0" borderId="22" xfId="76" applyBorder="1" applyAlignment="1">
      <alignment horizontal="left"/>
    </xf>
    <xf numFmtId="0" fontId="28" fillId="0" borderId="52" xfId="76" applyBorder="1" applyAlignment="1">
      <alignment horizontal="center"/>
    </xf>
    <xf numFmtId="0" fontId="28" fillId="0" borderId="108" xfId="76" applyBorder="1" applyAlignment="1">
      <alignment horizontal="center"/>
    </xf>
    <xf numFmtId="0" fontId="28" fillId="0" borderId="109" xfId="76" applyBorder="1" applyAlignment="1">
      <alignment horizontal="center"/>
    </xf>
    <xf numFmtId="0" fontId="28" fillId="0" borderId="20" xfId="76" applyBorder="1" applyAlignment="1">
      <alignment horizontal="center"/>
    </xf>
    <xf numFmtId="0" fontId="28" fillId="0" borderId="22" xfId="76" applyBorder="1" applyAlignment="1">
      <alignment horizontal="center"/>
    </xf>
    <xf numFmtId="0" fontId="28" fillId="0" borderId="52" xfId="76" quotePrefix="1" applyBorder="1" applyAlignment="1">
      <alignment horizontal="center"/>
    </xf>
    <xf numFmtId="0" fontId="16" fillId="28" borderId="0" xfId="72" applyFont="1" applyFill="1" applyAlignment="1">
      <alignment horizontal="center"/>
    </xf>
  </cellXfs>
  <cellStyles count="106">
    <cellStyle name="20% - Accent1" xfId="1" xr:uid="{0ABF7453-559B-D249-948E-6BA624451FAE}"/>
    <cellStyle name="20% - Accent2" xfId="2" xr:uid="{92773D1B-5961-1D47-8DC9-4A147674110D}"/>
    <cellStyle name="20% - Accent3" xfId="3" xr:uid="{4473DAEE-4E19-D546-B50A-FBD466B848C2}"/>
    <cellStyle name="20% - Accent3 2" xfId="4" xr:uid="{1C272550-91C8-2147-A5D0-378B4D402BA5}"/>
    <cellStyle name="20% - Accent4" xfId="5" xr:uid="{333AB421-9393-8F40-A5CC-3B3C32766C09}"/>
    <cellStyle name="20% - Accent5" xfId="6" xr:uid="{FEAA64EB-03FE-344C-8AF5-8B01C6C7CD48}"/>
    <cellStyle name="20% - Accent6" xfId="7" xr:uid="{D6567B4A-81B6-8340-8306-B7BBFDBD0897}"/>
    <cellStyle name="40% - Accent1" xfId="8" xr:uid="{88386CCA-2FA7-7E47-9D24-84000E42FB2E}"/>
    <cellStyle name="40% - Accent2" xfId="9" xr:uid="{E616C6B7-A261-AE46-9612-731E7F677372}"/>
    <cellStyle name="40% - Accent3" xfId="10" xr:uid="{6C03E919-F16A-9B47-882A-0A96475C332C}"/>
    <cellStyle name="40% - Accent4" xfId="11" xr:uid="{C6773F92-902A-7A4F-B9CD-95B93245F185}"/>
    <cellStyle name="40% - Accent5" xfId="12" xr:uid="{95B95C61-477D-214A-B7C3-EB816EB19A70}"/>
    <cellStyle name="40% - Accent6" xfId="13" xr:uid="{B61484F8-5449-334D-93CA-6A90E00D7D8F}"/>
    <cellStyle name="60% - Accent1" xfId="14" xr:uid="{000EBEB1-7558-444B-ACD3-E9CA255BA305}"/>
    <cellStyle name="60% - Accent2" xfId="15" xr:uid="{1374AA47-2654-9B48-BD21-C68CA7892F3A}"/>
    <cellStyle name="60% - Accent3" xfId="16" xr:uid="{6212C810-D266-8149-8DB0-1CAA046E59A6}"/>
    <cellStyle name="60% - Accent4" xfId="17" xr:uid="{D837C1C7-22BD-B641-87BB-ADEAD7CA325B}"/>
    <cellStyle name="60% - Accent5" xfId="18" xr:uid="{52F3BCC9-A5C6-1740-BE96-1546D7B35A9B}"/>
    <cellStyle name="60% - Accent6" xfId="19" xr:uid="{283F4C43-6AD4-ED41-AE4D-CA82A4D165B5}"/>
    <cellStyle name="Accent1" xfId="20" xr:uid="{9E0DB501-E973-7843-83BA-B9CEDF1B86AD}"/>
    <cellStyle name="Accent2" xfId="21" xr:uid="{02973A3B-FCB3-8149-8889-FF0A3890C008}"/>
    <cellStyle name="Accent2 2" xfId="22" xr:uid="{F52AE282-EFB5-D244-AEDB-2C0D24376E85}"/>
    <cellStyle name="Accent3" xfId="23" xr:uid="{664C0DCD-059F-AE49-97DD-B2CEFEAA441D}"/>
    <cellStyle name="Accent4" xfId="24" xr:uid="{ABCB0DAA-BF05-1448-AF86-F8A60D323C61}"/>
    <cellStyle name="Accent5" xfId="25" xr:uid="{ACA27BA8-8529-024A-911E-1450D7BAED3F}"/>
    <cellStyle name="Accent6" xfId="26" xr:uid="{71C6D220-925F-B04C-B5D0-B376C3B74365}"/>
    <cellStyle name="Accent6 2" xfId="27" xr:uid="{EA13EB2D-155B-6C43-A3AB-C51643E17E5E}"/>
    <cellStyle name="Bad" xfId="28" xr:uid="{10D1E2D4-7E6A-FE41-BA6C-4DB7C1E5607A}"/>
    <cellStyle name="Calculation" xfId="29" xr:uid="{53D543CF-F140-B149-8D3D-24E36BE870BD}"/>
    <cellStyle name="Check Cell" xfId="30" xr:uid="{499A6B18-8479-B54B-BC8C-B3917B4E5468}"/>
    <cellStyle name="Comma" xfId="31" builtinId="3"/>
    <cellStyle name="Comma 10" xfId="32" xr:uid="{EB0F34E7-D5EA-664C-9B96-6CBCA8BD49B9}"/>
    <cellStyle name="Comma 11" xfId="33" xr:uid="{8C6805F0-434F-FF4C-BC8A-55D55969F463}"/>
    <cellStyle name="Comma 2" xfId="34" xr:uid="{F54E9614-1187-1B40-B5B6-B621BC8DC425}"/>
    <cellStyle name="Comma 2 2" xfId="35" xr:uid="{1DFDCE78-DF4C-9645-B857-EE9E98AB10E1}"/>
    <cellStyle name="Comma 2 3" xfId="36" xr:uid="{04C7C363-408F-CE40-9676-F6AD6E73D8AC}"/>
    <cellStyle name="Comma 3" xfId="37" xr:uid="{A8A48854-D5F9-5A4B-B921-C14D572FB1F4}"/>
    <cellStyle name="Comma 3 2" xfId="38" xr:uid="{FFE02AF5-5F50-9D4C-B750-8C2109A968D5}"/>
    <cellStyle name="Comma 4" xfId="39" xr:uid="{D3336516-60CC-D244-8EE3-24D17B3BDB70}"/>
    <cellStyle name="Comma 5" xfId="40" xr:uid="{29A0A561-01D7-4547-BBA1-BD31B9844F09}"/>
    <cellStyle name="Comma 6" xfId="41" xr:uid="{F85A389F-983B-394F-9925-CBA2E31B69E7}"/>
    <cellStyle name="Comma 7" xfId="42" xr:uid="{7222D383-F33A-1D49-98FD-A8EB906F4953}"/>
    <cellStyle name="Comma 8" xfId="43" xr:uid="{3021DBA4-E1F4-8547-8692-D59A3CB600B2}"/>
    <cellStyle name="Comma 9" xfId="44" xr:uid="{C2B1EA51-C166-E94C-B335-633040CCF563}"/>
    <cellStyle name="Comma_ตารางแผนฤดูแล้ง_น้ำอูน" xfId="45" xr:uid="{2B442854-A31A-3648-BFB5-4EF42223CDE8}"/>
    <cellStyle name="Explanatory Text" xfId="46" xr:uid="{D84FD1F7-839F-B740-9E7C-050AFB010D79}"/>
    <cellStyle name="Good" xfId="47" xr:uid="{7137C0A5-E37B-344F-9773-AF8D10F05B76}"/>
    <cellStyle name="Heading 1" xfId="48" xr:uid="{196CC5A3-AD78-6847-9FE8-6A48A8D6626F}"/>
    <cellStyle name="Heading 2" xfId="49" xr:uid="{174436A2-5E7D-F447-AEEE-064A073E64D1}"/>
    <cellStyle name="Heading 3" xfId="50" xr:uid="{E43C75F5-D44B-F54C-8C28-190C6007FE70}"/>
    <cellStyle name="Heading 4" xfId="51" xr:uid="{21AE2264-2D1D-4A4D-8215-FA966683E876}"/>
    <cellStyle name="Hyperlink 2" xfId="52" xr:uid="{279AA3C0-A4AC-B745-B862-72A8D741CB1E}"/>
    <cellStyle name="Input" xfId="53" xr:uid="{1DB8CFB1-A1DF-AD4A-A1D0-16A2C0BB6692}"/>
    <cellStyle name="Linked Cell" xfId="54" xr:uid="{662C05D8-44D2-354C-B45C-BECC29C8AEA9}"/>
    <cellStyle name="Neutral" xfId="55" xr:uid="{B9F0E48F-D0C7-814A-BBF1-8EF5123E877C}"/>
    <cellStyle name="Normal" xfId="0" builtinId="0"/>
    <cellStyle name="Normal 2" xfId="56" xr:uid="{F4AEABEC-11F1-F04B-B39D-4947F57E70CD}"/>
    <cellStyle name="Normal 2 2" xfId="57" xr:uid="{922A733E-ED85-1446-8762-0F7AC1B7D1F6}"/>
    <cellStyle name="Normal 2 3" xfId="58" xr:uid="{FEBCD4D1-66D7-FE47-A98C-10DA02AA0836}"/>
    <cellStyle name="Normal 3" xfId="59" xr:uid="{6671F855-684B-4646-AC5B-7ADB6B5054CF}"/>
    <cellStyle name="Normal 4" xfId="60" xr:uid="{D1D26F53-D3D3-7245-8C78-F745DF84096B}"/>
    <cellStyle name="Normal 4 2" xfId="61" xr:uid="{2471192B-C376-7F4E-9E84-F84BAA86C11E}"/>
    <cellStyle name="Normal 4 3" xfId="62" xr:uid="{06A5D3D5-F8E5-0D4F-8786-5B51A237219D}"/>
    <cellStyle name="Normal 5" xfId="63" xr:uid="{9AB7751B-53EE-C746-9096-5D6ABCB82EEB}"/>
    <cellStyle name="Normal 5 2" xfId="64" xr:uid="{ABB4F52C-5A17-4645-9FC6-777B8D57F194}"/>
    <cellStyle name="Normal 5 3" xfId="65" xr:uid="{5AF16670-1A45-9345-8D62-766C11D9D592}"/>
    <cellStyle name="Normal 5 4" xfId="66" xr:uid="{D3A8368B-B702-8E46-8483-5572A4BE6429}"/>
    <cellStyle name="Normal 6" xfId="67" xr:uid="{E9B843FB-FEE6-CF45-95E9-3E1BA53E67E6}"/>
    <cellStyle name="Normal 6 2" xfId="68" xr:uid="{4F89E613-8912-5947-B75F-29D697032AEA}"/>
    <cellStyle name="Normal 7" xfId="69" xr:uid="{0A581E69-7390-0249-9259-25CEDD54927C}"/>
    <cellStyle name="Normal 7 2" xfId="70" xr:uid="{1F0E5517-C67C-2144-AB84-F3EABD43766F}"/>
    <cellStyle name="Normal 8" xfId="71" xr:uid="{6293086A-D76D-574E-BF2F-AFA9F8F4B92F}"/>
    <cellStyle name="Normal_Book1" xfId="72" xr:uid="{0154037B-BF63-5745-B5B9-39388134265C}"/>
    <cellStyle name="Normal_Kc_Penman_Monteith" xfId="73" xr:uid="{25273807-0F6D-9340-A1DD-8105A573C39A}"/>
    <cellStyle name="Normal_Penman_Monteith" xfId="74" xr:uid="{258DB842-D7B6-8648-BF77-2C3A4C6E24C2}"/>
    <cellStyle name="Normal_ตารางแผนฤดูแล้ง_น้ำอูน" xfId="75" xr:uid="{702722F8-52C3-CF4A-B145-A7047DB9CDDE}"/>
    <cellStyle name="Normal_ฝนใช้การ" xfId="76" xr:uid="{CF5DED9C-2C1C-AE4B-933A-9D073728A104}"/>
    <cellStyle name="Note" xfId="77" xr:uid="{6CA81D0B-24AA-B344-8558-28303C8A0779}"/>
    <cellStyle name="Output" xfId="78" xr:uid="{EB856CFC-FE90-0E49-8799-27B5676F80DA}"/>
    <cellStyle name="Percent" xfId="79" builtinId="5"/>
    <cellStyle name="Percent 2" xfId="80" xr:uid="{CE61820A-0915-2A4F-83A3-B39F8FC32FFD}"/>
    <cellStyle name="Percent 3" xfId="81" xr:uid="{0E702EC6-9A2C-3646-9464-8DAA65F0914A}"/>
    <cellStyle name="Percent 3 2" xfId="82" xr:uid="{8E9EA10A-7DE7-1F42-BF71-160D402AE16E}"/>
    <cellStyle name="Percent 4" xfId="83" xr:uid="{4F44BE28-DA90-944C-B72F-AF675302BED9}"/>
    <cellStyle name="Percent 5" xfId="84" xr:uid="{20DF970D-2877-864E-9D51-7CB41BCC23BB}"/>
    <cellStyle name="Title" xfId="85" xr:uid="{0B5842FC-4607-4441-BCAC-D6E64448F7FA}"/>
    <cellStyle name="Total" xfId="86" xr:uid="{D8BAD85B-C045-0244-83AB-0509D329945A}"/>
    <cellStyle name="Warning Text" xfId="87" xr:uid="{819654EC-86BB-6E4A-B898-E0BC8E71FAAD}"/>
    <cellStyle name="เครื่องหมายจุลภาค 2" xfId="88" xr:uid="{77AA4CCC-8B74-C64D-8650-EAA0DE50E817}"/>
    <cellStyle name="เครื่องหมายจุลภาค 2 2" xfId="89" xr:uid="{27CBEDB7-3141-7141-9EDE-6EC1472D40CC}"/>
    <cellStyle name="เครื่องหมายจุลภาค 3" xfId="90" xr:uid="{40540D21-D826-F74F-99DC-6AD8C64A1349}"/>
    <cellStyle name="เครื่องหมายจุลภาค 3 2" xfId="91" xr:uid="{60821527-434E-8D43-8516-6164B3C204D4}"/>
    <cellStyle name="เครื่องหมายจุลภาค 4" xfId="92" xr:uid="{1BB59881-E4AC-264E-89D0-6641CD787031}"/>
    <cellStyle name="เครื่องหมายจุลภาค_Book1" xfId="93" xr:uid="{993F51D0-4A80-0246-9B9C-CDD665CFE049}"/>
    <cellStyle name="ปกติ 2" xfId="94" xr:uid="{84FE24F6-93A1-AB42-9774-36259528A289}"/>
    <cellStyle name="ปกติ 2 2" xfId="95" xr:uid="{92183868-FA66-144E-AAB2-5631E9B9C7E5}"/>
    <cellStyle name="ปกติ 2 2 2" xfId="96" xr:uid="{33DE905A-0445-3A40-A29D-86FC05AB2C93}"/>
    <cellStyle name="ปกติ 2 2 2 2" xfId="97" xr:uid="{9016C2D7-A696-9C49-A64A-C37330F44D4D}"/>
    <cellStyle name="ปกติ 2 2 2 3" xfId="98" xr:uid="{4CA294A0-B246-8F43-AEA6-36FA7CD3366C}"/>
    <cellStyle name="ปกติ 2 3" xfId="99" xr:uid="{B27D6907-ED67-1D49-9D5A-030BB379199D}"/>
    <cellStyle name="ปกติ 2 3 2" xfId="100" xr:uid="{D766A59D-48BA-6240-A566-DEEF2E8D3460}"/>
    <cellStyle name="ปกติ 2 3 3" xfId="101" xr:uid="{104F5AD9-9054-C74C-A2FF-94A3771B7705}"/>
    <cellStyle name="ปกติ 3" xfId="102" xr:uid="{78563FAC-D35D-E649-8EF1-D83FB9A5D996}"/>
    <cellStyle name="ปกติ_dry-form 2552-53" xfId="103" xr:uid="{D21321DA-22F2-DC48-9537-EE7DFA3097A0}"/>
    <cellStyle name="ปกติ_Sheet1" xfId="104" xr:uid="{05C6B642-17B1-5D49-86BE-2B6B4E58AAB7}"/>
    <cellStyle name="เปอร์เซ็นต์ 2" xfId="105" xr:uid="{B0049A9F-D19F-D741-A917-9EFD209FB1F8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calcChain" Target="calcChain.xml"/><Relationship Id="rId21" Type="http://schemas.openxmlformats.org/officeDocument/2006/relationships/worksheet" Target="worksheets/sheet19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externalLink" Target="externalLinks/externalLink1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5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ROS การใช้น้ำอ่างเก็บน้ำมูลบน จ.นครราชสีมา</a:t>
            </a:r>
          </a:p>
        </c:rich>
      </c:tx>
      <c:layout>
        <c:manualLayout>
          <c:xMode val="edge"/>
          <c:yMode val="edge"/>
          <c:x val="0.24131488228150585"/>
          <c:y val="3.073708528369438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7466975631662"/>
          <c:y val="0.3293773318361285"/>
          <c:w val="0.87440226807182542"/>
          <c:h val="0.51928858622813057"/>
        </c:manualLayout>
      </c:layout>
      <c:lineChart>
        <c:grouping val="standard"/>
        <c:varyColors val="0"/>
        <c:ser>
          <c:idx val="0"/>
          <c:order val="0"/>
          <c:tx>
            <c:v>ปริมาตรน้ำคาดการณ์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F6FC1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9EC-484F-AF03-5A46A104EBB7}"/>
              </c:ext>
            </c:extLst>
          </c:dPt>
          <c:dPt>
            <c:idx val="184"/>
            <c:bubble3D val="0"/>
            <c:extLst>
              <c:ext xmlns:c16="http://schemas.microsoft.com/office/drawing/2014/chart" uri="{C3380CC4-5D6E-409C-BE32-E72D297353CC}">
                <c16:uniqueId val="{00000003-09EC-484F-AF03-5A46A104EBB7}"/>
              </c:ext>
            </c:extLst>
          </c:dPt>
          <c:dPt>
            <c:idx val="212"/>
            <c:marker>
              <c:symbol val="circle"/>
              <c:size val="8"/>
              <c:spPr>
                <a:solidFill>
                  <a:srgbClr val="FFFF00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9EC-484F-AF03-5A46A104EBB7}"/>
              </c:ext>
            </c:extLst>
          </c:dPt>
          <c:dPt>
            <c:idx val="361"/>
            <c:marker>
              <c:symbol val="circle"/>
              <c:size val="8"/>
              <c:spPr>
                <a:solidFill>
                  <a:srgbClr val="F6FC1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9EC-484F-AF03-5A46A104EBB7}"/>
              </c:ext>
            </c:extLst>
          </c:dPt>
          <c:dLbls>
            <c:dLbl>
              <c:idx val="0"/>
              <c:layout>
                <c:manualLayout>
                  <c:x val="0"/>
                  <c:y val="4.7477744807121663E-2"/>
                </c:manualLayout>
              </c:layout>
              <c:spPr>
                <a:solidFill>
                  <a:srgbClr val="F6FC10"/>
                </a:solidFill>
              </c:spPr>
              <c:txPr>
                <a:bodyPr/>
                <a:lstStyle/>
                <a:p>
                  <a:pPr>
                    <a:defRPr sz="10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EC-484F-AF03-5A46A104EBB7}"/>
                </c:ext>
              </c:extLst>
            </c:dLbl>
            <c:dLbl>
              <c:idx val="212"/>
              <c:layout>
                <c:manualLayout>
                  <c:x val="-2.557077699121352E-3"/>
                  <c:y val="-6.0961326518465114E-2"/>
                </c:manualLayout>
              </c:layout>
              <c:spPr>
                <a:solidFill>
                  <a:srgbClr val="FFFF00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EC-484F-AF03-5A46A104EBB7}"/>
                </c:ext>
              </c:extLst>
            </c:dLbl>
            <c:dLbl>
              <c:idx val="361"/>
              <c:layout>
                <c:manualLayout>
                  <c:x val="-2.8288201981228386E-2"/>
                  <c:y val="-5.4597586365507128E-2"/>
                </c:manualLayout>
              </c:layout>
              <c:spPr>
                <a:solidFill>
                  <a:srgbClr val="F6FC10"/>
                </a:solidFill>
              </c:spPr>
              <c:txPr>
                <a:bodyPr/>
                <a:lstStyle/>
                <a:p>
                  <a:pPr>
                    <a:defRPr sz="10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EC-484F-AF03-5A46A104EBB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ROS!$B$15:$B$379</c:f>
              <c:numCache>
                <c:formatCode>d\ mmm</c:formatCode>
                <c:ptCount val="365"/>
                <c:pt idx="0">
                  <c:v>39753</c:v>
                </c:pt>
                <c:pt idx="1">
                  <c:v>39754</c:v>
                </c:pt>
                <c:pt idx="2">
                  <c:v>39755</c:v>
                </c:pt>
                <c:pt idx="3">
                  <c:v>39756</c:v>
                </c:pt>
                <c:pt idx="4">
                  <c:v>39757</c:v>
                </c:pt>
                <c:pt idx="5">
                  <c:v>39758</c:v>
                </c:pt>
                <c:pt idx="6">
                  <c:v>39759</c:v>
                </c:pt>
                <c:pt idx="7">
                  <c:v>39760</c:v>
                </c:pt>
                <c:pt idx="8">
                  <c:v>39761</c:v>
                </c:pt>
                <c:pt idx="9">
                  <c:v>39762</c:v>
                </c:pt>
                <c:pt idx="10">
                  <c:v>39763</c:v>
                </c:pt>
                <c:pt idx="11">
                  <c:v>39764</c:v>
                </c:pt>
                <c:pt idx="12">
                  <c:v>39765</c:v>
                </c:pt>
                <c:pt idx="13">
                  <c:v>39766</c:v>
                </c:pt>
                <c:pt idx="14">
                  <c:v>39767</c:v>
                </c:pt>
                <c:pt idx="15">
                  <c:v>39768</c:v>
                </c:pt>
                <c:pt idx="16">
                  <c:v>39769</c:v>
                </c:pt>
                <c:pt idx="17">
                  <c:v>39770</c:v>
                </c:pt>
                <c:pt idx="18">
                  <c:v>39771</c:v>
                </c:pt>
                <c:pt idx="19">
                  <c:v>39772</c:v>
                </c:pt>
                <c:pt idx="20">
                  <c:v>39773</c:v>
                </c:pt>
                <c:pt idx="21">
                  <c:v>39774</c:v>
                </c:pt>
                <c:pt idx="22">
                  <c:v>39775</c:v>
                </c:pt>
                <c:pt idx="23">
                  <c:v>39776</c:v>
                </c:pt>
                <c:pt idx="24">
                  <c:v>39777</c:v>
                </c:pt>
                <c:pt idx="25">
                  <c:v>39778</c:v>
                </c:pt>
                <c:pt idx="26">
                  <c:v>39779</c:v>
                </c:pt>
                <c:pt idx="27">
                  <c:v>39780</c:v>
                </c:pt>
                <c:pt idx="28">
                  <c:v>39781</c:v>
                </c:pt>
                <c:pt idx="29">
                  <c:v>39782</c:v>
                </c:pt>
                <c:pt idx="30">
                  <c:v>39783</c:v>
                </c:pt>
                <c:pt idx="31">
                  <c:v>39784</c:v>
                </c:pt>
                <c:pt idx="32">
                  <c:v>39785</c:v>
                </c:pt>
                <c:pt idx="33">
                  <c:v>39786</c:v>
                </c:pt>
                <c:pt idx="34">
                  <c:v>39787</c:v>
                </c:pt>
                <c:pt idx="35">
                  <c:v>39788</c:v>
                </c:pt>
                <c:pt idx="36">
                  <c:v>39789</c:v>
                </c:pt>
                <c:pt idx="37">
                  <c:v>39790</c:v>
                </c:pt>
                <c:pt idx="38">
                  <c:v>39791</c:v>
                </c:pt>
                <c:pt idx="39">
                  <c:v>39792</c:v>
                </c:pt>
                <c:pt idx="40">
                  <c:v>39793</c:v>
                </c:pt>
                <c:pt idx="41">
                  <c:v>39794</c:v>
                </c:pt>
                <c:pt idx="42">
                  <c:v>39795</c:v>
                </c:pt>
                <c:pt idx="43">
                  <c:v>39796</c:v>
                </c:pt>
                <c:pt idx="44">
                  <c:v>39797</c:v>
                </c:pt>
                <c:pt idx="45">
                  <c:v>39798</c:v>
                </c:pt>
                <c:pt idx="46">
                  <c:v>39799</c:v>
                </c:pt>
                <c:pt idx="47">
                  <c:v>39800</c:v>
                </c:pt>
                <c:pt idx="48">
                  <c:v>39801</c:v>
                </c:pt>
                <c:pt idx="49">
                  <c:v>39802</c:v>
                </c:pt>
                <c:pt idx="50">
                  <c:v>39803</c:v>
                </c:pt>
                <c:pt idx="51">
                  <c:v>39804</c:v>
                </c:pt>
                <c:pt idx="52">
                  <c:v>39805</c:v>
                </c:pt>
                <c:pt idx="53">
                  <c:v>39806</c:v>
                </c:pt>
                <c:pt idx="54">
                  <c:v>39807</c:v>
                </c:pt>
                <c:pt idx="55">
                  <c:v>39808</c:v>
                </c:pt>
                <c:pt idx="56">
                  <c:v>39809</c:v>
                </c:pt>
                <c:pt idx="57">
                  <c:v>39810</c:v>
                </c:pt>
                <c:pt idx="58">
                  <c:v>39811</c:v>
                </c:pt>
                <c:pt idx="59">
                  <c:v>39812</c:v>
                </c:pt>
                <c:pt idx="60">
                  <c:v>39813</c:v>
                </c:pt>
                <c:pt idx="61">
                  <c:v>39814</c:v>
                </c:pt>
                <c:pt idx="62">
                  <c:v>39815</c:v>
                </c:pt>
                <c:pt idx="63">
                  <c:v>39816</c:v>
                </c:pt>
                <c:pt idx="64">
                  <c:v>39817</c:v>
                </c:pt>
                <c:pt idx="65">
                  <c:v>39818</c:v>
                </c:pt>
                <c:pt idx="66">
                  <c:v>39819</c:v>
                </c:pt>
                <c:pt idx="67">
                  <c:v>39820</c:v>
                </c:pt>
                <c:pt idx="68">
                  <c:v>39821</c:v>
                </c:pt>
                <c:pt idx="69">
                  <c:v>39822</c:v>
                </c:pt>
                <c:pt idx="70">
                  <c:v>39823</c:v>
                </c:pt>
                <c:pt idx="71">
                  <c:v>39824</c:v>
                </c:pt>
                <c:pt idx="72">
                  <c:v>39825</c:v>
                </c:pt>
                <c:pt idx="73">
                  <c:v>39826</c:v>
                </c:pt>
                <c:pt idx="74">
                  <c:v>39827</c:v>
                </c:pt>
                <c:pt idx="75">
                  <c:v>39828</c:v>
                </c:pt>
                <c:pt idx="76">
                  <c:v>39829</c:v>
                </c:pt>
                <c:pt idx="77">
                  <c:v>39830</c:v>
                </c:pt>
                <c:pt idx="78">
                  <c:v>39831</c:v>
                </c:pt>
                <c:pt idx="79">
                  <c:v>39832</c:v>
                </c:pt>
                <c:pt idx="80">
                  <c:v>39833</c:v>
                </c:pt>
                <c:pt idx="81">
                  <c:v>39834</c:v>
                </c:pt>
                <c:pt idx="82">
                  <c:v>39835</c:v>
                </c:pt>
                <c:pt idx="83">
                  <c:v>39836</c:v>
                </c:pt>
                <c:pt idx="84">
                  <c:v>39837</c:v>
                </c:pt>
                <c:pt idx="85">
                  <c:v>39838</c:v>
                </c:pt>
                <c:pt idx="86">
                  <c:v>39839</c:v>
                </c:pt>
                <c:pt idx="87">
                  <c:v>39840</c:v>
                </c:pt>
                <c:pt idx="88">
                  <c:v>39841</c:v>
                </c:pt>
                <c:pt idx="89">
                  <c:v>39842</c:v>
                </c:pt>
                <c:pt idx="90">
                  <c:v>39843</c:v>
                </c:pt>
                <c:pt idx="91">
                  <c:v>39844</c:v>
                </c:pt>
                <c:pt idx="92">
                  <c:v>39845</c:v>
                </c:pt>
                <c:pt idx="93">
                  <c:v>39846</c:v>
                </c:pt>
                <c:pt idx="94">
                  <c:v>39847</c:v>
                </c:pt>
                <c:pt idx="95">
                  <c:v>39848</c:v>
                </c:pt>
                <c:pt idx="96">
                  <c:v>39849</c:v>
                </c:pt>
                <c:pt idx="97">
                  <c:v>39850</c:v>
                </c:pt>
                <c:pt idx="98">
                  <c:v>39851</c:v>
                </c:pt>
                <c:pt idx="99">
                  <c:v>39852</c:v>
                </c:pt>
                <c:pt idx="100">
                  <c:v>39853</c:v>
                </c:pt>
                <c:pt idx="101">
                  <c:v>39854</c:v>
                </c:pt>
                <c:pt idx="102">
                  <c:v>39855</c:v>
                </c:pt>
                <c:pt idx="103">
                  <c:v>39856</c:v>
                </c:pt>
                <c:pt idx="104">
                  <c:v>39857</c:v>
                </c:pt>
                <c:pt idx="105">
                  <c:v>39858</c:v>
                </c:pt>
                <c:pt idx="106">
                  <c:v>39859</c:v>
                </c:pt>
                <c:pt idx="107">
                  <c:v>39860</c:v>
                </c:pt>
                <c:pt idx="108">
                  <c:v>39861</c:v>
                </c:pt>
                <c:pt idx="109">
                  <c:v>39862</c:v>
                </c:pt>
                <c:pt idx="110">
                  <c:v>39863</c:v>
                </c:pt>
                <c:pt idx="111">
                  <c:v>39864</c:v>
                </c:pt>
                <c:pt idx="112">
                  <c:v>39865</c:v>
                </c:pt>
                <c:pt idx="113">
                  <c:v>39866</c:v>
                </c:pt>
                <c:pt idx="114">
                  <c:v>39867</c:v>
                </c:pt>
                <c:pt idx="115">
                  <c:v>39868</c:v>
                </c:pt>
                <c:pt idx="116">
                  <c:v>39869</c:v>
                </c:pt>
                <c:pt idx="117">
                  <c:v>39870</c:v>
                </c:pt>
                <c:pt idx="118">
                  <c:v>39871</c:v>
                </c:pt>
                <c:pt idx="119">
                  <c:v>39872</c:v>
                </c:pt>
                <c:pt idx="120">
                  <c:v>39873</c:v>
                </c:pt>
                <c:pt idx="121">
                  <c:v>39874</c:v>
                </c:pt>
                <c:pt idx="122">
                  <c:v>39875</c:v>
                </c:pt>
                <c:pt idx="123">
                  <c:v>39876</c:v>
                </c:pt>
                <c:pt idx="124">
                  <c:v>39877</c:v>
                </c:pt>
                <c:pt idx="125">
                  <c:v>39878</c:v>
                </c:pt>
                <c:pt idx="126">
                  <c:v>39879</c:v>
                </c:pt>
                <c:pt idx="127">
                  <c:v>39880</c:v>
                </c:pt>
                <c:pt idx="128">
                  <c:v>39881</c:v>
                </c:pt>
                <c:pt idx="129">
                  <c:v>39882</c:v>
                </c:pt>
                <c:pt idx="130">
                  <c:v>39883</c:v>
                </c:pt>
                <c:pt idx="131">
                  <c:v>39884</c:v>
                </c:pt>
                <c:pt idx="132">
                  <c:v>39885</c:v>
                </c:pt>
                <c:pt idx="133">
                  <c:v>39886</c:v>
                </c:pt>
                <c:pt idx="134">
                  <c:v>39887</c:v>
                </c:pt>
                <c:pt idx="135">
                  <c:v>39888</c:v>
                </c:pt>
                <c:pt idx="136">
                  <c:v>39889</c:v>
                </c:pt>
                <c:pt idx="137">
                  <c:v>39890</c:v>
                </c:pt>
                <c:pt idx="138">
                  <c:v>39891</c:v>
                </c:pt>
                <c:pt idx="139">
                  <c:v>39892</c:v>
                </c:pt>
                <c:pt idx="140">
                  <c:v>39893</c:v>
                </c:pt>
                <c:pt idx="141">
                  <c:v>39894</c:v>
                </c:pt>
                <c:pt idx="142">
                  <c:v>39895</c:v>
                </c:pt>
                <c:pt idx="143">
                  <c:v>39896</c:v>
                </c:pt>
                <c:pt idx="144">
                  <c:v>39897</c:v>
                </c:pt>
                <c:pt idx="145">
                  <c:v>39898</c:v>
                </c:pt>
                <c:pt idx="146">
                  <c:v>39899</c:v>
                </c:pt>
                <c:pt idx="147">
                  <c:v>39900</c:v>
                </c:pt>
                <c:pt idx="148">
                  <c:v>39901</c:v>
                </c:pt>
                <c:pt idx="149">
                  <c:v>39902</c:v>
                </c:pt>
                <c:pt idx="150">
                  <c:v>39903</c:v>
                </c:pt>
                <c:pt idx="151">
                  <c:v>39904</c:v>
                </c:pt>
                <c:pt idx="152">
                  <c:v>39905</c:v>
                </c:pt>
                <c:pt idx="153">
                  <c:v>39906</c:v>
                </c:pt>
                <c:pt idx="154">
                  <c:v>39907</c:v>
                </c:pt>
                <c:pt idx="155">
                  <c:v>39908</c:v>
                </c:pt>
                <c:pt idx="156">
                  <c:v>39909</c:v>
                </c:pt>
                <c:pt idx="157">
                  <c:v>39910</c:v>
                </c:pt>
                <c:pt idx="158">
                  <c:v>39911</c:v>
                </c:pt>
                <c:pt idx="159">
                  <c:v>39912</c:v>
                </c:pt>
                <c:pt idx="160">
                  <c:v>39913</c:v>
                </c:pt>
                <c:pt idx="161">
                  <c:v>39914</c:v>
                </c:pt>
                <c:pt idx="162">
                  <c:v>39915</c:v>
                </c:pt>
                <c:pt idx="163">
                  <c:v>39916</c:v>
                </c:pt>
                <c:pt idx="164">
                  <c:v>39917</c:v>
                </c:pt>
                <c:pt idx="165">
                  <c:v>39918</c:v>
                </c:pt>
                <c:pt idx="166">
                  <c:v>39919</c:v>
                </c:pt>
                <c:pt idx="167">
                  <c:v>39920</c:v>
                </c:pt>
                <c:pt idx="168">
                  <c:v>39921</c:v>
                </c:pt>
                <c:pt idx="169">
                  <c:v>39922</c:v>
                </c:pt>
                <c:pt idx="170">
                  <c:v>39923</c:v>
                </c:pt>
                <c:pt idx="171">
                  <c:v>39924</c:v>
                </c:pt>
                <c:pt idx="172">
                  <c:v>39925</c:v>
                </c:pt>
                <c:pt idx="173">
                  <c:v>39926</c:v>
                </c:pt>
                <c:pt idx="174">
                  <c:v>39927</c:v>
                </c:pt>
                <c:pt idx="175">
                  <c:v>39928</c:v>
                </c:pt>
                <c:pt idx="176">
                  <c:v>39929</c:v>
                </c:pt>
                <c:pt idx="177">
                  <c:v>39930</c:v>
                </c:pt>
                <c:pt idx="178">
                  <c:v>39931</c:v>
                </c:pt>
                <c:pt idx="179">
                  <c:v>39932</c:v>
                </c:pt>
                <c:pt idx="180">
                  <c:v>39933</c:v>
                </c:pt>
                <c:pt idx="181">
                  <c:v>39934</c:v>
                </c:pt>
                <c:pt idx="182">
                  <c:v>39935</c:v>
                </c:pt>
                <c:pt idx="183">
                  <c:v>39936</c:v>
                </c:pt>
                <c:pt idx="184">
                  <c:v>39937</c:v>
                </c:pt>
                <c:pt idx="185">
                  <c:v>39938</c:v>
                </c:pt>
                <c:pt idx="186">
                  <c:v>39939</c:v>
                </c:pt>
                <c:pt idx="187">
                  <c:v>39940</c:v>
                </c:pt>
                <c:pt idx="188">
                  <c:v>39941</c:v>
                </c:pt>
                <c:pt idx="189">
                  <c:v>39942</c:v>
                </c:pt>
                <c:pt idx="190">
                  <c:v>39943</c:v>
                </c:pt>
                <c:pt idx="191">
                  <c:v>39944</c:v>
                </c:pt>
                <c:pt idx="192">
                  <c:v>39945</c:v>
                </c:pt>
                <c:pt idx="193">
                  <c:v>39946</c:v>
                </c:pt>
                <c:pt idx="194">
                  <c:v>39947</c:v>
                </c:pt>
                <c:pt idx="195">
                  <c:v>39948</c:v>
                </c:pt>
                <c:pt idx="196">
                  <c:v>39949</c:v>
                </c:pt>
                <c:pt idx="197">
                  <c:v>39950</c:v>
                </c:pt>
                <c:pt idx="198">
                  <c:v>39951</c:v>
                </c:pt>
                <c:pt idx="199">
                  <c:v>39952</c:v>
                </c:pt>
                <c:pt idx="200">
                  <c:v>39953</c:v>
                </c:pt>
                <c:pt idx="201">
                  <c:v>39954</c:v>
                </c:pt>
                <c:pt idx="202">
                  <c:v>39955</c:v>
                </c:pt>
                <c:pt idx="203">
                  <c:v>39956</c:v>
                </c:pt>
                <c:pt idx="204">
                  <c:v>39957</c:v>
                </c:pt>
                <c:pt idx="205">
                  <c:v>39958</c:v>
                </c:pt>
                <c:pt idx="206">
                  <c:v>39959</c:v>
                </c:pt>
                <c:pt idx="207">
                  <c:v>39960</c:v>
                </c:pt>
                <c:pt idx="208">
                  <c:v>39961</c:v>
                </c:pt>
                <c:pt idx="209">
                  <c:v>39962</c:v>
                </c:pt>
                <c:pt idx="210">
                  <c:v>39963</c:v>
                </c:pt>
                <c:pt idx="211">
                  <c:v>39964</c:v>
                </c:pt>
                <c:pt idx="212">
                  <c:v>39965</c:v>
                </c:pt>
                <c:pt idx="213">
                  <c:v>39966</c:v>
                </c:pt>
                <c:pt idx="214">
                  <c:v>39967</c:v>
                </c:pt>
                <c:pt idx="215">
                  <c:v>39968</c:v>
                </c:pt>
                <c:pt idx="216">
                  <c:v>39969</c:v>
                </c:pt>
                <c:pt idx="217">
                  <c:v>39970</c:v>
                </c:pt>
                <c:pt idx="218">
                  <c:v>39971</c:v>
                </c:pt>
                <c:pt idx="219">
                  <c:v>39972</c:v>
                </c:pt>
                <c:pt idx="220">
                  <c:v>39973</c:v>
                </c:pt>
                <c:pt idx="221">
                  <c:v>39974</c:v>
                </c:pt>
                <c:pt idx="222">
                  <c:v>39975</c:v>
                </c:pt>
                <c:pt idx="223">
                  <c:v>39976</c:v>
                </c:pt>
                <c:pt idx="224">
                  <c:v>39977</c:v>
                </c:pt>
                <c:pt idx="225">
                  <c:v>39978</c:v>
                </c:pt>
                <c:pt idx="226">
                  <c:v>39979</c:v>
                </c:pt>
                <c:pt idx="227">
                  <c:v>39980</c:v>
                </c:pt>
                <c:pt idx="228">
                  <c:v>39981</c:v>
                </c:pt>
                <c:pt idx="229">
                  <c:v>39982</c:v>
                </c:pt>
                <c:pt idx="230">
                  <c:v>39983</c:v>
                </c:pt>
                <c:pt idx="231">
                  <c:v>39984</c:v>
                </c:pt>
                <c:pt idx="232">
                  <c:v>39985</c:v>
                </c:pt>
                <c:pt idx="233">
                  <c:v>39986</c:v>
                </c:pt>
                <c:pt idx="234">
                  <c:v>39987</c:v>
                </c:pt>
                <c:pt idx="235">
                  <c:v>39988</c:v>
                </c:pt>
                <c:pt idx="236">
                  <c:v>39989</c:v>
                </c:pt>
                <c:pt idx="237">
                  <c:v>39990</c:v>
                </c:pt>
                <c:pt idx="238">
                  <c:v>39991</c:v>
                </c:pt>
                <c:pt idx="239">
                  <c:v>39992</c:v>
                </c:pt>
                <c:pt idx="240">
                  <c:v>39993</c:v>
                </c:pt>
                <c:pt idx="241">
                  <c:v>39994</c:v>
                </c:pt>
                <c:pt idx="242">
                  <c:v>39995</c:v>
                </c:pt>
                <c:pt idx="243">
                  <c:v>39996</c:v>
                </c:pt>
                <c:pt idx="244">
                  <c:v>39997</c:v>
                </c:pt>
                <c:pt idx="245">
                  <c:v>39998</c:v>
                </c:pt>
                <c:pt idx="246">
                  <c:v>39999</c:v>
                </c:pt>
                <c:pt idx="247">
                  <c:v>40000</c:v>
                </c:pt>
                <c:pt idx="248">
                  <c:v>40001</c:v>
                </c:pt>
                <c:pt idx="249">
                  <c:v>40002</c:v>
                </c:pt>
                <c:pt idx="250">
                  <c:v>40003</c:v>
                </c:pt>
                <c:pt idx="251">
                  <c:v>40004</c:v>
                </c:pt>
                <c:pt idx="252">
                  <c:v>40005</c:v>
                </c:pt>
                <c:pt idx="253">
                  <c:v>40006</c:v>
                </c:pt>
                <c:pt idx="254">
                  <c:v>40007</c:v>
                </c:pt>
                <c:pt idx="255">
                  <c:v>40008</c:v>
                </c:pt>
                <c:pt idx="256">
                  <c:v>40009</c:v>
                </c:pt>
                <c:pt idx="257">
                  <c:v>40010</c:v>
                </c:pt>
                <c:pt idx="258">
                  <c:v>40011</c:v>
                </c:pt>
                <c:pt idx="259">
                  <c:v>40012</c:v>
                </c:pt>
                <c:pt idx="260">
                  <c:v>40013</c:v>
                </c:pt>
                <c:pt idx="261">
                  <c:v>40014</c:v>
                </c:pt>
                <c:pt idx="262">
                  <c:v>40015</c:v>
                </c:pt>
                <c:pt idx="263">
                  <c:v>40016</c:v>
                </c:pt>
                <c:pt idx="264">
                  <c:v>40017</c:v>
                </c:pt>
                <c:pt idx="265">
                  <c:v>40018</c:v>
                </c:pt>
                <c:pt idx="266">
                  <c:v>40019</c:v>
                </c:pt>
                <c:pt idx="267">
                  <c:v>40020</c:v>
                </c:pt>
                <c:pt idx="268">
                  <c:v>40021</c:v>
                </c:pt>
                <c:pt idx="269">
                  <c:v>40022</c:v>
                </c:pt>
                <c:pt idx="270">
                  <c:v>40023</c:v>
                </c:pt>
                <c:pt idx="271">
                  <c:v>40024</c:v>
                </c:pt>
                <c:pt idx="272">
                  <c:v>40025</c:v>
                </c:pt>
                <c:pt idx="273">
                  <c:v>40026</c:v>
                </c:pt>
                <c:pt idx="274">
                  <c:v>40027</c:v>
                </c:pt>
                <c:pt idx="275">
                  <c:v>40028</c:v>
                </c:pt>
                <c:pt idx="276">
                  <c:v>40029</c:v>
                </c:pt>
                <c:pt idx="277">
                  <c:v>40030</c:v>
                </c:pt>
                <c:pt idx="278">
                  <c:v>40031</c:v>
                </c:pt>
                <c:pt idx="279">
                  <c:v>40032</c:v>
                </c:pt>
                <c:pt idx="280">
                  <c:v>40033</c:v>
                </c:pt>
                <c:pt idx="281">
                  <c:v>40034</c:v>
                </c:pt>
                <c:pt idx="282">
                  <c:v>40035</c:v>
                </c:pt>
                <c:pt idx="283">
                  <c:v>40036</c:v>
                </c:pt>
                <c:pt idx="284">
                  <c:v>40037</c:v>
                </c:pt>
                <c:pt idx="285">
                  <c:v>40038</c:v>
                </c:pt>
                <c:pt idx="286">
                  <c:v>40039</c:v>
                </c:pt>
                <c:pt idx="287">
                  <c:v>40040</c:v>
                </c:pt>
                <c:pt idx="288">
                  <c:v>40041</c:v>
                </c:pt>
                <c:pt idx="289">
                  <c:v>40042</c:v>
                </c:pt>
                <c:pt idx="290">
                  <c:v>40043</c:v>
                </c:pt>
                <c:pt idx="291">
                  <c:v>40044</c:v>
                </c:pt>
                <c:pt idx="292">
                  <c:v>40045</c:v>
                </c:pt>
                <c:pt idx="293">
                  <c:v>40046</c:v>
                </c:pt>
                <c:pt idx="294">
                  <c:v>40047</c:v>
                </c:pt>
                <c:pt idx="295">
                  <c:v>40048</c:v>
                </c:pt>
                <c:pt idx="296">
                  <c:v>40049</c:v>
                </c:pt>
                <c:pt idx="297">
                  <c:v>40050</c:v>
                </c:pt>
                <c:pt idx="298">
                  <c:v>40051</c:v>
                </c:pt>
                <c:pt idx="299">
                  <c:v>40052</c:v>
                </c:pt>
                <c:pt idx="300">
                  <c:v>40053</c:v>
                </c:pt>
                <c:pt idx="301">
                  <c:v>40054</c:v>
                </c:pt>
                <c:pt idx="302">
                  <c:v>40055</c:v>
                </c:pt>
                <c:pt idx="303">
                  <c:v>40056</c:v>
                </c:pt>
                <c:pt idx="304">
                  <c:v>40057</c:v>
                </c:pt>
                <c:pt idx="305">
                  <c:v>40058</c:v>
                </c:pt>
                <c:pt idx="306">
                  <c:v>40059</c:v>
                </c:pt>
                <c:pt idx="307">
                  <c:v>40060</c:v>
                </c:pt>
                <c:pt idx="308">
                  <c:v>40061</c:v>
                </c:pt>
                <c:pt idx="309">
                  <c:v>40062</c:v>
                </c:pt>
                <c:pt idx="310">
                  <c:v>40063</c:v>
                </c:pt>
                <c:pt idx="311">
                  <c:v>40064</c:v>
                </c:pt>
                <c:pt idx="312">
                  <c:v>40065</c:v>
                </c:pt>
                <c:pt idx="313">
                  <c:v>40066</c:v>
                </c:pt>
                <c:pt idx="314">
                  <c:v>40067</c:v>
                </c:pt>
                <c:pt idx="315">
                  <c:v>40068</c:v>
                </c:pt>
                <c:pt idx="316">
                  <c:v>40069</c:v>
                </c:pt>
                <c:pt idx="317">
                  <c:v>40070</c:v>
                </c:pt>
                <c:pt idx="318">
                  <c:v>40071</c:v>
                </c:pt>
                <c:pt idx="319">
                  <c:v>40072</c:v>
                </c:pt>
                <c:pt idx="320">
                  <c:v>40073</c:v>
                </c:pt>
                <c:pt idx="321">
                  <c:v>40074</c:v>
                </c:pt>
                <c:pt idx="322">
                  <c:v>40075</c:v>
                </c:pt>
                <c:pt idx="323">
                  <c:v>40076</c:v>
                </c:pt>
                <c:pt idx="324">
                  <c:v>40077</c:v>
                </c:pt>
                <c:pt idx="325">
                  <c:v>40078</c:v>
                </c:pt>
                <c:pt idx="326">
                  <c:v>40079</c:v>
                </c:pt>
                <c:pt idx="327">
                  <c:v>40080</c:v>
                </c:pt>
                <c:pt idx="328">
                  <c:v>40081</c:v>
                </c:pt>
                <c:pt idx="329">
                  <c:v>40082</c:v>
                </c:pt>
                <c:pt idx="330">
                  <c:v>40083</c:v>
                </c:pt>
                <c:pt idx="331">
                  <c:v>40084</c:v>
                </c:pt>
                <c:pt idx="332">
                  <c:v>40085</c:v>
                </c:pt>
                <c:pt idx="333">
                  <c:v>40086</c:v>
                </c:pt>
                <c:pt idx="334">
                  <c:v>40087</c:v>
                </c:pt>
                <c:pt idx="335">
                  <c:v>40088</c:v>
                </c:pt>
                <c:pt idx="336">
                  <c:v>40089</c:v>
                </c:pt>
                <c:pt idx="337">
                  <c:v>40090</c:v>
                </c:pt>
                <c:pt idx="338">
                  <c:v>40091</c:v>
                </c:pt>
                <c:pt idx="339">
                  <c:v>40092</c:v>
                </c:pt>
                <c:pt idx="340">
                  <c:v>40093</c:v>
                </c:pt>
                <c:pt idx="341">
                  <c:v>40094</c:v>
                </c:pt>
                <c:pt idx="342">
                  <c:v>40095</c:v>
                </c:pt>
                <c:pt idx="343">
                  <c:v>40096</c:v>
                </c:pt>
                <c:pt idx="344">
                  <c:v>40097</c:v>
                </c:pt>
                <c:pt idx="345">
                  <c:v>40098</c:v>
                </c:pt>
                <c:pt idx="346">
                  <c:v>40099</c:v>
                </c:pt>
                <c:pt idx="347">
                  <c:v>40100</c:v>
                </c:pt>
                <c:pt idx="348">
                  <c:v>40101</c:v>
                </c:pt>
                <c:pt idx="349">
                  <c:v>40102</c:v>
                </c:pt>
                <c:pt idx="350">
                  <c:v>40103</c:v>
                </c:pt>
                <c:pt idx="351">
                  <c:v>40104</c:v>
                </c:pt>
                <c:pt idx="352">
                  <c:v>40105</c:v>
                </c:pt>
                <c:pt idx="353">
                  <c:v>40106</c:v>
                </c:pt>
                <c:pt idx="354">
                  <c:v>40107</c:v>
                </c:pt>
                <c:pt idx="355">
                  <c:v>40108</c:v>
                </c:pt>
                <c:pt idx="356">
                  <c:v>40109</c:v>
                </c:pt>
                <c:pt idx="357">
                  <c:v>40110</c:v>
                </c:pt>
                <c:pt idx="358">
                  <c:v>40111</c:v>
                </c:pt>
                <c:pt idx="359">
                  <c:v>40112</c:v>
                </c:pt>
                <c:pt idx="360">
                  <c:v>40113</c:v>
                </c:pt>
                <c:pt idx="361">
                  <c:v>40114</c:v>
                </c:pt>
                <c:pt idx="362">
                  <c:v>40115</c:v>
                </c:pt>
                <c:pt idx="363">
                  <c:v>40116</c:v>
                </c:pt>
                <c:pt idx="364">
                  <c:v>40117</c:v>
                </c:pt>
              </c:numCache>
            </c:numRef>
          </c:cat>
          <c:val>
            <c:numRef>
              <c:f>ROS!$D$15:$D$379</c:f>
              <c:numCache>
                <c:formatCode>#,##0.00</c:formatCode>
                <c:ptCount val="365"/>
                <c:pt idx="0">
                  <c:v>86.084000000000003</c:v>
                </c:pt>
                <c:pt idx="1">
                  <c:v>86.231760238587128</c:v>
                </c:pt>
                <c:pt idx="2">
                  <c:v>86.379485249761274</c:v>
                </c:pt>
                <c:pt idx="3">
                  <c:v>86.52717504192097</c:v>
                </c:pt>
                <c:pt idx="4">
                  <c:v>86.674829623462756</c:v>
                </c:pt>
                <c:pt idx="5">
                  <c:v>86.822449002781184</c:v>
                </c:pt>
                <c:pt idx="6">
                  <c:v>86.970033188268772</c:v>
                </c:pt>
                <c:pt idx="7">
                  <c:v>87.117582188316078</c:v>
                </c:pt>
                <c:pt idx="8">
                  <c:v>87.265085477347256</c:v>
                </c:pt>
                <c:pt idx="9">
                  <c:v>87.412553600224598</c:v>
                </c:pt>
                <c:pt idx="10">
                  <c:v>87.559986565332053</c:v>
                </c:pt>
                <c:pt idx="11">
                  <c:v>87.707384381051568</c:v>
                </c:pt>
                <c:pt idx="12">
                  <c:v>87.85474705576307</c:v>
                </c:pt>
                <c:pt idx="13">
                  <c:v>88.002074597844498</c:v>
                </c:pt>
                <c:pt idx="14">
                  <c:v>88.149367015671814</c:v>
                </c:pt>
                <c:pt idx="15">
                  <c:v>88.296493696460686</c:v>
                </c:pt>
                <c:pt idx="16">
                  <c:v>88.443585300882631</c:v>
                </c:pt>
                <c:pt idx="17">
                  <c:v>88.590641837300183</c:v>
                </c:pt>
                <c:pt idx="18">
                  <c:v>88.737663314073885</c:v>
                </c:pt>
                <c:pt idx="19">
                  <c:v>88.884649739562278</c:v>
                </c:pt>
                <c:pt idx="20">
                  <c:v>89.031601122121913</c:v>
                </c:pt>
                <c:pt idx="21">
                  <c:v>89.178517470107352</c:v>
                </c:pt>
                <c:pt idx="22">
                  <c:v>89.325398791871152</c:v>
                </c:pt>
                <c:pt idx="23">
                  <c:v>89.472245095763896</c:v>
                </c:pt>
                <c:pt idx="24">
                  <c:v>89.619056390134176</c:v>
                </c:pt>
                <c:pt idx="25">
                  <c:v>89.765832683328583</c:v>
                </c:pt>
                <c:pt idx="26">
                  <c:v>89.912573983691715</c:v>
                </c:pt>
                <c:pt idx="27">
                  <c:v>90.059280665095571</c:v>
                </c:pt>
                <c:pt idx="28">
                  <c:v>90.205953663757072</c:v>
                </c:pt>
                <c:pt idx="29">
                  <c:v>90.352533294960054</c:v>
                </c:pt>
                <c:pt idx="30">
                  <c:v>90.49907927259045</c:v>
                </c:pt>
                <c:pt idx="31">
                  <c:v>90.458033992351986</c:v>
                </c:pt>
                <c:pt idx="32">
                  <c:v>90.416998579212603</c:v>
                </c:pt>
                <c:pt idx="33">
                  <c:v>90.375973030800296</c:v>
                </c:pt>
                <c:pt idx="34">
                  <c:v>90.334957344743628</c:v>
                </c:pt>
                <c:pt idx="35">
                  <c:v>90.293951518671733</c:v>
                </c:pt>
                <c:pt idx="36">
                  <c:v>90.252968486037943</c:v>
                </c:pt>
                <c:pt idx="37">
                  <c:v>90.21199530553919</c:v>
                </c:pt>
                <c:pt idx="38">
                  <c:v>90.171031974807065</c:v>
                </c:pt>
                <c:pt idx="39">
                  <c:v>90.130078491473725</c:v>
                </c:pt>
                <c:pt idx="40">
                  <c:v>90.089134853171913</c:v>
                </c:pt>
                <c:pt idx="41">
                  <c:v>90.048201057534925</c:v>
                </c:pt>
                <c:pt idx="42">
                  <c:v>90.00727710219661</c:v>
                </c:pt>
                <c:pt idx="43">
                  <c:v>89.966523389004635</c:v>
                </c:pt>
                <c:pt idx="44">
                  <c:v>89.925779472820338</c:v>
                </c:pt>
                <c:pt idx="45">
                  <c:v>89.885045351288568</c:v>
                </c:pt>
                <c:pt idx="46">
                  <c:v>89.844321022054743</c:v>
                </c:pt>
                <c:pt idx="47">
                  <c:v>89.803606730128706</c:v>
                </c:pt>
                <c:pt idx="48">
                  <c:v>89.762902601596792</c:v>
                </c:pt>
                <c:pt idx="49">
                  <c:v>89.722208633921937</c:v>
                </c:pt>
                <c:pt idx="50">
                  <c:v>89.681524824567731</c:v>
                </c:pt>
                <c:pt idx="51">
                  <c:v>89.64085117099836</c:v>
                </c:pt>
                <c:pt idx="52">
                  <c:v>89.600187670678679</c:v>
                </c:pt>
                <c:pt idx="53">
                  <c:v>89.559534321074153</c:v>
                </c:pt>
                <c:pt idx="54">
                  <c:v>89.518891119650888</c:v>
                </c:pt>
                <c:pt idx="55">
                  <c:v>89.478258063875629</c:v>
                </c:pt>
                <c:pt idx="56">
                  <c:v>89.437635151215744</c:v>
                </c:pt>
                <c:pt idx="57">
                  <c:v>89.396992778982863</c:v>
                </c:pt>
                <c:pt idx="58">
                  <c:v>89.356360552190992</c:v>
                </c:pt>
                <c:pt idx="59">
                  <c:v>89.315738468307558</c:v>
                </c:pt>
                <c:pt idx="60">
                  <c:v>89.275126524800612</c:v>
                </c:pt>
                <c:pt idx="61">
                  <c:v>89.234524719138832</c:v>
                </c:pt>
                <c:pt idx="62">
                  <c:v>89.119831578074539</c:v>
                </c:pt>
                <c:pt idx="63">
                  <c:v>89.005166172210608</c:v>
                </c:pt>
                <c:pt idx="64">
                  <c:v>88.89053299090277</c:v>
                </c:pt>
                <c:pt idx="65">
                  <c:v>88.775927530295775</c:v>
                </c:pt>
                <c:pt idx="66">
                  <c:v>88.661349783686177</c:v>
                </c:pt>
                <c:pt idx="67">
                  <c:v>88.546799744372152</c:v>
                </c:pt>
                <c:pt idx="68">
                  <c:v>88.432277405653494</c:v>
                </c:pt>
                <c:pt idx="69">
                  <c:v>88.317782760831619</c:v>
                </c:pt>
                <c:pt idx="70">
                  <c:v>88.203315803209563</c:v>
                </c:pt>
                <c:pt idx="71">
                  <c:v>88.088932277269294</c:v>
                </c:pt>
                <c:pt idx="72">
                  <c:v>87.974576411657978</c:v>
                </c:pt>
                <c:pt idx="73">
                  <c:v>87.860248199686765</c:v>
                </c:pt>
                <c:pt idx="74">
                  <c:v>87.745947634668426</c:v>
                </c:pt>
                <c:pt idx="75">
                  <c:v>87.631674709917348</c:v>
                </c:pt>
                <c:pt idx="76">
                  <c:v>87.517429418749543</c:v>
                </c:pt>
                <c:pt idx="77">
                  <c:v>87.403211754482626</c:v>
                </c:pt>
                <c:pt idx="78">
                  <c:v>87.289021710435833</c:v>
                </c:pt>
                <c:pt idx="79">
                  <c:v>87.174859279930033</c:v>
                </c:pt>
                <c:pt idx="80">
                  <c:v>87.060724456287673</c:v>
                </c:pt>
                <c:pt idx="81">
                  <c:v>86.94661723283285</c:v>
                </c:pt>
                <c:pt idx="82">
                  <c:v>86.832537602891264</c:v>
                </c:pt>
                <c:pt idx="83">
                  <c:v>86.71848555979021</c:v>
                </c:pt>
                <c:pt idx="84">
                  <c:v>86.604461096858628</c:v>
                </c:pt>
                <c:pt idx="85">
                  <c:v>86.490464207427053</c:v>
                </c:pt>
                <c:pt idx="86">
                  <c:v>86.376494884827636</c:v>
                </c:pt>
                <c:pt idx="87">
                  <c:v>86.262553122394138</c:v>
                </c:pt>
                <c:pt idx="88">
                  <c:v>86.148638913461923</c:v>
                </c:pt>
                <c:pt idx="89">
                  <c:v>86.034752251367991</c:v>
                </c:pt>
                <c:pt idx="90">
                  <c:v>85.920893129450945</c:v>
                </c:pt>
                <c:pt idx="91">
                  <c:v>85.807061541050984</c:v>
                </c:pt>
                <c:pt idx="92">
                  <c:v>85.693263620139518</c:v>
                </c:pt>
                <c:pt idx="93">
                  <c:v>85.561188007728674</c:v>
                </c:pt>
                <c:pt idx="94">
                  <c:v>85.429149912097841</c:v>
                </c:pt>
                <c:pt idx="95">
                  <c:v>85.297149322590172</c:v>
                </c:pt>
                <c:pt idx="96">
                  <c:v>85.16518622855186</c:v>
                </c:pt>
                <c:pt idx="97">
                  <c:v>85.033260619332125</c:v>
                </c:pt>
                <c:pt idx="98">
                  <c:v>84.901372484283186</c:v>
                </c:pt>
                <c:pt idx="99">
                  <c:v>84.769536520536647</c:v>
                </c:pt>
                <c:pt idx="100">
                  <c:v>84.637738005496644</c:v>
                </c:pt>
                <c:pt idx="101">
                  <c:v>84.505976928525669</c:v>
                </c:pt>
                <c:pt idx="102">
                  <c:v>84.374253278989244</c:v>
                </c:pt>
                <c:pt idx="103">
                  <c:v>84.2425670462559</c:v>
                </c:pt>
                <c:pt idx="104">
                  <c:v>84.110918219697197</c:v>
                </c:pt>
                <c:pt idx="105">
                  <c:v>83.979306788687708</c:v>
                </c:pt>
                <c:pt idx="106">
                  <c:v>83.847915119031455</c:v>
                </c:pt>
                <c:pt idx="107">
                  <c:v>83.716560771877639</c:v>
                </c:pt>
                <c:pt idx="108">
                  <c:v>83.585243736624605</c:v>
                </c:pt>
                <c:pt idx="109">
                  <c:v>83.4539640026737</c:v>
                </c:pt>
                <c:pt idx="110">
                  <c:v>83.322721887447443</c:v>
                </c:pt>
                <c:pt idx="111">
                  <c:v>83.19151854004096</c:v>
                </c:pt>
                <c:pt idx="112">
                  <c:v>83.060353949002561</c:v>
                </c:pt>
                <c:pt idx="113">
                  <c:v>82.92929757252621</c:v>
                </c:pt>
                <c:pt idx="114">
                  <c:v>82.798279909003966</c:v>
                </c:pt>
                <c:pt idx="115">
                  <c:v>82.667300947000342</c:v>
                </c:pt>
                <c:pt idx="116">
                  <c:v>82.536360675083245</c:v>
                </c:pt>
                <c:pt idx="117">
                  <c:v>82.405459081823949</c:v>
                </c:pt>
                <c:pt idx="118">
                  <c:v>82.274596155797084</c:v>
                </c:pt>
                <c:pt idx="119">
                  <c:v>82.143771885580691</c:v>
                </c:pt>
                <c:pt idx="120">
                  <c:v>82.013847683320193</c:v>
                </c:pt>
                <c:pt idx="121">
                  <c:v>81.889107496602776</c:v>
                </c:pt>
                <c:pt idx="122">
                  <c:v>81.764405811834806</c:v>
                </c:pt>
                <c:pt idx="123">
                  <c:v>81.63974261713237</c:v>
                </c:pt>
                <c:pt idx="124">
                  <c:v>81.515117900615238</c:v>
                </c:pt>
                <c:pt idx="125">
                  <c:v>81.390531650406857</c:v>
                </c:pt>
                <c:pt idx="126">
                  <c:v>81.265983854634314</c:v>
                </c:pt>
                <c:pt idx="127">
                  <c:v>81.141474501428377</c:v>
                </c:pt>
                <c:pt idx="128">
                  <c:v>81.017003578923479</c:v>
                </c:pt>
                <c:pt idx="129">
                  <c:v>80.892571075257692</c:v>
                </c:pt>
                <c:pt idx="130">
                  <c:v>80.768176978572782</c:v>
                </c:pt>
                <c:pt idx="131">
                  <c:v>80.643821277014155</c:v>
                </c:pt>
                <c:pt idx="132">
                  <c:v>80.51950395873088</c:v>
                </c:pt>
                <c:pt idx="133">
                  <c:v>80.395225011875695</c:v>
                </c:pt>
                <c:pt idx="134">
                  <c:v>80.270984424604976</c:v>
                </c:pt>
                <c:pt idx="135">
                  <c:v>80.146782185078763</c:v>
                </c:pt>
                <c:pt idx="136">
                  <c:v>80.022618281460751</c:v>
                </c:pt>
                <c:pt idx="137">
                  <c:v>79.898492701918286</c:v>
                </c:pt>
                <c:pt idx="138">
                  <c:v>79.774405434622366</c:v>
                </c:pt>
                <c:pt idx="139">
                  <c:v>79.650356467747656</c:v>
                </c:pt>
                <c:pt idx="140">
                  <c:v>79.526345789472444</c:v>
                </c:pt>
                <c:pt idx="141">
                  <c:v>79.402373387978685</c:v>
                </c:pt>
                <c:pt idx="142">
                  <c:v>79.278439251451985</c:v>
                </c:pt>
                <c:pt idx="143">
                  <c:v>79.154543368081576</c:v>
                </c:pt>
                <c:pt idx="144">
                  <c:v>79.030685726060355</c:v>
                </c:pt>
                <c:pt idx="145">
                  <c:v>78.906866313584857</c:v>
                </c:pt>
                <c:pt idx="146">
                  <c:v>78.783085118855254</c:v>
                </c:pt>
                <c:pt idx="147">
                  <c:v>78.659342130075373</c:v>
                </c:pt>
                <c:pt idx="148">
                  <c:v>78.535637335452677</c:v>
                </c:pt>
                <c:pt idx="149">
                  <c:v>78.411970723198252</c:v>
                </c:pt>
                <c:pt idx="150">
                  <c:v>78.288342281526852</c:v>
                </c:pt>
                <c:pt idx="151">
                  <c:v>78.16475199865684</c:v>
                </c:pt>
                <c:pt idx="152">
                  <c:v>78.052177368770003</c:v>
                </c:pt>
                <c:pt idx="153">
                  <c:v>77.939640029083364</c:v>
                </c:pt>
                <c:pt idx="154">
                  <c:v>77.827139967244577</c:v>
                </c:pt>
                <c:pt idx="155">
                  <c:v>77.714677170905404</c:v>
                </c:pt>
                <c:pt idx="156">
                  <c:v>77.602251627721699</c:v>
                </c:pt>
                <c:pt idx="157">
                  <c:v>77.489863325353411</c:v>
                </c:pt>
                <c:pt idx="158">
                  <c:v>77.377512251464552</c:v>
                </c:pt>
                <c:pt idx="159">
                  <c:v>77.265198393723253</c:v>
                </c:pt>
                <c:pt idx="160">
                  <c:v>77.152922559893398</c:v>
                </c:pt>
                <c:pt idx="161">
                  <c:v>77.040685462147721</c:v>
                </c:pt>
                <c:pt idx="162">
                  <c:v>76.928487087121951</c:v>
                </c:pt>
                <c:pt idx="163">
                  <c:v>76.816327421456421</c:v>
                </c:pt>
                <c:pt idx="164">
                  <c:v>76.704206451796097</c:v>
                </c:pt>
                <c:pt idx="165">
                  <c:v>76.592124164790548</c:v>
                </c:pt>
                <c:pt idx="166">
                  <c:v>76.48008054709392</c:v>
                </c:pt>
                <c:pt idx="167">
                  <c:v>76.368075585365006</c:v>
                </c:pt>
                <c:pt idx="168">
                  <c:v>76.25610926626716</c:v>
                </c:pt>
                <c:pt idx="169">
                  <c:v>76.14418157646837</c:v>
                </c:pt>
                <c:pt idx="170">
                  <c:v>76.032292502641198</c:v>
                </c:pt>
                <c:pt idx="171">
                  <c:v>75.920442031462827</c:v>
                </c:pt>
                <c:pt idx="172">
                  <c:v>75.808630149615027</c:v>
                </c:pt>
                <c:pt idx="173">
                  <c:v>75.696856843784161</c:v>
                </c:pt>
                <c:pt idx="174">
                  <c:v>75.585122100661181</c:v>
                </c:pt>
                <c:pt idx="175">
                  <c:v>75.473425906941642</c:v>
                </c:pt>
                <c:pt idx="176">
                  <c:v>75.361768249325678</c:v>
                </c:pt>
                <c:pt idx="177">
                  <c:v>75.250149114518024</c:v>
                </c:pt>
                <c:pt idx="178">
                  <c:v>75.138568489227993</c:v>
                </c:pt>
                <c:pt idx="179">
                  <c:v>75.027026360169486</c:v>
                </c:pt>
                <c:pt idx="180">
                  <c:v>74.915522714060984</c:v>
                </c:pt>
                <c:pt idx="181">
                  <c:v>74.804057537625553</c:v>
                </c:pt>
                <c:pt idx="182">
                  <c:v>74.747239524688354</c:v>
                </c:pt>
                <c:pt idx="183">
                  <c:v>74.690438687538432</c:v>
                </c:pt>
                <c:pt idx="184">
                  <c:v>74.633655020983639</c:v>
                </c:pt>
                <c:pt idx="185">
                  <c:v>74.576888519833403</c:v>
                </c:pt>
                <c:pt idx="186">
                  <c:v>74.520139178898702</c:v>
                </c:pt>
                <c:pt idx="187">
                  <c:v>74.463406992992105</c:v>
                </c:pt>
                <c:pt idx="188">
                  <c:v>74.406691956927716</c:v>
                </c:pt>
                <c:pt idx="189">
                  <c:v>74.349994065521244</c:v>
                </c:pt>
                <c:pt idx="190">
                  <c:v>74.293313313589948</c:v>
                </c:pt>
                <c:pt idx="191">
                  <c:v>74.23664969595265</c:v>
                </c:pt>
                <c:pt idx="192">
                  <c:v>74.180003207429749</c:v>
                </c:pt>
                <c:pt idx="193">
                  <c:v>74.123373842843193</c:v>
                </c:pt>
                <c:pt idx="194">
                  <c:v>74.066761597016523</c:v>
                </c:pt>
                <c:pt idx="195">
                  <c:v>74.010166464774812</c:v>
                </c:pt>
                <c:pt idx="196">
                  <c:v>73.953588440944714</c:v>
                </c:pt>
                <c:pt idx="197">
                  <c:v>73.897027520354456</c:v>
                </c:pt>
                <c:pt idx="198">
                  <c:v>73.840483697833804</c:v>
                </c:pt>
                <c:pt idx="199">
                  <c:v>73.783956968214113</c:v>
                </c:pt>
                <c:pt idx="200">
                  <c:v>73.727447326328289</c:v>
                </c:pt>
                <c:pt idx="201">
                  <c:v>73.670954767010798</c:v>
                </c:pt>
                <c:pt idx="202">
                  <c:v>73.614479285097659</c:v>
                </c:pt>
                <c:pt idx="203">
                  <c:v>73.558020875426479</c:v>
                </c:pt>
                <c:pt idx="204">
                  <c:v>73.501579532836388</c:v>
                </c:pt>
                <c:pt idx="205">
                  <c:v>73.445155252168121</c:v>
                </c:pt>
                <c:pt idx="206">
                  <c:v>73.388748028263933</c:v>
                </c:pt>
                <c:pt idx="207">
                  <c:v>73.332357855967658</c:v>
                </c:pt>
                <c:pt idx="208">
                  <c:v>73.275984730124677</c:v>
                </c:pt>
                <c:pt idx="209">
                  <c:v>73.219628645581949</c:v>
                </c:pt>
                <c:pt idx="210">
                  <c:v>73.163289597187969</c:v>
                </c:pt>
                <c:pt idx="211">
                  <c:v>73.106967579792808</c:v>
                </c:pt>
                <c:pt idx="212">
                  <c:v>73.050662588248073</c:v>
                </c:pt>
                <c:pt idx="213">
                  <c:v>72.999508397224986</c:v>
                </c:pt>
                <c:pt idx="214">
                  <c:v>72.948369540733538</c:v>
                </c:pt>
                <c:pt idx="215">
                  <c:v>72.897246014176886</c:v>
                </c:pt>
                <c:pt idx="216">
                  <c:v>72.846137812959554</c:v>
                </c:pt>
                <c:pt idx="217">
                  <c:v>72.795044932487471</c:v>
                </c:pt>
                <c:pt idx="218">
                  <c:v>72.743967368167901</c:v>
                </c:pt>
                <c:pt idx="219">
                  <c:v>72.69290511540953</c:v>
                </c:pt>
                <c:pt idx="220">
                  <c:v>72.641858169622395</c:v>
                </c:pt>
                <c:pt idx="221">
                  <c:v>72.59082652621791</c:v>
                </c:pt>
                <c:pt idx="222">
                  <c:v>72.539810180608853</c:v>
                </c:pt>
                <c:pt idx="223">
                  <c:v>72.488809128209411</c:v>
                </c:pt>
                <c:pt idx="224">
                  <c:v>72.437823364435118</c:v>
                </c:pt>
                <c:pt idx="225">
                  <c:v>72.386852884702904</c:v>
                </c:pt>
                <c:pt idx="226">
                  <c:v>72.335897684431046</c:v>
                </c:pt>
                <c:pt idx="227">
                  <c:v>72.284957759039216</c:v>
                </c:pt>
                <c:pt idx="228">
                  <c:v>72.234033103948448</c:v>
                </c:pt>
                <c:pt idx="229">
                  <c:v>72.183123714581143</c:v>
                </c:pt>
                <c:pt idx="230">
                  <c:v>72.132229586361092</c:v>
                </c:pt>
                <c:pt idx="231">
                  <c:v>72.081350714713452</c:v>
                </c:pt>
                <c:pt idx="232">
                  <c:v>72.030487095064743</c:v>
                </c:pt>
                <c:pt idx="233">
                  <c:v>71.979638722842864</c:v>
                </c:pt>
                <c:pt idx="234">
                  <c:v>71.928805593477094</c:v>
                </c:pt>
                <c:pt idx="235">
                  <c:v>71.877987702398045</c:v>
                </c:pt>
                <c:pt idx="236">
                  <c:v>71.827185045037737</c:v>
                </c:pt>
                <c:pt idx="237">
                  <c:v>71.776397616829556</c:v>
                </c:pt>
                <c:pt idx="238">
                  <c:v>71.725625413208235</c:v>
                </c:pt>
                <c:pt idx="239">
                  <c:v>71.674868429609887</c:v>
                </c:pt>
                <c:pt idx="240">
                  <c:v>71.624126661472005</c:v>
                </c:pt>
                <c:pt idx="241">
                  <c:v>71.573400104233428</c:v>
                </c:pt>
                <c:pt idx="242">
                  <c:v>71.522688753334378</c:v>
                </c:pt>
                <c:pt idx="243">
                  <c:v>71.655194957049162</c:v>
                </c:pt>
                <c:pt idx="244">
                  <c:v>71.787663118958008</c:v>
                </c:pt>
                <c:pt idx="245">
                  <c:v>71.920093249982514</c:v>
                </c:pt>
                <c:pt idx="246">
                  <c:v>71.601798515977023</c:v>
                </c:pt>
                <c:pt idx="247">
                  <c:v>71.283595162647771</c:v>
                </c:pt>
                <c:pt idx="248">
                  <c:v>70.965484578088862</c:v>
                </c:pt>
                <c:pt idx="249">
                  <c:v>70.647469280380918</c:v>
                </c:pt>
                <c:pt idx="250">
                  <c:v>70.32954924098172</c:v>
                </c:pt>
                <c:pt idx="251">
                  <c:v>70.011724431357578</c:v>
                </c:pt>
                <c:pt idx="252">
                  <c:v>69.69399482298337</c:v>
                </c:pt>
                <c:pt idx="253">
                  <c:v>69.26631929540082</c:v>
                </c:pt>
                <c:pt idx="254">
                  <c:v>68.838771873754496</c:v>
                </c:pt>
                <c:pt idx="255">
                  <c:v>68.411352519671553</c:v>
                </c:pt>
                <c:pt idx="256">
                  <c:v>67.984061194790613</c:v>
                </c:pt>
                <c:pt idx="257">
                  <c:v>67.556897860761822</c:v>
                </c:pt>
                <c:pt idx="258">
                  <c:v>67.129862479246782</c:v>
                </c:pt>
                <c:pt idx="259">
                  <c:v>66.702955011918604</c:v>
                </c:pt>
                <c:pt idx="260">
                  <c:v>66.088481505745193</c:v>
                </c:pt>
                <c:pt idx="261">
                  <c:v>65.474192058978304</c:v>
                </c:pt>
                <c:pt idx="262">
                  <c:v>64.860068302267706</c:v>
                </c:pt>
                <c:pt idx="263">
                  <c:v>64.246078833496597</c:v>
                </c:pt>
                <c:pt idx="264">
                  <c:v>63.632223623300767</c:v>
                </c:pt>
                <c:pt idx="265">
                  <c:v>63.018502642322453</c:v>
                </c:pt>
                <c:pt idx="266">
                  <c:v>62.404915861210284</c:v>
                </c:pt>
                <c:pt idx="267">
                  <c:v>61.638067684926888</c:v>
                </c:pt>
                <c:pt idx="268">
                  <c:v>60.871387192209482</c:v>
                </c:pt>
                <c:pt idx="269">
                  <c:v>60.104874346391391</c:v>
                </c:pt>
                <c:pt idx="270">
                  <c:v>59.338530854965974</c:v>
                </c:pt>
                <c:pt idx="271">
                  <c:v>58.572365170682076</c:v>
                </c:pt>
                <c:pt idx="272">
                  <c:v>57.806377252284861</c:v>
                </c:pt>
                <c:pt idx="273">
                  <c:v>57.040567058529049</c:v>
                </c:pt>
                <c:pt idx="274">
                  <c:v>56.840716142354374</c:v>
                </c:pt>
                <c:pt idx="275">
                  <c:v>56.640907104340734</c:v>
                </c:pt>
                <c:pt idx="276">
                  <c:v>56.441139935712684</c:v>
                </c:pt>
                <c:pt idx="277">
                  <c:v>56.241414627696628</c:v>
                </c:pt>
                <c:pt idx="278">
                  <c:v>56.041731171520794</c:v>
                </c:pt>
                <c:pt idx="279">
                  <c:v>55.842089558415253</c:v>
                </c:pt>
                <c:pt idx="280">
                  <c:v>55.642489779611914</c:v>
                </c:pt>
                <c:pt idx="281">
                  <c:v>55.390886571490917</c:v>
                </c:pt>
                <c:pt idx="282">
                  <c:v>55.139336086068766</c:v>
                </c:pt>
                <c:pt idx="283">
                  <c:v>54.887838312297575</c:v>
                </c:pt>
                <c:pt idx="284">
                  <c:v>54.636394807589426</c:v>
                </c:pt>
                <c:pt idx="285">
                  <c:v>54.385007440030435</c:v>
                </c:pt>
                <c:pt idx="286">
                  <c:v>54.133676197087453</c:v>
                </c:pt>
                <c:pt idx="287">
                  <c:v>53.882401066230123</c:v>
                </c:pt>
                <c:pt idx="288">
                  <c:v>53.577192627387504</c:v>
                </c:pt>
                <c:pt idx="289">
                  <c:v>53.272052329225929</c:v>
                </c:pt>
                <c:pt idx="290">
                  <c:v>52.966980156532344</c:v>
                </c:pt>
                <c:pt idx="291">
                  <c:v>52.661976094097099</c:v>
                </c:pt>
                <c:pt idx="292">
                  <c:v>52.357040126713926</c:v>
                </c:pt>
                <c:pt idx="293">
                  <c:v>52.05217223917996</c:v>
                </c:pt>
                <c:pt idx="294">
                  <c:v>51.747372416295725</c:v>
                </c:pt>
                <c:pt idx="295">
                  <c:v>51.414635313160524</c:v>
                </c:pt>
                <c:pt idx="296">
                  <c:v>51.081972496741976</c:v>
                </c:pt>
                <c:pt idx="297">
                  <c:v>50.74938395045487</c:v>
                </c:pt>
                <c:pt idx="298">
                  <c:v>50.41686965771769</c:v>
                </c:pt>
                <c:pt idx="299">
                  <c:v>50.084429601952628</c:v>
                </c:pt>
                <c:pt idx="300">
                  <c:v>49.752063766585579</c:v>
                </c:pt>
                <c:pt idx="301">
                  <c:v>49.41977071587079</c:v>
                </c:pt>
                <c:pt idx="302">
                  <c:v>49.588369838018629</c:v>
                </c:pt>
                <c:pt idx="303">
                  <c:v>49.756932254521082</c:v>
                </c:pt>
                <c:pt idx="304">
                  <c:v>49.925457973369312</c:v>
                </c:pt>
                <c:pt idx="305">
                  <c:v>50.520389995248209</c:v>
                </c:pt>
                <c:pt idx="306">
                  <c:v>51.115205258878149</c:v>
                </c:pt>
                <c:pt idx="307">
                  <c:v>51.709903384271968</c:v>
                </c:pt>
                <c:pt idx="308">
                  <c:v>52.304484394497948</c:v>
                </c:pt>
                <c:pt idx="309">
                  <c:v>52.909928692726453</c:v>
                </c:pt>
                <c:pt idx="310">
                  <c:v>53.515253759520427</c:v>
                </c:pt>
                <c:pt idx="311">
                  <c:v>54.120459618360371</c:v>
                </c:pt>
                <c:pt idx="312">
                  <c:v>54.725546292722157</c:v>
                </c:pt>
                <c:pt idx="313">
                  <c:v>55.330513806077043</c:v>
                </c:pt>
                <c:pt idx="314">
                  <c:v>55.935366152760288</c:v>
                </c:pt>
                <c:pt idx="315">
                  <c:v>56.540106700558553</c:v>
                </c:pt>
                <c:pt idx="316">
                  <c:v>57.156850356816896</c:v>
                </c:pt>
                <c:pt idx="317">
                  <c:v>57.773480016240363</c:v>
                </c:pt>
                <c:pt idx="318">
                  <c:v>58.38999569989975</c:v>
                </c:pt>
                <c:pt idx="319">
                  <c:v>59.006397428861952</c:v>
                </c:pt>
                <c:pt idx="320">
                  <c:v>59.622685224189979</c:v>
                </c:pt>
                <c:pt idx="321">
                  <c:v>60.23885910694294</c:v>
                </c:pt>
                <c:pt idx="322">
                  <c:v>60.854919134114319</c:v>
                </c:pt>
                <c:pt idx="323">
                  <c:v>61.470871844781279</c:v>
                </c:pt>
                <c:pt idx="324">
                  <c:v>62.086717257638149</c:v>
                </c:pt>
                <c:pt idx="325">
                  <c:v>62.702455391376013</c:v>
                </c:pt>
                <c:pt idx="326">
                  <c:v>63.318086264682691</c:v>
                </c:pt>
                <c:pt idx="327">
                  <c:v>63.93360989624275</c:v>
                </c:pt>
                <c:pt idx="328">
                  <c:v>64.549026304737495</c:v>
                </c:pt>
                <c:pt idx="329">
                  <c:v>65.164335508844999</c:v>
                </c:pt>
                <c:pt idx="330">
                  <c:v>65.561611750104746</c:v>
                </c:pt>
                <c:pt idx="331">
                  <c:v>65.958818786586363</c:v>
                </c:pt>
                <c:pt idx="332">
                  <c:v>66.35593999686543</c:v>
                </c:pt>
                <c:pt idx="333">
                  <c:v>66.752966443814458</c:v>
                </c:pt>
                <c:pt idx="334">
                  <c:v>67.149898150046425</c:v>
                </c:pt>
                <c:pt idx="335">
                  <c:v>67.929181115893215</c:v>
                </c:pt>
                <c:pt idx="336">
                  <c:v>68.708289928509387</c:v>
                </c:pt>
                <c:pt idx="337">
                  <c:v>69.571689590175126</c:v>
                </c:pt>
                <c:pt idx="338">
                  <c:v>70.434896300311081</c:v>
                </c:pt>
                <c:pt idx="339">
                  <c:v>71.297910102037832</c:v>
                </c:pt>
                <c:pt idx="340">
                  <c:v>72.160731038466309</c:v>
                </c:pt>
                <c:pt idx="341">
                  <c:v>73.023366241930574</c:v>
                </c:pt>
                <c:pt idx="342">
                  <c:v>73.885816674488751</c:v>
                </c:pt>
                <c:pt idx="343">
                  <c:v>74.748082375717573</c:v>
                </c:pt>
                <c:pt idx="344">
                  <c:v>75.68305522015207</c:v>
                </c:pt>
                <c:pt idx="345">
                  <c:v>76.617827799423566</c:v>
                </c:pt>
                <c:pt idx="346">
                  <c:v>77.552400156427552</c:v>
                </c:pt>
                <c:pt idx="347">
                  <c:v>78.486774278299364</c:v>
                </c:pt>
                <c:pt idx="348">
                  <c:v>79.420956245045659</c:v>
                </c:pt>
                <c:pt idx="349">
                  <c:v>80.354946096183355</c:v>
                </c:pt>
                <c:pt idx="350">
                  <c:v>81.288743871221243</c:v>
                </c:pt>
                <c:pt idx="351">
                  <c:v>82.257549817850915</c:v>
                </c:pt>
                <c:pt idx="352">
                  <c:v>83.226156528410229</c:v>
                </c:pt>
                <c:pt idx="353">
                  <c:v>84.194564043872319</c:v>
                </c:pt>
                <c:pt idx="354">
                  <c:v>85.162778021880513</c:v>
                </c:pt>
                <c:pt idx="355">
                  <c:v>86.130800527001242</c:v>
                </c:pt>
                <c:pt idx="356">
                  <c:v>87.098631597099953</c:v>
                </c:pt>
                <c:pt idx="357">
                  <c:v>88.066271270034619</c:v>
                </c:pt>
                <c:pt idx="358">
                  <c:v>89.058189025700244</c:v>
                </c:pt>
                <c:pt idx="359">
                  <c:v>90.049910620846475</c:v>
                </c:pt>
                <c:pt idx="360">
                  <c:v>91.041437401885148</c:v>
                </c:pt>
                <c:pt idx="361">
                  <c:v>92.032775351281515</c:v>
                </c:pt>
                <c:pt idx="362">
                  <c:v>93.02392450499768</c:v>
                </c:pt>
                <c:pt idx="363">
                  <c:v>94.014884898988896</c:v>
                </c:pt>
                <c:pt idx="364">
                  <c:v>95.00565656920358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9EC-484F-AF03-5A46A104EBB7}"/>
            </c:ext>
          </c:extLst>
        </c:ser>
        <c:ser>
          <c:idx val="1"/>
          <c:order val="1"/>
          <c:tx>
            <c:strRef>
              <c:f>ROS!$U$11</c:f>
              <c:strCache>
                <c:ptCount val="1"/>
                <c:pt idx="0">
                  <c:v>ความจุที่ระดับเก็บกัก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ROS!$U$15:$U$379</c:f>
              <c:numCache>
                <c:formatCode>#,##0.00</c:formatCode>
                <c:ptCount val="365"/>
                <c:pt idx="0">
                  <c:v>141</c:v>
                </c:pt>
                <c:pt idx="1">
                  <c:v>141</c:v>
                </c:pt>
                <c:pt idx="2">
                  <c:v>141</c:v>
                </c:pt>
                <c:pt idx="3">
                  <c:v>141</c:v>
                </c:pt>
                <c:pt idx="4">
                  <c:v>141</c:v>
                </c:pt>
                <c:pt idx="5">
                  <c:v>141</c:v>
                </c:pt>
                <c:pt idx="6">
                  <c:v>141</c:v>
                </c:pt>
                <c:pt idx="7">
                  <c:v>141</c:v>
                </c:pt>
                <c:pt idx="8">
                  <c:v>141</c:v>
                </c:pt>
                <c:pt idx="9">
                  <c:v>141</c:v>
                </c:pt>
                <c:pt idx="10">
                  <c:v>141</c:v>
                </c:pt>
                <c:pt idx="11">
                  <c:v>141</c:v>
                </c:pt>
                <c:pt idx="12">
                  <c:v>141</c:v>
                </c:pt>
                <c:pt idx="13">
                  <c:v>141</c:v>
                </c:pt>
                <c:pt idx="14">
                  <c:v>141</c:v>
                </c:pt>
                <c:pt idx="15">
                  <c:v>141</c:v>
                </c:pt>
                <c:pt idx="16">
                  <c:v>141</c:v>
                </c:pt>
                <c:pt idx="17">
                  <c:v>141</c:v>
                </c:pt>
                <c:pt idx="18">
                  <c:v>141</c:v>
                </c:pt>
                <c:pt idx="19">
                  <c:v>141</c:v>
                </c:pt>
                <c:pt idx="20">
                  <c:v>141</c:v>
                </c:pt>
                <c:pt idx="21">
                  <c:v>141</c:v>
                </c:pt>
                <c:pt idx="22">
                  <c:v>141</c:v>
                </c:pt>
                <c:pt idx="23">
                  <c:v>141</c:v>
                </c:pt>
                <c:pt idx="24">
                  <c:v>141</c:v>
                </c:pt>
                <c:pt idx="25">
                  <c:v>141</c:v>
                </c:pt>
                <c:pt idx="26">
                  <c:v>141</c:v>
                </c:pt>
                <c:pt idx="27">
                  <c:v>141</c:v>
                </c:pt>
                <c:pt idx="28">
                  <c:v>141</c:v>
                </c:pt>
                <c:pt idx="29">
                  <c:v>141</c:v>
                </c:pt>
                <c:pt idx="30">
                  <c:v>141</c:v>
                </c:pt>
                <c:pt idx="31">
                  <c:v>141</c:v>
                </c:pt>
                <c:pt idx="32">
                  <c:v>141</c:v>
                </c:pt>
                <c:pt idx="33">
                  <c:v>141</c:v>
                </c:pt>
                <c:pt idx="34">
                  <c:v>141</c:v>
                </c:pt>
                <c:pt idx="35">
                  <c:v>141</c:v>
                </c:pt>
                <c:pt idx="36">
                  <c:v>141</c:v>
                </c:pt>
                <c:pt idx="37">
                  <c:v>141</c:v>
                </c:pt>
                <c:pt idx="38">
                  <c:v>141</c:v>
                </c:pt>
                <c:pt idx="39">
                  <c:v>141</c:v>
                </c:pt>
                <c:pt idx="40">
                  <c:v>141</c:v>
                </c:pt>
                <c:pt idx="41">
                  <c:v>141</c:v>
                </c:pt>
                <c:pt idx="42">
                  <c:v>141</c:v>
                </c:pt>
                <c:pt idx="43">
                  <c:v>141</c:v>
                </c:pt>
                <c:pt idx="44">
                  <c:v>141</c:v>
                </c:pt>
                <c:pt idx="45">
                  <c:v>141</c:v>
                </c:pt>
                <c:pt idx="46">
                  <c:v>141</c:v>
                </c:pt>
                <c:pt idx="47">
                  <c:v>141</c:v>
                </c:pt>
                <c:pt idx="48">
                  <c:v>141</c:v>
                </c:pt>
                <c:pt idx="49">
                  <c:v>141</c:v>
                </c:pt>
                <c:pt idx="50">
                  <c:v>141</c:v>
                </c:pt>
                <c:pt idx="51">
                  <c:v>141</c:v>
                </c:pt>
                <c:pt idx="52">
                  <c:v>141</c:v>
                </c:pt>
                <c:pt idx="53">
                  <c:v>141</c:v>
                </c:pt>
                <c:pt idx="54">
                  <c:v>141</c:v>
                </c:pt>
                <c:pt idx="55">
                  <c:v>141</c:v>
                </c:pt>
                <c:pt idx="56">
                  <c:v>141</c:v>
                </c:pt>
                <c:pt idx="57">
                  <c:v>141</c:v>
                </c:pt>
                <c:pt idx="58">
                  <c:v>141</c:v>
                </c:pt>
                <c:pt idx="59">
                  <c:v>141</c:v>
                </c:pt>
                <c:pt idx="60">
                  <c:v>141</c:v>
                </c:pt>
                <c:pt idx="61">
                  <c:v>141</c:v>
                </c:pt>
                <c:pt idx="62">
                  <c:v>141</c:v>
                </c:pt>
                <c:pt idx="63">
                  <c:v>141</c:v>
                </c:pt>
                <c:pt idx="64">
                  <c:v>141</c:v>
                </c:pt>
                <c:pt idx="65">
                  <c:v>141</c:v>
                </c:pt>
                <c:pt idx="66">
                  <c:v>141</c:v>
                </c:pt>
                <c:pt idx="67">
                  <c:v>141</c:v>
                </c:pt>
                <c:pt idx="68">
                  <c:v>141</c:v>
                </c:pt>
                <c:pt idx="69">
                  <c:v>141</c:v>
                </c:pt>
                <c:pt idx="70">
                  <c:v>141</c:v>
                </c:pt>
                <c:pt idx="71">
                  <c:v>141</c:v>
                </c:pt>
                <c:pt idx="72">
                  <c:v>141</c:v>
                </c:pt>
                <c:pt idx="73">
                  <c:v>141</c:v>
                </c:pt>
                <c:pt idx="74">
                  <c:v>141</c:v>
                </c:pt>
                <c:pt idx="75">
                  <c:v>141</c:v>
                </c:pt>
                <c:pt idx="76">
                  <c:v>141</c:v>
                </c:pt>
                <c:pt idx="77">
                  <c:v>141</c:v>
                </c:pt>
                <c:pt idx="78">
                  <c:v>141</c:v>
                </c:pt>
                <c:pt idx="79">
                  <c:v>141</c:v>
                </c:pt>
                <c:pt idx="80">
                  <c:v>141</c:v>
                </c:pt>
                <c:pt idx="81">
                  <c:v>141</c:v>
                </c:pt>
                <c:pt idx="82">
                  <c:v>141</c:v>
                </c:pt>
                <c:pt idx="83">
                  <c:v>141</c:v>
                </c:pt>
                <c:pt idx="84">
                  <c:v>141</c:v>
                </c:pt>
                <c:pt idx="85">
                  <c:v>141</c:v>
                </c:pt>
                <c:pt idx="86">
                  <c:v>141</c:v>
                </c:pt>
                <c:pt idx="87">
                  <c:v>141</c:v>
                </c:pt>
                <c:pt idx="88">
                  <c:v>141</c:v>
                </c:pt>
                <c:pt idx="89">
                  <c:v>141</c:v>
                </c:pt>
                <c:pt idx="90">
                  <c:v>141</c:v>
                </c:pt>
                <c:pt idx="91">
                  <c:v>141</c:v>
                </c:pt>
                <c:pt idx="92">
                  <c:v>141</c:v>
                </c:pt>
                <c:pt idx="93">
                  <c:v>141</c:v>
                </c:pt>
                <c:pt idx="94">
                  <c:v>141</c:v>
                </c:pt>
                <c:pt idx="95">
                  <c:v>141</c:v>
                </c:pt>
                <c:pt idx="96">
                  <c:v>141</c:v>
                </c:pt>
                <c:pt idx="97">
                  <c:v>141</c:v>
                </c:pt>
                <c:pt idx="98">
                  <c:v>141</c:v>
                </c:pt>
                <c:pt idx="99">
                  <c:v>141</c:v>
                </c:pt>
                <c:pt idx="100">
                  <c:v>141</c:v>
                </c:pt>
                <c:pt idx="101">
                  <c:v>141</c:v>
                </c:pt>
                <c:pt idx="102">
                  <c:v>141</c:v>
                </c:pt>
                <c:pt idx="103">
                  <c:v>141</c:v>
                </c:pt>
                <c:pt idx="104">
                  <c:v>141</c:v>
                </c:pt>
                <c:pt idx="105">
                  <c:v>141</c:v>
                </c:pt>
                <c:pt idx="106">
                  <c:v>141</c:v>
                </c:pt>
                <c:pt idx="107">
                  <c:v>141</c:v>
                </c:pt>
                <c:pt idx="108">
                  <c:v>141</c:v>
                </c:pt>
                <c:pt idx="109">
                  <c:v>141</c:v>
                </c:pt>
                <c:pt idx="110">
                  <c:v>141</c:v>
                </c:pt>
                <c:pt idx="111">
                  <c:v>141</c:v>
                </c:pt>
                <c:pt idx="112">
                  <c:v>141</c:v>
                </c:pt>
                <c:pt idx="113">
                  <c:v>141</c:v>
                </c:pt>
                <c:pt idx="114">
                  <c:v>141</c:v>
                </c:pt>
                <c:pt idx="115">
                  <c:v>141</c:v>
                </c:pt>
                <c:pt idx="116">
                  <c:v>141</c:v>
                </c:pt>
                <c:pt idx="117">
                  <c:v>141</c:v>
                </c:pt>
                <c:pt idx="118">
                  <c:v>141</c:v>
                </c:pt>
                <c:pt idx="119">
                  <c:v>141</c:v>
                </c:pt>
                <c:pt idx="120">
                  <c:v>141</c:v>
                </c:pt>
                <c:pt idx="121">
                  <c:v>141</c:v>
                </c:pt>
                <c:pt idx="122">
                  <c:v>141</c:v>
                </c:pt>
                <c:pt idx="123">
                  <c:v>141</c:v>
                </c:pt>
                <c:pt idx="124">
                  <c:v>141</c:v>
                </c:pt>
                <c:pt idx="125">
                  <c:v>141</c:v>
                </c:pt>
                <c:pt idx="126">
                  <c:v>141</c:v>
                </c:pt>
                <c:pt idx="127">
                  <c:v>141</c:v>
                </c:pt>
                <c:pt idx="128">
                  <c:v>141</c:v>
                </c:pt>
                <c:pt idx="129">
                  <c:v>141</c:v>
                </c:pt>
                <c:pt idx="130">
                  <c:v>141</c:v>
                </c:pt>
                <c:pt idx="131">
                  <c:v>141</c:v>
                </c:pt>
                <c:pt idx="132">
                  <c:v>141</c:v>
                </c:pt>
                <c:pt idx="133">
                  <c:v>141</c:v>
                </c:pt>
                <c:pt idx="134">
                  <c:v>141</c:v>
                </c:pt>
                <c:pt idx="135">
                  <c:v>141</c:v>
                </c:pt>
                <c:pt idx="136">
                  <c:v>141</c:v>
                </c:pt>
                <c:pt idx="137">
                  <c:v>141</c:v>
                </c:pt>
                <c:pt idx="138">
                  <c:v>141</c:v>
                </c:pt>
                <c:pt idx="139">
                  <c:v>141</c:v>
                </c:pt>
                <c:pt idx="140">
                  <c:v>141</c:v>
                </c:pt>
                <c:pt idx="141">
                  <c:v>141</c:v>
                </c:pt>
                <c:pt idx="142">
                  <c:v>141</c:v>
                </c:pt>
                <c:pt idx="143">
                  <c:v>141</c:v>
                </c:pt>
                <c:pt idx="144">
                  <c:v>141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141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141</c:v>
                </c:pt>
                <c:pt idx="162">
                  <c:v>141</c:v>
                </c:pt>
                <c:pt idx="163">
                  <c:v>141</c:v>
                </c:pt>
                <c:pt idx="164">
                  <c:v>141</c:v>
                </c:pt>
                <c:pt idx="165">
                  <c:v>141</c:v>
                </c:pt>
                <c:pt idx="166">
                  <c:v>141</c:v>
                </c:pt>
                <c:pt idx="167">
                  <c:v>141</c:v>
                </c:pt>
                <c:pt idx="168">
                  <c:v>141</c:v>
                </c:pt>
                <c:pt idx="169">
                  <c:v>141</c:v>
                </c:pt>
                <c:pt idx="170">
                  <c:v>141</c:v>
                </c:pt>
                <c:pt idx="171">
                  <c:v>141</c:v>
                </c:pt>
                <c:pt idx="172">
                  <c:v>141</c:v>
                </c:pt>
                <c:pt idx="173">
                  <c:v>141</c:v>
                </c:pt>
                <c:pt idx="174">
                  <c:v>141</c:v>
                </c:pt>
                <c:pt idx="175">
                  <c:v>141</c:v>
                </c:pt>
                <c:pt idx="176">
                  <c:v>141</c:v>
                </c:pt>
                <c:pt idx="177">
                  <c:v>141</c:v>
                </c:pt>
                <c:pt idx="178">
                  <c:v>141</c:v>
                </c:pt>
                <c:pt idx="179">
                  <c:v>141</c:v>
                </c:pt>
                <c:pt idx="180">
                  <c:v>141</c:v>
                </c:pt>
                <c:pt idx="181">
                  <c:v>141</c:v>
                </c:pt>
                <c:pt idx="182">
                  <c:v>141</c:v>
                </c:pt>
                <c:pt idx="183">
                  <c:v>141</c:v>
                </c:pt>
                <c:pt idx="184">
                  <c:v>141</c:v>
                </c:pt>
                <c:pt idx="185">
                  <c:v>141</c:v>
                </c:pt>
                <c:pt idx="186">
                  <c:v>141</c:v>
                </c:pt>
                <c:pt idx="187">
                  <c:v>141</c:v>
                </c:pt>
                <c:pt idx="188">
                  <c:v>141</c:v>
                </c:pt>
                <c:pt idx="189">
                  <c:v>141</c:v>
                </c:pt>
                <c:pt idx="190">
                  <c:v>141</c:v>
                </c:pt>
                <c:pt idx="191">
                  <c:v>141</c:v>
                </c:pt>
                <c:pt idx="192">
                  <c:v>141</c:v>
                </c:pt>
                <c:pt idx="193">
                  <c:v>141</c:v>
                </c:pt>
                <c:pt idx="194">
                  <c:v>141</c:v>
                </c:pt>
                <c:pt idx="195">
                  <c:v>141</c:v>
                </c:pt>
                <c:pt idx="196">
                  <c:v>141</c:v>
                </c:pt>
                <c:pt idx="197">
                  <c:v>141</c:v>
                </c:pt>
                <c:pt idx="198">
                  <c:v>141</c:v>
                </c:pt>
                <c:pt idx="199">
                  <c:v>141</c:v>
                </c:pt>
                <c:pt idx="200">
                  <c:v>141</c:v>
                </c:pt>
                <c:pt idx="201">
                  <c:v>141</c:v>
                </c:pt>
                <c:pt idx="202">
                  <c:v>141</c:v>
                </c:pt>
                <c:pt idx="203">
                  <c:v>141</c:v>
                </c:pt>
                <c:pt idx="204">
                  <c:v>141</c:v>
                </c:pt>
                <c:pt idx="205">
                  <c:v>141</c:v>
                </c:pt>
                <c:pt idx="206">
                  <c:v>141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141</c:v>
                </c:pt>
                <c:pt idx="211">
                  <c:v>141</c:v>
                </c:pt>
                <c:pt idx="212">
                  <c:v>141</c:v>
                </c:pt>
                <c:pt idx="213">
                  <c:v>141</c:v>
                </c:pt>
                <c:pt idx="214">
                  <c:v>141</c:v>
                </c:pt>
                <c:pt idx="215">
                  <c:v>141</c:v>
                </c:pt>
                <c:pt idx="216">
                  <c:v>141</c:v>
                </c:pt>
                <c:pt idx="217">
                  <c:v>141</c:v>
                </c:pt>
                <c:pt idx="218">
                  <c:v>141</c:v>
                </c:pt>
                <c:pt idx="219">
                  <c:v>141</c:v>
                </c:pt>
                <c:pt idx="220">
                  <c:v>141</c:v>
                </c:pt>
                <c:pt idx="221">
                  <c:v>141</c:v>
                </c:pt>
                <c:pt idx="222">
                  <c:v>141</c:v>
                </c:pt>
                <c:pt idx="223">
                  <c:v>141</c:v>
                </c:pt>
                <c:pt idx="224">
                  <c:v>141</c:v>
                </c:pt>
                <c:pt idx="225">
                  <c:v>141</c:v>
                </c:pt>
                <c:pt idx="226">
                  <c:v>141</c:v>
                </c:pt>
                <c:pt idx="227">
                  <c:v>141</c:v>
                </c:pt>
                <c:pt idx="228">
                  <c:v>141</c:v>
                </c:pt>
                <c:pt idx="229">
                  <c:v>141</c:v>
                </c:pt>
                <c:pt idx="230">
                  <c:v>141</c:v>
                </c:pt>
                <c:pt idx="231">
                  <c:v>141</c:v>
                </c:pt>
                <c:pt idx="232">
                  <c:v>141</c:v>
                </c:pt>
                <c:pt idx="233">
                  <c:v>141</c:v>
                </c:pt>
                <c:pt idx="234">
                  <c:v>141</c:v>
                </c:pt>
                <c:pt idx="235">
                  <c:v>141</c:v>
                </c:pt>
                <c:pt idx="236">
                  <c:v>141</c:v>
                </c:pt>
                <c:pt idx="237">
                  <c:v>141</c:v>
                </c:pt>
                <c:pt idx="238">
                  <c:v>141</c:v>
                </c:pt>
                <c:pt idx="239">
                  <c:v>141</c:v>
                </c:pt>
                <c:pt idx="240">
                  <c:v>141</c:v>
                </c:pt>
                <c:pt idx="241">
                  <c:v>141</c:v>
                </c:pt>
                <c:pt idx="242">
                  <c:v>141</c:v>
                </c:pt>
                <c:pt idx="243">
                  <c:v>141</c:v>
                </c:pt>
                <c:pt idx="244">
                  <c:v>141</c:v>
                </c:pt>
                <c:pt idx="245">
                  <c:v>141</c:v>
                </c:pt>
                <c:pt idx="246">
                  <c:v>141</c:v>
                </c:pt>
                <c:pt idx="247">
                  <c:v>141</c:v>
                </c:pt>
                <c:pt idx="248">
                  <c:v>141</c:v>
                </c:pt>
                <c:pt idx="249">
                  <c:v>141</c:v>
                </c:pt>
                <c:pt idx="250">
                  <c:v>141</c:v>
                </c:pt>
                <c:pt idx="251">
                  <c:v>141</c:v>
                </c:pt>
                <c:pt idx="252">
                  <c:v>141</c:v>
                </c:pt>
                <c:pt idx="253">
                  <c:v>141</c:v>
                </c:pt>
                <c:pt idx="254">
                  <c:v>141</c:v>
                </c:pt>
                <c:pt idx="255">
                  <c:v>141</c:v>
                </c:pt>
                <c:pt idx="256">
                  <c:v>141</c:v>
                </c:pt>
                <c:pt idx="257">
                  <c:v>141</c:v>
                </c:pt>
                <c:pt idx="258">
                  <c:v>141</c:v>
                </c:pt>
                <c:pt idx="259">
                  <c:v>141</c:v>
                </c:pt>
                <c:pt idx="260">
                  <c:v>141</c:v>
                </c:pt>
                <c:pt idx="261">
                  <c:v>141</c:v>
                </c:pt>
                <c:pt idx="262">
                  <c:v>141</c:v>
                </c:pt>
                <c:pt idx="263">
                  <c:v>141</c:v>
                </c:pt>
                <c:pt idx="264">
                  <c:v>141</c:v>
                </c:pt>
                <c:pt idx="265">
                  <c:v>141</c:v>
                </c:pt>
                <c:pt idx="266">
                  <c:v>141</c:v>
                </c:pt>
                <c:pt idx="267">
                  <c:v>141</c:v>
                </c:pt>
                <c:pt idx="268">
                  <c:v>141</c:v>
                </c:pt>
                <c:pt idx="269">
                  <c:v>141</c:v>
                </c:pt>
                <c:pt idx="270">
                  <c:v>141</c:v>
                </c:pt>
                <c:pt idx="271">
                  <c:v>141</c:v>
                </c:pt>
                <c:pt idx="272">
                  <c:v>141</c:v>
                </c:pt>
                <c:pt idx="273">
                  <c:v>141</c:v>
                </c:pt>
                <c:pt idx="274">
                  <c:v>141</c:v>
                </c:pt>
                <c:pt idx="275">
                  <c:v>141</c:v>
                </c:pt>
                <c:pt idx="276">
                  <c:v>141</c:v>
                </c:pt>
                <c:pt idx="277">
                  <c:v>141</c:v>
                </c:pt>
                <c:pt idx="278">
                  <c:v>141</c:v>
                </c:pt>
                <c:pt idx="279">
                  <c:v>141</c:v>
                </c:pt>
                <c:pt idx="280">
                  <c:v>141</c:v>
                </c:pt>
                <c:pt idx="281">
                  <c:v>141</c:v>
                </c:pt>
                <c:pt idx="282">
                  <c:v>141</c:v>
                </c:pt>
                <c:pt idx="283">
                  <c:v>141</c:v>
                </c:pt>
                <c:pt idx="284">
                  <c:v>141</c:v>
                </c:pt>
                <c:pt idx="285">
                  <c:v>141</c:v>
                </c:pt>
                <c:pt idx="286">
                  <c:v>141</c:v>
                </c:pt>
                <c:pt idx="287">
                  <c:v>141</c:v>
                </c:pt>
                <c:pt idx="288">
                  <c:v>141</c:v>
                </c:pt>
                <c:pt idx="289">
                  <c:v>141</c:v>
                </c:pt>
                <c:pt idx="290">
                  <c:v>141</c:v>
                </c:pt>
                <c:pt idx="291">
                  <c:v>141</c:v>
                </c:pt>
                <c:pt idx="292">
                  <c:v>141</c:v>
                </c:pt>
                <c:pt idx="293">
                  <c:v>141</c:v>
                </c:pt>
                <c:pt idx="294">
                  <c:v>141</c:v>
                </c:pt>
                <c:pt idx="295">
                  <c:v>141</c:v>
                </c:pt>
                <c:pt idx="296">
                  <c:v>141</c:v>
                </c:pt>
                <c:pt idx="297">
                  <c:v>141</c:v>
                </c:pt>
                <c:pt idx="298">
                  <c:v>141</c:v>
                </c:pt>
                <c:pt idx="299">
                  <c:v>141</c:v>
                </c:pt>
                <c:pt idx="300">
                  <c:v>141</c:v>
                </c:pt>
                <c:pt idx="301">
                  <c:v>141</c:v>
                </c:pt>
                <c:pt idx="302">
                  <c:v>141</c:v>
                </c:pt>
                <c:pt idx="303">
                  <c:v>141</c:v>
                </c:pt>
                <c:pt idx="304">
                  <c:v>141</c:v>
                </c:pt>
                <c:pt idx="305">
                  <c:v>141</c:v>
                </c:pt>
                <c:pt idx="306">
                  <c:v>141</c:v>
                </c:pt>
                <c:pt idx="307">
                  <c:v>141</c:v>
                </c:pt>
                <c:pt idx="308">
                  <c:v>141</c:v>
                </c:pt>
                <c:pt idx="309">
                  <c:v>141</c:v>
                </c:pt>
                <c:pt idx="310">
                  <c:v>141</c:v>
                </c:pt>
                <c:pt idx="311">
                  <c:v>141</c:v>
                </c:pt>
                <c:pt idx="312">
                  <c:v>141</c:v>
                </c:pt>
                <c:pt idx="313">
                  <c:v>141</c:v>
                </c:pt>
                <c:pt idx="314">
                  <c:v>141</c:v>
                </c:pt>
                <c:pt idx="315">
                  <c:v>141</c:v>
                </c:pt>
                <c:pt idx="316">
                  <c:v>141</c:v>
                </c:pt>
                <c:pt idx="317">
                  <c:v>141</c:v>
                </c:pt>
                <c:pt idx="318">
                  <c:v>141</c:v>
                </c:pt>
                <c:pt idx="319">
                  <c:v>141</c:v>
                </c:pt>
                <c:pt idx="320">
                  <c:v>141</c:v>
                </c:pt>
                <c:pt idx="321">
                  <c:v>141</c:v>
                </c:pt>
                <c:pt idx="322">
                  <c:v>141</c:v>
                </c:pt>
                <c:pt idx="323">
                  <c:v>141</c:v>
                </c:pt>
                <c:pt idx="324">
                  <c:v>141</c:v>
                </c:pt>
                <c:pt idx="325">
                  <c:v>141</c:v>
                </c:pt>
                <c:pt idx="326">
                  <c:v>141</c:v>
                </c:pt>
                <c:pt idx="327">
                  <c:v>141</c:v>
                </c:pt>
                <c:pt idx="328">
                  <c:v>141</c:v>
                </c:pt>
                <c:pt idx="329">
                  <c:v>141</c:v>
                </c:pt>
                <c:pt idx="330">
                  <c:v>141</c:v>
                </c:pt>
                <c:pt idx="331">
                  <c:v>141</c:v>
                </c:pt>
                <c:pt idx="332">
                  <c:v>141</c:v>
                </c:pt>
                <c:pt idx="333">
                  <c:v>141</c:v>
                </c:pt>
                <c:pt idx="334">
                  <c:v>141</c:v>
                </c:pt>
                <c:pt idx="335">
                  <c:v>141</c:v>
                </c:pt>
                <c:pt idx="336">
                  <c:v>141</c:v>
                </c:pt>
                <c:pt idx="337">
                  <c:v>141</c:v>
                </c:pt>
                <c:pt idx="338">
                  <c:v>141</c:v>
                </c:pt>
                <c:pt idx="339">
                  <c:v>141</c:v>
                </c:pt>
                <c:pt idx="340">
                  <c:v>141</c:v>
                </c:pt>
                <c:pt idx="341">
                  <c:v>141</c:v>
                </c:pt>
                <c:pt idx="342">
                  <c:v>141</c:v>
                </c:pt>
                <c:pt idx="343">
                  <c:v>141</c:v>
                </c:pt>
                <c:pt idx="344">
                  <c:v>141</c:v>
                </c:pt>
                <c:pt idx="345">
                  <c:v>141</c:v>
                </c:pt>
                <c:pt idx="346">
                  <c:v>141</c:v>
                </c:pt>
                <c:pt idx="347">
                  <c:v>141</c:v>
                </c:pt>
                <c:pt idx="348">
                  <c:v>141</c:v>
                </c:pt>
                <c:pt idx="349">
                  <c:v>141</c:v>
                </c:pt>
                <c:pt idx="350">
                  <c:v>141</c:v>
                </c:pt>
                <c:pt idx="351">
                  <c:v>141</c:v>
                </c:pt>
                <c:pt idx="352">
                  <c:v>141</c:v>
                </c:pt>
                <c:pt idx="353">
                  <c:v>141</c:v>
                </c:pt>
                <c:pt idx="354">
                  <c:v>141</c:v>
                </c:pt>
                <c:pt idx="355">
                  <c:v>141</c:v>
                </c:pt>
                <c:pt idx="356">
                  <c:v>141</c:v>
                </c:pt>
                <c:pt idx="357">
                  <c:v>141</c:v>
                </c:pt>
                <c:pt idx="358">
                  <c:v>141</c:v>
                </c:pt>
                <c:pt idx="359">
                  <c:v>141</c:v>
                </c:pt>
                <c:pt idx="360">
                  <c:v>141</c:v>
                </c:pt>
                <c:pt idx="361">
                  <c:v>141</c:v>
                </c:pt>
                <c:pt idx="362">
                  <c:v>141</c:v>
                </c:pt>
                <c:pt idx="363">
                  <c:v>141</c:v>
                </c:pt>
                <c:pt idx="364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EC-484F-AF03-5A46A104EBB7}"/>
            </c:ext>
          </c:extLst>
        </c:ser>
        <c:ser>
          <c:idx val="2"/>
          <c:order val="2"/>
          <c:tx>
            <c:strRef>
              <c:f>ROS!$X$11</c:f>
              <c:strCache>
                <c:ptCount val="1"/>
                <c:pt idx="0">
                  <c:v> URC 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ROS!$X$15:$X$379</c:f>
              <c:numCache>
                <c:formatCode>#,##0.00</c:formatCode>
                <c:ptCount val="365"/>
                <c:pt idx="0">
                  <c:v>133.19999999999999</c:v>
                </c:pt>
                <c:pt idx="1">
                  <c:v>132.97032258064516</c:v>
                </c:pt>
                <c:pt idx="2">
                  <c:v>132.74064516129033</c:v>
                </c:pt>
                <c:pt idx="3">
                  <c:v>132.51096774193547</c:v>
                </c:pt>
                <c:pt idx="4">
                  <c:v>132.28129032258065</c:v>
                </c:pt>
                <c:pt idx="5">
                  <c:v>132.05161290322579</c:v>
                </c:pt>
                <c:pt idx="6">
                  <c:v>131.82193548387096</c:v>
                </c:pt>
                <c:pt idx="7">
                  <c:v>131.5922580645161</c:v>
                </c:pt>
                <c:pt idx="8">
                  <c:v>131.36258064516127</c:v>
                </c:pt>
                <c:pt idx="9">
                  <c:v>131.13290322580642</c:v>
                </c:pt>
                <c:pt idx="10">
                  <c:v>130.90322580645159</c:v>
                </c:pt>
                <c:pt idx="11">
                  <c:v>130.67354838709676</c:v>
                </c:pt>
                <c:pt idx="12">
                  <c:v>130.4438709677419</c:v>
                </c:pt>
                <c:pt idx="13">
                  <c:v>130.21419354838707</c:v>
                </c:pt>
                <c:pt idx="14">
                  <c:v>129.98451612903222</c:v>
                </c:pt>
                <c:pt idx="15">
                  <c:v>129.75483870967739</c:v>
                </c:pt>
                <c:pt idx="16">
                  <c:v>129.52516129032253</c:v>
                </c:pt>
                <c:pt idx="17">
                  <c:v>129.2954838709677</c:v>
                </c:pt>
                <c:pt idx="18">
                  <c:v>129.06580645161287</c:v>
                </c:pt>
                <c:pt idx="19">
                  <c:v>128.83612903225801</c:v>
                </c:pt>
                <c:pt idx="20">
                  <c:v>128.60645161290319</c:v>
                </c:pt>
                <c:pt idx="21">
                  <c:v>128.37677419354833</c:v>
                </c:pt>
                <c:pt idx="22">
                  <c:v>128.1470967741935</c:v>
                </c:pt>
                <c:pt idx="23">
                  <c:v>127.91741935483866</c:v>
                </c:pt>
                <c:pt idx="24">
                  <c:v>127.68774193548381</c:v>
                </c:pt>
                <c:pt idx="25">
                  <c:v>127.45806451612897</c:v>
                </c:pt>
                <c:pt idx="26">
                  <c:v>127.22838709677413</c:v>
                </c:pt>
                <c:pt idx="27">
                  <c:v>126.99870967741928</c:v>
                </c:pt>
                <c:pt idx="28">
                  <c:v>126.76903225806444</c:v>
                </c:pt>
                <c:pt idx="29">
                  <c:v>126.53935483870961</c:v>
                </c:pt>
                <c:pt idx="30">
                  <c:v>126.30967741935477</c:v>
                </c:pt>
                <c:pt idx="31">
                  <c:v>126.08</c:v>
                </c:pt>
                <c:pt idx="32">
                  <c:v>125.92678571428571</c:v>
                </c:pt>
                <c:pt idx="33">
                  <c:v>125.77357142857143</c:v>
                </c:pt>
                <c:pt idx="34">
                  <c:v>125.62035714285715</c:v>
                </c:pt>
                <c:pt idx="35">
                  <c:v>125.46714285714286</c:v>
                </c:pt>
                <c:pt idx="36">
                  <c:v>125.31392857142858</c:v>
                </c:pt>
                <c:pt idx="37">
                  <c:v>125.16071428571429</c:v>
                </c:pt>
                <c:pt idx="38">
                  <c:v>125.00750000000002</c:v>
                </c:pt>
                <c:pt idx="39">
                  <c:v>124.85428571428574</c:v>
                </c:pt>
                <c:pt idx="40">
                  <c:v>124.70107142857145</c:v>
                </c:pt>
                <c:pt idx="41">
                  <c:v>124.54785714285717</c:v>
                </c:pt>
                <c:pt idx="42">
                  <c:v>124.39464285714288</c:v>
                </c:pt>
                <c:pt idx="43">
                  <c:v>124.2414285714286</c:v>
                </c:pt>
                <c:pt idx="44">
                  <c:v>124.08821428571432</c:v>
                </c:pt>
                <c:pt idx="45">
                  <c:v>123.93500000000003</c:v>
                </c:pt>
                <c:pt idx="46">
                  <c:v>123.78178571428575</c:v>
                </c:pt>
                <c:pt idx="47">
                  <c:v>123.62857142857146</c:v>
                </c:pt>
                <c:pt idx="48">
                  <c:v>123.47535714285718</c:v>
                </c:pt>
                <c:pt idx="49">
                  <c:v>123.32214285714289</c:v>
                </c:pt>
                <c:pt idx="50">
                  <c:v>123.16892857142861</c:v>
                </c:pt>
                <c:pt idx="51">
                  <c:v>123.01571428571432</c:v>
                </c:pt>
                <c:pt idx="52">
                  <c:v>122.86250000000004</c:v>
                </c:pt>
                <c:pt idx="53">
                  <c:v>122.70928571428576</c:v>
                </c:pt>
                <c:pt idx="54">
                  <c:v>122.55607142857147</c:v>
                </c:pt>
                <c:pt idx="55">
                  <c:v>122.4028571428572</c:v>
                </c:pt>
                <c:pt idx="56">
                  <c:v>122.24964285714292</c:v>
                </c:pt>
                <c:pt idx="57">
                  <c:v>122.09642857142863</c:v>
                </c:pt>
                <c:pt idx="58">
                  <c:v>121.94321428571435</c:v>
                </c:pt>
                <c:pt idx="59">
                  <c:v>121.79</c:v>
                </c:pt>
                <c:pt idx="60">
                  <c:v>121.63741935483871</c:v>
                </c:pt>
                <c:pt idx="61">
                  <c:v>121.48483870967743</c:v>
                </c:pt>
                <c:pt idx="62">
                  <c:v>121.33225806451614</c:v>
                </c:pt>
                <c:pt idx="63">
                  <c:v>121.17967741935486</c:v>
                </c:pt>
                <c:pt idx="64">
                  <c:v>121.02709677419357</c:v>
                </c:pt>
                <c:pt idx="65">
                  <c:v>120.87451612903229</c:v>
                </c:pt>
                <c:pt idx="66">
                  <c:v>120.72193548387099</c:v>
                </c:pt>
                <c:pt idx="67">
                  <c:v>120.56935483870971</c:v>
                </c:pt>
                <c:pt idx="68">
                  <c:v>120.41677419354842</c:v>
                </c:pt>
                <c:pt idx="69">
                  <c:v>120.26419354838714</c:v>
                </c:pt>
                <c:pt idx="70">
                  <c:v>120.11161290322585</c:v>
                </c:pt>
                <c:pt idx="71">
                  <c:v>119.95903225806457</c:v>
                </c:pt>
                <c:pt idx="72">
                  <c:v>119.80645161290329</c:v>
                </c:pt>
                <c:pt idx="73">
                  <c:v>119.65387096774199</c:v>
                </c:pt>
                <c:pt idx="74">
                  <c:v>119.50129032258072</c:v>
                </c:pt>
                <c:pt idx="75">
                  <c:v>119.34870967741942</c:v>
                </c:pt>
                <c:pt idx="76">
                  <c:v>119.19612903225814</c:v>
                </c:pt>
                <c:pt idx="77">
                  <c:v>119.04354838709685</c:v>
                </c:pt>
                <c:pt idx="78">
                  <c:v>118.89096774193557</c:v>
                </c:pt>
                <c:pt idx="79">
                  <c:v>118.73838709677428</c:v>
                </c:pt>
                <c:pt idx="80">
                  <c:v>118.585806451613</c:v>
                </c:pt>
                <c:pt idx="81">
                  <c:v>118.4332258064517</c:v>
                </c:pt>
                <c:pt idx="82">
                  <c:v>118.28064516129042</c:v>
                </c:pt>
                <c:pt idx="83">
                  <c:v>118.12806451612914</c:v>
                </c:pt>
                <c:pt idx="84">
                  <c:v>117.97548387096785</c:v>
                </c:pt>
                <c:pt idx="85">
                  <c:v>117.82290322580657</c:v>
                </c:pt>
                <c:pt idx="86">
                  <c:v>117.67032258064528</c:v>
                </c:pt>
                <c:pt idx="87">
                  <c:v>117.517741935484</c:v>
                </c:pt>
                <c:pt idx="88">
                  <c:v>117.3651612903227</c:v>
                </c:pt>
                <c:pt idx="89">
                  <c:v>117.21258064516142</c:v>
                </c:pt>
                <c:pt idx="90">
                  <c:v>117.06</c:v>
                </c:pt>
                <c:pt idx="91">
                  <c:v>116.87866666666667</c:v>
                </c:pt>
                <c:pt idx="92">
                  <c:v>116.69733333333335</c:v>
                </c:pt>
                <c:pt idx="93">
                  <c:v>116.51600000000002</c:v>
                </c:pt>
                <c:pt idx="94">
                  <c:v>116.33466666666669</c:v>
                </c:pt>
                <c:pt idx="95">
                  <c:v>116.15333333333336</c:v>
                </c:pt>
                <c:pt idx="96">
                  <c:v>115.97200000000004</c:v>
                </c:pt>
                <c:pt idx="97">
                  <c:v>115.7906666666667</c:v>
                </c:pt>
                <c:pt idx="98">
                  <c:v>115.60933333333337</c:v>
                </c:pt>
                <c:pt idx="99">
                  <c:v>115.42800000000004</c:v>
                </c:pt>
                <c:pt idx="100">
                  <c:v>115.24666666666671</c:v>
                </c:pt>
                <c:pt idx="101">
                  <c:v>115.06533333333338</c:v>
                </c:pt>
                <c:pt idx="102">
                  <c:v>114.88400000000006</c:v>
                </c:pt>
                <c:pt idx="103">
                  <c:v>114.70266666666673</c:v>
                </c:pt>
                <c:pt idx="104">
                  <c:v>114.5213333333334</c:v>
                </c:pt>
                <c:pt idx="105">
                  <c:v>114.34000000000007</c:v>
                </c:pt>
                <c:pt idx="106">
                  <c:v>114.15866666666675</c:v>
                </c:pt>
                <c:pt idx="107">
                  <c:v>113.97733333333342</c:v>
                </c:pt>
                <c:pt idx="108">
                  <c:v>113.79600000000009</c:v>
                </c:pt>
                <c:pt idx="109">
                  <c:v>113.61466666666676</c:v>
                </c:pt>
                <c:pt idx="110">
                  <c:v>113.43333333333344</c:v>
                </c:pt>
                <c:pt idx="111">
                  <c:v>113.25200000000011</c:v>
                </c:pt>
                <c:pt idx="112">
                  <c:v>113.07066666666678</c:v>
                </c:pt>
                <c:pt idx="113">
                  <c:v>112.88933333333345</c:v>
                </c:pt>
                <c:pt idx="114">
                  <c:v>112.70800000000013</c:v>
                </c:pt>
                <c:pt idx="115">
                  <c:v>112.52666666666678</c:v>
                </c:pt>
                <c:pt idx="116">
                  <c:v>112.34533333333346</c:v>
                </c:pt>
                <c:pt idx="117">
                  <c:v>112.16400000000013</c:v>
                </c:pt>
                <c:pt idx="118">
                  <c:v>111.9826666666668</c:v>
                </c:pt>
                <c:pt idx="119">
                  <c:v>111.80133333333347</c:v>
                </c:pt>
                <c:pt idx="120">
                  <c:v>111.62</c:v>
                </c:pt>
                <c:pt idx="121">
                  <c:v>111.44741935483871</c:v>
                </c:pt>
                <c:pt idx="122">
                  <c:v>111.27483870967743</c:v>
                </c:pt>
                <c:pt idx="123">
                  <c:v>111.10225806451614</c:v>
                </c:pt>
                <c:pt idx="124">
                  <c:v>110.92967741935486</c:v>
                </c:pt>
                <c:pt idx="125">
                  <c:v>110.75709677419357</c:v>
                </c:pt>
                <c:pt idx="126">
                  <c:v>110.58451612903228</c:v>
                </c:pt>
                <c:pt idx="127">
                  <c:v>110.41193548387099</c:v>
                </c:pt>
                <c:pt idx="128">
                  <c:v>110.23935483870972</c:v>
                </c:pt>
                <c:pt idx="129">
                  <c:v>110.06677419354843</c:v>
                </c:pt>
                <c:pt idx="130">
                  <c:v>109.89419354838714</c:v>
                </c:pt>
                <c:pt idx="131">
                  <c:v>109.72161290322586</c:v>
                </c:pt>
                <c:pt idx="132">
                  <c:v>109.54903225806457</c:v>
                </c:pt>
                <c:pt idx="133">
                  <c:v>109.37645161290328</c:v>
                </c:pt>
                <c:pt idx="134">
                  <c:v>109.20387096774199</c:v>
                </c:pt>
                <c:pt idx="135">
                  <c:v>109.03129032258072</c:v>
                </c:pt>
                <c:pt idx="136">
                  <c:v>108.85870967741943</c:v>
                </c:pt>
                <c:pt idx="137">
                  <c:v>108.68612903225814</c:v>
                </c:pt>
                <c:pt idx="138">
                  <c:v>108.51354838709685</c:v>
                </c:pt>
                <c:pt idx="139">
                  <c:v>108.34096774193557</c:v>
                </c:pt>
                <c:pt idx="140">
                  <c:v>108.16838709677428</c:v>
                </c:pt>
                <c:pt idx="141">
                  <c:v>107.99580645161299</c:v>
                </c:pt>
                <c:pt idx="142">
                  <c:v>107.8232258064517</c:v>
                </c:pt>
                <c:pt idx="143">
                  <c:v>107.65064516129043</c:v>
                </c:pt>
                <c:pt idx="144">
                  <c:v>107.47806451612914</c:v>
                </c:pt>
                <c:pt idx="145">
                  <c:v>107.30548387096785</c:v>
                </c:pt>
                <c:pt idx="146">
                  <c:v>107.13290322580656</c:v>
                </c:pt>
                <c:pt idx="147">
                  <c:v>106.96032258064528</c:v>
                </c:pt>
                <c:pt idx="148">
                  <c:v>106.78774193548399</c:v>
                </c:pt>
                <c:pt idx="149">
                  <c:v>106.6151612903227</c:v>
                </c:pt>
                <c:pt idx="150">
                  <c:v>106.44258064516141</c:v>
                </c:pt>
                <c:pt idx="151">
                  <c:v>106.27</c:v>
                </c:pt>
                <c:pt idx="152">
                  <c:v>106.09033333333333</c:v>
                </c:pt>
                <c:pt idx="153">
                  <c:v>105.91066666666666</c:v>
                </c:pt>
                <c:pt idx="154">
                  <c:v>105.73099999999998</c:v>
                </c:pt>
                <c:pt idx="155">
                  <c:v>105.55133333333332</c:v>
                </c:pt>
                <c:pt idx="156">
                  <c:v>105.37166666666664</c:v>
                </c:pt>
                <c:pt idx="157">
                  <c:v>105.19199999999996</c:v>
                </c:pt>
                <c:pt idx="158">
                  <c:v>105.0123333333333</c:v>
                </c:pt>
                <c:pt idx="159">
                  <c:v>104.83266666666663</c:v>
                </c:pt>
                <c:pt idx="160">
                  <c:v>104.65299999999995</c:v>
                </c:pt>
                <c:pt idx="161">
                  <c:v>104.47333333333329</c:v>
                </c:pt>
                <c:pt idx="162">
                  <c:v>104.29366666666661</c:v>
                </c:pt>
                <c:pt idx="163">
                  <c:v>104.11399999999995</c:v>
                </c:pt>
                <c:pt idx="164">
                  <c:v>103.93433333333327</c:v>
                </c:pt>
                <c:pt idx="165">
                  <c:v>103.75466666666659</c:v>
                </c:pt>
                <c:pt idx="166">
                  <c:v>103.57499999999993</c:v>
                </c:pt>
                <c:pt idx="167">
                  <c:v>103.39533333333326</c:v>
                </c:pt>
                <c:pt idx="168">
                  <c:v>103.21566666666658</c:v>
                </c:pt>
                <c:pt idx="169">
                  <c:v>103.03599999999992</c:v>
                </c:pt>
                <c:pt idx="170">
                  <c:v>102.85633333333324</c:v>
                </c:pt>
                <c:pt idx="171">
                  <c:v>102.67666666666656</c:v>
                </c:pt>
                <c:pt idx="172">
                  <c:v>102.4969999999999</c:v>
                </c:pt>
                <c:pt idx="173">
                  <c:v>102.31733333333322</c:v>
                </c:pt>
                <c:pt idx="174">
                  <c:v>102.13766666666655</c:v>
                </c:pt>
                <c:pt idx="175">
                  <c:v>101.95799999999988</c:v>
                </c:pt>
                <c:pt idx="176">
                  <c:v>101.77833333333321</c:v>
                </c:pt>
                <c:pt idx="177">
                  <c:v>101.59866666666653</c:v>
                </c:pt>
                <c:pt idx="178">
                  <c:v>101.41899999999987</c:v>
                </c:pt>
                <c:pt idx="179">
                  <c:v>101.23933333333319</c:v>
                </c:pt>
                <c:pt idx="180">
                  <c:v>101.05966666666652</c:v>
                </c:pt>
                <c:pt idx="181">
                  <c:v>100.88</c:v>
                </c:pt>
                <c:pt idx="182">
                  <c:v>100.80548387096775</c:v>
                </c:pt>
                <c:pt idx="183">
                  <c:v>100.73096774193549</c:v>
                </c:pt>
                <c:pt idx="184">
                  <c:v>100.65645161290324</c:v>
                </c:pt>
                <c:pt idx="185">
                  <c:v>100.58193548387098</c:v>
                </c:pt>
                <c:pt idx="186">
                  <c:v>100.50741935483873</c:v>
                </c:pt>
                <c:pt idx="187">
                  <c:v>100.43290322580647</c:v>
                </c:pt>
                <c:pt idx="188">
                  <c:v>100.35838709677422</c:v>
                </c:pt>
                <c:pt idx="189">
                  <c:v>100.28387096774196</c:v>
                </c:pt>
                <c:pt idx="190">
                  <c:v>100.20935483870971</c:v>
                </c:pt>
                <c:pt idx="191">
                  <c:v>100.13483870967745</c:v>
                </c:pt>
                <c:pt idx="192">
                  <c:v>100.06032258064521</c:v>
                </c:pt>
                <c:pt idx="193">
                  <c:v>99.985806451612945</c:v>
                </c:pt>
                <c:pt idx="194">
                  <c:v>99.911290322580697</c:v>
                </c:pt>
                <c:pt idx="195">
                  <c:v>99.836774193548436</c:v>
                </c:pt>
                <c:pt idx="196">
                  <c:v>99.762258064516189</c:v>
                </c:pt>
                <c:pt idx="197">
                  <c:v>99.687741935483928</c:v>
                </c:pt>
                <c:pt idx="198">
                  <c:v>99.61322580645168</c:v>
                </c:pt>
                <c:pt idx="199">
                  <c:v>99.538709677419419</c:v>
                </c:pt>
                <c:pt idx="200">
                  <c:v>99.464193548387172</c:v>
                </c:pt>
                <c:pt idx="201">
                  <c:v>99.389677419354911</c:v>
                </c:pt>
                <c:pt idx="202">
                  <c:v>99.315161290322663</c:v>
                </c:pt>
                <c:pt idx="203">
                  <c:v>99.240645161290402</c:v>
                </c:pt>
                <c:pt idx="204">
                  <c:v>99.166129032258155</c:v>
                </c:pt>
                <c:pt idx="205">
                  <c:v>99.091612903225894</c:v>
                </c:pt>
                <c:pt idx="206">
                  <c:v>99.017096774193647</c:v>
                </c:pt>
                <c:pt idx="207">
                  <c:v>98.942580645161385</c:v>
                </c:pt>
                <c:pt idx="208">
                  <c:v>98.868064516129138</c:v>
                </c:pt>
                <c:pt idx="209">
                  <c:v>98.793548387096877</c:v>
                </c:pt>
                <c:pt idx="210">
                  <c:v>98.71903225806463</c:v>
                </c:pt>
                <c:pt idx="211">
                  <c:v>98.644516129032368</c:v>
                </c:pt>
                <c:pt idx="212">
                  <c:v>98.57</c:v>
                </c:pt>
                <c:pt idx="213">
                  <c:v>98.490322580645156</c:v>
                </c:pt>
                <c:pt idx="214">
                  <c:v>98.410645161290319</c:v>
                </c:pt>
                <c:pt idx="215">
                  <c:v>98.330967741935481</c:v>
                </c:pt>
                <c:pt idx="216">
                  <c:v>98.25129032258063</c:v>
                </c:pt>
                <c:pt idx="217">
                  <c:v>98.171612903225792</c:v>
                </c:pt>
                <c:pt idx="218">
                  <c:v>98.091935483870955</c:v>
                </c:pt>
                <c:pt idx="219">
                  <c:v>98.012258064516118</c:v>
                </c:pt>
                <c:pt idx="220">
                  <c:v>97.932580645161266</c:v>
                </c:pt>
                <c:pt idx="221">
                  <c:v>97.852903225806429</c:v>
                </c:pt>
                <c:pt idx="222">
                  <c:v>97.773225806451592</c:v>
                </c:pt>
                <c:pt idx="223">
                  <c:v>97.693548387096754</c:v>
                </c:pt>
                <c:pt idx="224">
                  <c:v>97.613870967741903</c:v>
                </c:pt>
                <c:pt idx="225">
                  <c:v>97.534193548387066</c:v>
                </c:pt>
                <c:pt idx="226">
                  <c:v>97.454516129032228</c:v>
                </c:pt>
                <c:pt idx="227">
                  <c:v>97.374838709677377</c:v>
                </c:pt>
                <c:pt idx="228">
                  <c:v>97.29516129032254</c:v>
                </c:pt>
                <c:pt idx="229">
                  <c:v>97.215483870967702</c:v>
                </c:pt>
                <c:pt idx="230">
                  <c:v>97.135806451612865</c:v>
                </c:pt>
                <c:pt idx="231">
                  <c:v>97.056129032258013</c:v>
                </c:pt>
                <c:pt idx="232">
                  <c:v>96.976451612903176</c:v>
                </c:pt>
                <c:pt idx="233">
                  <c:v>96.896774193548339</c:v>
                </c:pt>
                <c:pt idx="234">
                  <c:v>96.817096774193502</c:v>
                </c:pt>
                <c:pt idx="235">
                  <c:v>96.73741935483865</c:v>
                </c:pt>
                <c:pt idx="236">
                  <c:v>96.657741935483813</c:v>
                </c:pt>
                <c:pt idx="237">
                  <c:v>96.578064516128975</c:v>
                </c:pt>
                <c:pt idx="238">
                  <c:v>96.498387096774124</c:v>
                </c:pt>
                <c:pt idx="239">
                  <c:v>96.418709677419287</c:v>
                </c:pt>
                <c:pt idx="240">
                  <c:v>96.339032258064449</c:v>
                </c:pt>
                <c:pt idx="241">
                  <c:v>96.259354838709612</c:v>
                </c:pt>
                <c:pt idx="242">
                  <c:v>96.179677419354761</c:v>
                </c:pt>
                <c:pt idx="243">
                  <c:v>96.1</c:v>
                </c:pt>
                <c:pt idx="244">
                  <c:v>96.207666666666668</c:v>
                </c:pt>
                <c:pt idx="245">
                  <c:v>96.315333333333342</c:v>
                </c:pt>
                <c:pt idx="246">
                  <c:v>96.423000000000016</c:v>
                </c:pt>
                <c:pt idx="247">
                  <c:v>96.53066666666669</c:v>
                </c:pt>
                <c:pt idx="248">
                  <c:v>96.638333333333364</c:v>
                </c:pt>
                <c:pt idx="249">
                  <c:v>96.746000000000024</c:v>
                </c:pt>
                <c:pt idx="250">
                  <c:v>96.853666666666697</c:v>
                </c:pt>
                <c:pt idx="251">
                  <c:v>96.961333333333371</c:v>
                </c:pt>
                <c:pt idx="252">
                  <c:v>97.069000000000045</c:v>
                </c:pt>
                <c:pt idx="253">
                  <c:v>97.176666666666719</c:v>
                </c:pt>
                <c:pt idx="254">
                  <c:v>97.284333333333393</c:v>
                </c:pt>
                <c:pt idx="255">
                  <c:v>97.392000000000053</c:v>
                </c:pt>
                <c:pt idx="256">
                  <c:v>97.499666666666727</c:v>
                </c:pt>
                <c:pt idx="257">
                  <c:v>97.607333333333401</c:v>
                </c:pt>
                <c:pt idx="258">
                  <c:v>97.715000000000074</c:v>
                </c:pt>
                <c:pt idx="259">
                  <c:v>97.822666666666748</c:v>
                </c:pt>
                <c:pt idx="260">
                  <c:v>97.930333333333422</c:v>
                </c:pt>
                <c:pt idx="261">
                  <c:v>98.038000000000096</c:v>
                </c:pt>
                <c:pt idx="262">
                  <c:v>98.145666666666756</c:v>
                </c:pt>
                <c:pt idx="263">
                  <c:v>98.25333333333343</c:v>
                </c:pt>
                <c:pt idx="264">
                  <c:v>98.361000000000104</c:v>
                </c:pt>
                <c:pt idx="265">
                  <c:v>98.468666666666778</c:v>
                </c:pt>
                <c:pt idx="266">
                  <c:v>98.576333333333451</c:v>
                </c:pt>
                <c:pt idx="267">
                  <c:v>98.684000000000125</c:v>
                </c:pt>
                <c:pt idx="268">
                  <c:v>98.791666666666785</c:v>
                </c:pt>
                <c:pt idx="269">
                  <c:v>98.899333333333459</c:v>
                </c:pt>
                <c:pt idx="270">
                  <c:v>99.007000000000133</c:v>
                </c:pt>
                <c:pt idx="271">
                  <c:v>99.114666666666807</c:v>
                </c:pt>
                <c:pt idx="272">
                  <c:v>99.222333333333481</c:v>
                </c:pt>
                <c:pt idx="273">
                  <c:v>99.33</c:v>
                </c:pt>
                <c:pt idx="274">
                  <c:v>100.33290322580645</c:v>
                </c:pt>
                <c:pt idx="275">
                  <c:v>101.3358064516129</c:v>
                </c:pt>
                <c:pt idx="276">
                  <c:v>102.33870967741933</c:v>
                </c:pt>
                <c:pt idx="277">
                  <c:v>103.34161290322578</c:v>
                </c:pt>
                <c:pt idx="278">
                  <c:v>104.34451612903223</c:v>
                </c:pt>
                <c:pt idx="279">
                  <c:v>105.34741935483866</c:v>
                </c:pt>
                <c:pt idx="280">
                  <c:v>106.35032258064511</c:v>
                </c:pt>
                <c:pt idx="281">
                  <c:v>107.35322580645156</c:v>
                </c:pt>
                <c:pt idx="282">
                  <c:v>108.35612903225801</c:v>
                </c:pt>
                <c:pt idx="283">
                  <c:v>109.35903225806445</c:v>
                </c:pt>
                <c:pt idx="284">
                  <c:v>110.36193548387089</c:v>
                </c:pt>
                <c:pt idx="285">
                  <c:v>111.36483870967734</c:v>
                </c:pt>
                <c:pt idx="286">
                  <c:v>112.36774193548378</c:v>
                </c:pt>
                <c:pt idx="287">
                  <c:v>113.37064516129023</c:v>
                </c:pt>
                <c:pt idx="288">
                  <c:v>114.37354838709668</c:v>
                </c:pt>
                <c:pt idx="289">
                  <c:v>115.37645161290313</c:v>
                </c:pt>
                <c:pt idx="290">
                  <c:v>116.37935483870956</c:v>
                </c:pt>
                <c:pt idx="291">
                  <c:v>117.38225806451601</c:v>
                </c:pt>
                <c:pt idx="292">
                  <c:v>118.38516129032246</c:v>
                </c:pt>
                <c:pt idx="293">
                  <c:v>119.38806451612889</c:v>
                </c:pt>
                <c:pt idx="294">
                  <c:v>120.39096774193534</c:v>
                </c:pt>
                <c:pt idx="295">
                  <c:v>121.39387096774179</c:v>
                </c:pt>
                <c:pt idx="296">
                  <c:v>122.39677419354824</c:v>
                </c:pt>
                <c:pt idx="297">
                  <c:v>123.39967741935467</c:v>
                </c:pt>
                <c:pt idx="298">
                  <c:v>124.40258064516112</c:v>
                </c:pt>
                <c:pt idx="299">
                  <c:v>125.40548387096757</c:v>
                </c:pt>
                <c:pt idx="300">
                  <c:v>126.40838709677401</c:v>
                </c:pt>
                <c:pt idx="301">
                  <c:v>127.41129032258046</c:v>
                </c:pt>
                <c:pt idx="302">
                  <c:v>128.41419354838689</c:v>
                </c:pt>
                <c:pt idx="303">
                  <c:v>129.41709677419334</c:v>
                </c:pt>
                <c:pt idx="304">
                  <c:v>130.41999999999999</c:v>
                </c:pt>
                <c:pt idx="305">
                  <c:v>130.77266666666668</c:v>
                </c:pt>
                <c:pt idx="306">
                  <c:v>131.12533333333334</c:v>
                </c:pt>
                <c:pt idx="307">
                  <c:v>131.47800000000001</c:v>
                </c:pt>
                <c:pt idx="308">
                  <c:v>131.83066666666667</c:v>
                </c:pt>
                <c:pt idx="309">
                  <c:v>132.18333333333337</c:v>
                </c:pt>
                <c:pt idx="310">
                  <c:v>132.53600000000003</c:v>
                </c:pt>
                <c:pt idx="311">
                  <c:v>132.88866666666669</c:v>
                </c:pt>
                <c:pt idx="312">
                  <c:v>133.24133333333339</c:v>
                </c:pt>
                <c:pt idx="313">
                  <c:v>133.59400000000005</c:v>
                </c:pt>
                <c:pt idx="314">
                  <c:v>133.94666666666672</c:v>
                </c:pt>
                <c:pt idx="315">
                  <c:v>134.29933333333338</c:v>
                </c:pt>
                <c:pt idx="316">
                  <c:v>134.65200000000004</c:v>
                </c:pt>
                <c:pt idx="317">
                  <c:v>135.00466666666668</c:v>
                </c:pt>
                <c:pt idx="318">
                  <c:v>135.35733333333334</c:v>
                </c:pt>
                <c:pt idx="319">
                  <c:v>135.71</c:v>
                </c:pt>
                <c:pt idx="320">
                  <c:v>136.06266666666664</c:v>
                </c:pt>
                <c:pt idx="321">
                  <c:v>136.41533333333331</c:v>
                </c:pt>
                <c:pt idx="322">
                  <c:v>136.76799999999997</c:v>
                </c:pt>
                <c:pt idx="323">
                  <c:v>137.12066666666664</c:v>
                </c:pt>
                <c:pt idx="324">
                  <c:v>137.47333333333327</c:v>
                </c:pt>
                <c:pt idx="325">
                  <c:v>137.82599999999994</c:v>
                </c:pt>
                <c:pt idx="326">
                  <c:v>138.1786666666666</c:v>
                </c:pt>
                <c:pt idx="327">
                  <c:v>138.53133333333327</c:v>
                </c:pt>
                <c:pt idx="328">
                  <c:v>138.8839999999999</c:v>
                </c:pt>
                <c:pt idx="329">
                  <c:v>139.23666666666657</c:v>
                </c:pt>
                <c:pt idx="330">
                  <c:v>139.58933333333323</c:v>
                </c:pt>
                <c:pt idx="331">
                  <c:v>139.94199999999989</c:v>
                </c:pt>
                <c:pt idx="332">
                  <c:v>140.29466666666653</c:v>
                </c:pt>
                <c:pt idx="333">
                  <c:v>140.64733333333319</c:v>
                </c:pt>
                <c:pt idx="334">
                  <c:v>141</c:v>
                </c:pt>
                <c:pt idx="335">
                  <c:v>140.7483870967742</c:v>
                </c:pt>
                <c:pt idx="336">
                  <c:v>140.49677419354839</c:v>
                </c:pt>
                <c:pt idx="337">
                  <c:v>140.24516129032259</c:v>
                </c:pt>
                <c:pt idx="338">
                  <c:v>139.99354838709675</c:v>
                </c:pt>
                <c:pt idx="339">
                  <c:v>139.74193548387095</c:v>
                </c:pt>
                <c:pt idx="340">
                  <c:v>139.49032258064514</c:v>
                </c:pt>
                <c:pt idx="341">
                  <c:v>139.23870967741934</c:v>
                </c:pt>
                <c:pt idx="342">
                  <c:v>138.98709677419353</c:v>
                </c:pt>
                <c:pt idx="343">
                  <c:v>138.73548387096773</c:v>
                </c:pt>
                <c:pt idx="344">
                  <c:v>138.48387096774189</c:v>
                </c:pt>
                <c:pt idx="345">
                  <c:v>138.23225806451609</c:v>
                </c:pt>
                <c:pt idx="346">
                  <c:v>137.98064516129028</c:v>
                </c:pt>
                <c:pt idx="347">
                  <c:v>137.72903225806448</c:v>
                </c:pt>
                <c:pt idx="348">
                  <c:v>137.47741935483867</c:v>
                </c:pt>
                <c:pt idx="349">
                  <c:v>137.22580645161287</c:v>
                </c:pt>
                <c:pt idx="350">
                  <c:v>136.97419354838706</c:v>
                </c:pt>
                <c:pt idx="351">
                  <c:v>136.72258064516123</c:v>
                </c:pt>
                <c:pt idx="352">
                  <c:v>136.47096774193543</c:v>
                </c:pt>
                <c:pt idx="353">
                  <c:v>136.21935483870962</c:v>
                </c:pt>
                <c:pt idx="354">
                  <c:v>135.96774193548382</c:v>
                </c:pt>
                <c:pt idx="355">
                  <c:v>135.71612903225801</c:v>
                </c:pt>
                <c:pt idx="356">
                  <c:v>135.46451612903221</c:v>
                </c:pt>
                <c:pt idx="357">
                  <c:v>135.21290322580637</c:v>
                </c:pt>
                <c:pt idx="358">
                  <c:v>134.96129032258057</c:v>
                </c:pt>
                <c:pt idx="359">
                  <c:v>134.70967741935476</c:v>
                </c:pt>
                <c:pt idx="360">
                  <c:v>134.45806451612896</c:v>
                </c:pt>
                <c:pt idx="361">
                  <c:v>134.20645161290315</c:v>
                </c:pt>
                <c:pt idx="362">
                  <c:v>133.95483870967735</c:v>
                </c:pt>
                <c:pt idx="363">
                  <c:v>133.70322580645154</c:v>
                </c:pt>
                <c:pt idx="364">
                  <c:v>133.45161290322571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09EC-484F-AF03-5A46A104EBB7}"/>
            </c:ext>
          </c:extLst>
        </c:ser>
        <c:ser>
          <c:idx val="3"/>
          <c:order val="3"/>
          <c:tx>
            <c:strRef>
              <c:f>ROS!$W$11</c:f>
              <c:strCache>
                <c:ptCount val="1"/>
                <c:pt idx="0">
                  <c:v>LRC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val>
            <c:numRef>
              <c:f>ROS!$W$15:$W$379</c:f>
              <c:numCache>
                <c:formatCode>#,##0.00</c:formatCode>
                <c:ptCount val="365"/>
                <c:pt idx="0">
                  <c:v>38.909999999999997</c:v>
                </c:pt>
                <c:pt idx="1">
                  <c:v>38.881935483870969</c:v>
                </c:pt>
                <c:pt idx="2">
                  <c:v>38.853870967741933</c:v>
                </c:pt>
                <c:pt idx="3">
                  <c:v>38.825806451612905</c:v>
                </c:pt>
                <c:pt idx="4">
                  <c:v>38.79774193548387</c:v>
                </c:pt>
                <c:pt idx="5">
                  <c:v>38.769677419354842</c:v>
                </c:pt>
                <c:pt idx="6">
                  <c:v>38.741612903225807</c:v>
                </c:pt>
                <c:pt idx="7">
                  <c:v>38.713548387096779</c:v>
                </c:pt>
                <c:pt idx="8">
                  <c:v>38.685483870967744</c:v>
                </c:pt>
                <c:pt idx="9">
                  <c:v>38.657419354838716</c:v>
                </c:pt>
                <c:pt idx="10">
                  <c:v>38.629354838709681</c:v>
                </c:pt>
                <c:pt idx="11">
                  <c:v>38.601290322580653</c:v>
                </c:pt>
                <c:pt idx="12">
                  <c:v>38.573225806451617</c:v>
                </c:pt>
                <c:pt idx="13">
                  <c:v>38.545161290322589</c:v>
                </c:pt>
                <c:pt idx="14">
                  <c:v>38.517096774193554</c:v>
                </c:pt>
                <c:pt idx="15">
                  <c:v>38.489032258064526</c:v>
                </c:pt>
                <c:pt idx="16">
                  <c:v>38.460967741935491</c:v>
                </c:pt>
                <c:pt idx="17">
                  <c:v>38.432903225806463</c:v>
                </c:pt>
                <c:pt idx="18">
                  <c:v>38.404838709677428</c:v>
                </c:pt>
                <c:pt idx="19">
                  <c:v>38.3767741935484</c:v>
                </c:pt>
                <c:pt idx="20">
                  <c:v>38.348709677419365</c:v>
                </c:pt>
                <c:pt idx="21">
                  <c:v>38.320645161290329</c:v>
                </c:pt>
                <c:pt idx="22">
                  <c:v>38.292580645161301</c:v>
                </c:pt>
                <c:pt idx="23">
                  <c:v>38.264516129032266</c:v>
                </c:pt>
                <c:pt idx="24">
                  <c:v>38.236451612903238</c:v>
                </c:pt>
                <c:pt idx="25">
                  <c:v>38.208387096774203</c:v>
                </c:pt>
                <c:pt idx="26">
                  <c:v>38.180322580645175</c:v>
                </c:pt>
                <c:pt idx="27">
                  <c:v>38.15225806451614</c:v>
                </c:pt>
                <c:pt idx="28">
                  <c:v>38.124193548387112</c:v>
                </c:pt>
                <c:pt idx="29">
                  <c:v>38.096129032258077</c:v>
                </c:pt>
                <c:pt idx="30">
                  <c:v>38.068064516129049</c:v>
                </c:pt>
                <c:pt idx="31">
                  <c:v>38.04</c:v>
                </c:pt>
                <c:pt idx="32">
                  <c:v>37.86035714285714</c:v>
                </c:pt>
                <c:pt idx="33">
                  <c:v>37.680714285714281</c:v>
                </c:pt>
                <c:pt idx="34">
                  <c:v>37.501071428571429</c:v>
                </c:pt>
                <c:pt idx="35">
                  <c:v>37.321428571428569</c:v>
                </c:pt>
                <c:pt idx="36">
                  <c:v>37.14178571428571</c:v>
                </c:pt>
                <c:pt idx="37">
                  <c:v>36.962142857142851</c:v>
                </c:pt>
                <c:pt idx="38">
                  <c:v>36.782499999999992</c:v>
                </c:pt>
                <c:pt idx="39">
                  <c:v>36.602857142857133</c:v>
                </c:pt>
                <c:pt idx="40">
                  <c:v>36.423214285714273</c:v>
                </c:pt>
                <c:pt idx="41">
                  <c:v>36.243571428571421</c:v>
                </c:pt>
                <c:pt idx="42">
                  <c:v>36.063928571428562</c:v>
                </c:pt>
                <c:pt idx="43">
                  <c:v>35.884285714285703</c:v>
                </c:pt>
                <c:pt idx="44">
                  <c:v>35.704642857142844</c:v>
                </c:pt>
                <c:pt idx="45">
                  <c:v>35.524999999999984</c:v>
                </c:pt>
                <c:pt idx="46">
                  <c:v>35.345357142857125</c:v>
                </c:pt>
                <c:pt idx="47">
                  <c:v>35.165714285714266</c:v>
                </c:pt>
                <c:pt idx="48">
                  <c:v>34.986071428571414</c:v>
                </c:pt>
                <c:pt idx="49">
                  <c:v>34.806428571428555</c:v>
                </c:pt>
                <c:pt idx="50">
                  <c:v>34.626785714285695</c:v>
                </c:pt>
                <c:pt idx="51">
                  <c:v>34.447142857142836</c:v>
                </c:pt>
                <c:pt idx="52">
                  <c:v>34.267499999999977</c:v>
                </c:pt>
                <c:pt idx="53">
                  <c:v>34.087857142857118</c:v>
                </c:pt>
                <c:pt idx="54">
                  <c:v>33.908214285714259</c:v>
                </c:pt>
                <c:pt idx="55">
                  <c:v>33.728571428571406</c:v>
                </c:pt>
                <c:pt idx="56">
                  <c:v>33.548928571428547</c:v>
                </c:pt>
                <c:pt idx="57">
                  <c:v>33.369285714285688</c:v>
                </c:pt>
                <c:pt idx="58">
                  <c:v>33.189642857142829</c:v>
                </c:pt>
                <c:pt idx="59">
                  <c:v>33.01</c:v>
                </c:pt>
                <c:pt idx="60">
                  <c:v>32.86451612903226</c:v>
                </c:pt>
                <c:pt idx="61">
                  <c:v>32.719032258064516</c:v>
                </c:pt>
                <c:pt idx="62">
                  <c:v>32.573548387096771</c:v>
                </c:pt>
                <c:pt idx="63">
                  <c:v>32.428064516129034</c:v>
                </c:pt>
                <c:pt idx="64">
                  <c:v>32.282580645161289</c:v>
                </c:pt>
                <c:pt idx="65">
                  <c:v>32.137096774193544</c:v>
                </c:pt>
                <c:pt idx="66">
                  <c:v>31.991612903225807</c:v>
                </c:pt>
                <c:pt idx="67">
                  <c:v>31.846129032258062</c:v>
                </c:pt>
                <c:pt idx="68">
                  <c:v>31.700645161290321</c:v>
                </c:pt>
                <c:pt idx="69">
                  <c:v>31.55516129032258</c:v>
                </c:pt>
                <c:pt idx="70">
                  <c:v>31.409677419354839</c:v>
                </c:pt>
                <c:pt idx="71">
                  <c:v>31.264193548387095</c:v>
                </c:pt>
                <c:pt idx="72">
                  <c:v>31.118709677419353</c:v>
                </c:pt>
                <c:pt idx="73">
                  <c:v>30.973225806451612</c:v>
                </c:pt>
                <c:pt idx="74">
                  <c:v>30.827741935483868</c:v>
                </c:pt>
                <c:pt idx="75">
                  <c:v>30.682258064516127</c:v>
                </c:pt>
                <c:pt idx="76">
                  <c:v>30.536774193548386</c:v>
                </c:pt>
                <c:pt idx="77">
                  <c:v>30.391290322580645</c:v>
                </c:pt>
                <c:pt idx="78">
                  <c:v>30.2458064516129</c:v>
                </c:pt>
                <c:pt idx="79">
                  <c:v>30.100322580645159</c:v>
                </c:pt>
                <c:pt idx="80">
                  <c:v>29.954838709677418</c:v>
                </c:pt>
                <c:pt idx="81">
                  <c:v>29.809354838709673</c:v>
                </c:pt>
                <c:pt idx="82">
                  <c:v>29.663870967741932</c:v>
                </c:pt>
                <c:pt idx="83">
                  <c:v>29.518387096774191</c:v>
                </c:pt>
                <c:pt idx="84">
                  <c:v>29.37290322580645</c:v>
                </c:pt>
                <c:pt idx="85">
                  <c:v>29.227419354838705</c:v>
                </c:pt>
                <c:pt idx="86">
                  <c:v>29.081935483870964</c:v>
                </c:pt>
                <c:pt idx="87">
                  <c:v>28.936451612903223</c:v>
                </c:pt>
                <c:pt idx="88">
                  <c:v>28.790967741935482</c:v>
                </c:pt>
                <c:pt idx="89">
                  <c:v>28.645483870967738</c:v>
                </c:pt>
                <c:pt idx="90">
                  <c:v>28.5</c:v>
                </c:pt>
                <c:pt idx="91">
                  <c:v>28.486999999999998</c:v>
                </c:pt>
                <c:pt idx="92">
                  <c:v>28.474</c:v>
                </c:pt>
                <c:pt idx="93">
                  <c:v>28.460999999999999</c:v>
                </c:pt>
                <c:pt idx="94">
                  <c:v>28.448</c:v>
                </c:pt>
                <c:pt idx="95">
                  <c:v>28.434999999999999</c:v>
                </c:pt>
                <c:pt idx="96">
                  <c:v>28.422000000000001</c:v>
                </c:pt>
                <c:pt idx="97">
                  <c:v>28.408999999999999</c:v>
                </c:pt>
                <c:pt idx="98">
                  <c:v>28.396000000000001</c:v>
                </c:pt>
                <c:pt idx="99">
                  <c:v>28.382999999999999</c:v>
                </c:pt>
                <c:pt idx="100">
                  <c:v>28.37</c:v>
                </c:pt>
                <c:pt idx="101">
                  <c:v>28.356999999999999</c:v>
                </c:pt>
                <c:pt idx="102">
                  <c:v>28.344000000000001</c:v>
                </c:pt>
                <c:pt idx="103">
                  <c:v>28.331</c:v>
                </c:pt>
                <c:pt idx="104">
                  <c:v>28.318000000000001</c:v>
                </c:pt>
                <c:pt idx="105">
                  <c:v>28.305</c:v>
                </c:pt>
                <c:pt idx="106">
                  <c:v>28.292000000000002</c:v>
                </c:pt>
                <c:pt idx="107">
                  <c:v>28.279</c:v>
                </c:pt>
                <c:pt idx="108">
                  <c:v>28.265999999999998</c:v>
                </c:pt>
                <c:pt idx="109">
                  <c:v>28.253</c:v>
                </c:pt>
                <c:pt idx="110">
                  <c:v>28.24</c:v>
                </c:pt>
                <c:pt idx="111">
                  <c:v>28.227</c:v>
                </c:pt>
                <c:pt idx="112">
                  <c:v>28.213999999999999</c:v>
                </c:pt>
                <c:pt idx="113">
                  <c:v>28.201000000000001</c:v>
                </c:pt>
                <c:pt idx="114">
                  <c:v>28.187999999999999</c:v>
                </c:pt>
                <c:pt idx="115">
                  <c:v>28.175000000000001</c:v>
                </c:pt>
                <c:pt idx="116">
                  <c:v>28.161999999999999</c:v>
                </c:pt>
                <c:pt idx="117">
                  <c:v>28.149000000000001</c:v>
                </c:pt>
                <c:pt idx="118">
                  <c:v>28.135999999999999</c:v>
                </c:pt>
                <c:pt idx="119">
                  <c:v>28.123000000000001</c:v>
                </c:pt>
                <c:pt idx="120">
                  <c:v>28.11</c:v>
                </c:pt>
                <c:pt idx="121">
                  <c:v>28.085483870967742</c:v>
                </c:pt>
                <c:pt idx="122">
                  <c:v>28.060967741935485</c:v>
                </c:pt>
                <c:pt idx="123">
                  <c:v>28.036451612903225</c:v>
                </c:pt>
                <c:pt idx="124">
                  <c:v>28.011935483870968</c:v>
                </c:pt>
                <c:pt idx="125">
                  <c:v>27.98741935483871</c:v>
                </c:pt>
                <c:pt idx="126">
                  <c:v>27.962903225806453</c:v>
                </c:pt>
                <c:pt idx="127">
                  <c:v>27.938387096774193</c:v>
                </c:pt>
                <c:pt idx="128">
                  <c:v>27.913870967741936</c:v>
                </c:pt>
                <c:pt idx="129">
                  <c:v>27.889354838709679</c:v>
                </c:pt>
                <c:pt idx="130">
                  <c:v>27.864838709677421</c:v>
                </c:pt>
                <c:pt idx="131">
                  <c:v>27.840322580645161</c:v>
                </c:pt>
                <c:pt idx="132">
                  <c:v>27.815806451612904</c:v>
                </c:pt>
                <c:pt idx="133">
                  <c:v>27.791290322580647</c:v>
                </c:pt>
                <c:pt idx="134">
                  <c:v>27.76677419354839</c:v>
                </c:pt>
                <c:pt idx="135">
                  <c:v>27.742258064516133</c:v>
                </c:pt>
                <c:pt idx="136">
                  <c:v>27.717741935483872</c:v>
                </c:pt>
                <c:pt idx="137">
                  <c:v>27.693225806451615</c:v>
                </c:pt>
                <c:pt idx="138">
                  <c:v>27.668709677419358</c:v>
                </c:pt>
                <c:pt idx="139">
                  <c:v>27.644193548387101</c:v>
                </c:pt>
                <c:pt idx="140">
                  <c:v>27.61967741935484</c:v>
                </c:pt>
                <c:pt idx="141">
                  <c:v>27.595161290322583</c:v>
                </c:pt>
                <c:pt idx="142">
                  <c:v>27.570645161290326</c:v>
                </c:pt>
                <c:pt idx="143">
                  <c:v>27.546129032258069</c:v>
                </c:pt>
                <c:pt idx="144">
                  <c:v>27.521612903225808</c:v>
                </c:pt>
                <c:pt idx="145">
                  <c:v>27.497096774193551</c:v>
                </c:pt>
                <c:pt idx="146">
                  <c:v>27.472580645161294</c:v>
                </c:pt>
                <c:pt idx="147">
                  <c:v>27.448064516129037</c:v>
                </c:pt>
                <c:pt idx="148">
                  <c:v>27.423548387096776</c:v>
                </c:pt>
                <c:pt idx="149">
                  <c:v>27.399032258064519</c:v>
                </c:pt>
                <c:pt idx="150">
                  <c:v>27.374516129032262</c:v>
                </c:pt>
                <c:pt idx="151">
                  <c:v>27.35</c:v>
                </c:pt>
                <c:pt idx="152">
                  <c:v>27.338333333333331</c:v>
                </c:pt>
                <c:pt idx="153">
                  <c:v>27.326666666666664</c:v>
                </c:pt>
                <c:pt idx="154">
                  <c:v>27.314999999999998</c:v>
                </c:pt>
                <c:pt idx="155">
                  <c:v>27.303333333333327</c:v>
                </c:pt>
                <c:pt idx="156">
                  <c:v>27.291666666666661</c:v>
                </c:pt>
                <c:pt idx="157">
                  <c:v>27.279999999999994</c:v>
                </c:pt>
                <c:pt idx="158">
                  <c:v>27.268333333333324</c:v>
                </c:pt>
                <c:pt idx="159">
                  <c:v>27.256666666666657</c:v>
                </c:pt>
                <c:pt idx="160">
                  <c:v>27.24499999999999</c:v>
                </c:pt>
                <c:pt idx="161">
                  <c:v>27.23333333333332</c:v>
                </c:pt>
                <c:pt idx="162">
                  <c:v>27.221666666666653</c:v>
                </c:pt>
                <c:pt idx="163">
                  <c:v>27.209999999999987</c:v>
                </c:pt>
                <c:pt idx="164">
                  <c:v>27.198333333333316</c:v>
                </c:pt>
                <c:pt idx="165">
                  <c:v>27.18666666666665</c:v>
                </c:pt>
                <c:pt idx="166">
                  <c:v>27.174999999999983</c:v>
                </c:pt>
                <c:pt idx="167">
                  <c:v>27.163333333333313</c:v>
                </c:pt>
                <c:pt idx="168">
                  <c:v>27.151666666666646</c:v>
                </c:pt>
                <c:pt idx="169">
                  <c:v>27.139999999999979</c:v>
                </c:pt>
                <c:pt idx="170">
                  <c:v>27.128333333333309</c:v>
                </c:pt>
                <c:pt idx="171">
                  <c:v>27.116666666666642</c:v>
                </c:pt>
                <c:pt idx="172">
                  <c:v>27.104999999999976</c:v>
                </c:pt>
                <c:pt idx="173">
                  <c:v>27.093333333333305</c:v>
                </c:pt>
                <c:pt idx="174">
                  <c:v>27.081666666666639</c:v>
                </c:pt>
                <c:pt idx="175">
                  <c:v>27.069999999999972</c:v>
                </c:pt>
                <c:pt idx="176">
                  <c:v>27.058333333333302</c:v>
                </c:pt>
                <c:pt idx="177">
                  <c:v>27.046666666666635</c:v>
                </c:pt>
                <c:pt idx="178">
                  <c:v>27.034999999999968</c:v>
                </c:pt>
                <c:pt idx="179">
                  <c:v>27.023333333333298</c:v>
                </c:pt>
                <c:pt idx="180">
                  <c:v>27.011666666666631</c:v>
                </c:pt>
                <c:pt idx="181">
                  <c:v>27</c:v>
                </c:pt>
                <c:pt idx="182">
                  <c:v>27.010322580645163</c:v>
                </c:pt>
                <c:pt idx="183">
                  <c:v>27.020645161290325</c:v>
                </c:pt>
                <c:pt idx="184">
                  <c:v>27.030967741935488</c:v>
                </c:pt>
                <c:pt idx="185">
                  <c:v>27.04129032258065</c:v>
                </c:pt>
                <c:pt idx="186">
                  <c:v>27.051612903225813</c:v>
                </c:pt>
                <c:pt idx="187">
                  <c:v>27.061935483870975</c:v>
                </c:pt>
                <c:pt idx="188">
                  <c:v>27.072258064516138</c:v>
                </c:pt>
                <c:pt idx="189">
                  <c:v>27.0825806451613</c:v>
                </c:pt>
                <c:pt idx="190">
                  <c:v>27.092903225806463</c:v>
                </c:pt>
                <c:pt idx="191">
                  <c:v>27.103225806451626</c:v>
                </c:pt>
                <c:pt idx="192">
                  <c:v>27.113548387096788</c:v>
                </c:pt>
                <c:pt idx="193">
                  <c:v>27.123870967741951</c:v>
                </c:pt>
                <c:pt idx="194">
                  <c:v>27.134193548387113</c:v>
                </c:pt>
                <c:pt idx="195">
                  <c:v>27.144516129032276</c:v>
                </c:pt>
                <c:pt idx="196">
                  <c:v>27.154838709677438</c:v>
                </c:pt>
                <c:pt idx="197">
                  <c:v>27.165161290322601</c:v>
                </c:pt>
                <c:pt idx="198">
                  <c:v>27.175483870967764</c:v>
                </c:pt>
                <c:pt idx="199">
                  <c:v>27.185806451612926</c:v>
                </c:pt>
                <c:pt idx="200">
                  <c:v>27.196129032258089</c:v>
                </c:pt>
                <c:pt idx="201">
                  <c:v>27.206451612903251</c:v>
                </c:pt>
                <c:pt idx="202">
                  <c:v>27.216774193548414</c:v>
                </c:pt>
                <c:pt idx="203">
                  <c:v>27.227096774193576</c:v>
                </c:pt>
                <c:pt idx="204">
                  <c:v>27.237419354838739</c:v>
                </c:pt>
                <c:pt idx="205">
                  <c:v>27.247741935483901</c:v>
                </c:pt>
                <c:pt idx="206">
                  <c:v>27.258064516129064</c:v>
                </c:pt>
                <c:pt idx="207">
                  <c:v>27.268387096774227</c:v>
                </c:pt>
                <c:pt idx="208">
                  <c:v>27.278709677419389</c:v>
                </c:pt>
                <c:pt idx="209">
                  <c:v>27.289032258064552</c:v>
                </c:pt>
                <c:pt idx="210">
                  <c:v>27.299354838709714</c:v>
                </c:pt>
                <c:pt idx="211">
                  <c:v>27.309677419354877</c:v>
                </c:pt>
                <c:pt idx="212">
                  <c:v>27.32</c:v>
                </c:pt>
                <c:pt idx="213">
                  <c:v>27.398387096774194</c:v>
                </c:pt>
                <c:pt idx="214">
                  <c:v>27.47677419354839</c:v>
                </c:pt>
                <c:pt idx="215">
                  <c:v>27.555161290322584</c:v>
                </c:pt>
                <c:pt idx="216">
                  <c:v>27.633548387096777</c:v>
                </c:pt>
                <c:pt idx="217">
                  <c:v>27.71193548387097</c:v>
                </c:pt>
                <c:pt idx="218">
                  <c:v>27.790322580645167</c:v>
                </c:pt>
                <c:pt idx="219">
                  <c:v>27.868709677419361</c:v>
                </c:pt>
                <c:pt idx="220">
                  <c:v>27.947096774193554</c:v>
                </c:pt>
                <c:pt idx="221">
                  <c:v>28.025483870967751</c:v>
                </c:pt>
                <c:pt idx="222">
                  <c:v>28.103870967741944</c:v>
                </c:pt>
                <c:pt idx="223">
                  <c:v>28.182258064516137</c:v>
                </c:pt>
                <c:pt idx="224">
                  <c:v>28.260645161290334</c:v>
                </c:pt>
                <c:pt idx="225">
                  <c:v>28.339032258064528</c:v>
                </c:pt>
                <c:pt idx="226">
                  <c:v>28.417419354838721</c:v>
                </c:pt>
                <c:pt idx="227">
                  <c:v>28.495806451612914</c:v>
                </c:pt>
                <c:pt idx="228">
                  <c:v>28.574193548387111</c:v>
                </c:pt>
                <c:pt idx="229">
                  <c:v>28.652580645161304</c:v>
                </c:pt>
                <c:pt idx="230">
                  <c:v>28.730967741935498</c:v>
                </c:pt>
                <c:pt idx="231">
                  <c:v>28.809354838709694</c:v>
                </c:pt>
                <c:pt idx="232">
                  <c:v>28.887741935483888</c:v>
                </c:pt>
                <c:pt idx="233">
                  <c:v>28.966129032258081</c:v>
                </c:pt>
                <c:pt idx="234">
                  <c:v>29.044516129032278</c:v>
                </c:pt>
                <c:pt idx="235">
                  <c:v>29.122903225806471</c:v>
                </c:pt>
                <c:pt idx="236">
                  <c:v>29.201290322580665</c:v>
                </c:pt>
                <c:pt idx="237">
                  <c:v>29.279677419354861</c:v>
                </c:pt>
                <c:pt idx="238">
                  <c:v>29.358064516129055</c:v>
                </c:pt>
                <c:pt idx="239">
                  <c:v>29.436451612903248</c:v>
                </c:pt>
                <c:pt idx="240">
                  <c:v>29.514838709677441</c:v>
                </c:pt>
                <c:pt idx="241">
                  <c:v>29.593225806451638</c:v>
                </c:pt>
                <c:pt idx="242">
                  <c:v>29.671612903225832</c:v>
                </c:pt>
                <c:pt idx="243">
                  <c:v>29.75</c:v>
                </c:pt>
                <c:pt idx="244">
                  <c:v>29.925000000000001</c:v>
                </c:pt>
                <c:pt idx="245">
                  <c:v>30.1</c:v>
                </c:pt>
                <c:pt idx="246">
                  <c:v>30.274999999999999</c:v>
                </c:pt>
                <c:pt idx="247">
                  <c:v>30.45</c:v>
                </c:pt>
                <c:pt idx="248">
                  <c:v>30.625</c:v>
                </c:pt>
                <c:pt idx="249">
                  <c:v>30.8</c:v>
                </c:pt>
                <c:pt idx="250">
                  <c:v>30.975000000000001</c:v>
                </c:pt>
                <c:pt idx="251">
                  <c:v>31.15</c:v>
                </c:pt>
                <c:pt idx="252">
                  <c:v>31.324999999999999</c:v>
                </c:pt>
                <c:pt idx="253">
                  <c:v>31.5</c:v>
                </c:pt>
                <c:pt idx="254">
                  <c:v>31.675000000000001</c:v>
                </c:pt>
                <c:pt idx="255">
                  <c:v>31.85</c:v>
                </c:pt>
                <c:pt idx="256">
                  <c:v>32.024999999999999</c:v>
                </c:pt>
                <c:pt idx="257">
                  <c:v>32.200000000000003</c:v>
                </c:pt>
                <c:pt idx="258">
                  <c:v>32.375</c:v>
                </c:pt>
                <c:pt idx="259">
                  <c:v>32.549999999999997</c:v>
                </c:pt>
                <c:pt idx="260">
                  <c:v>32.725000000000001</c:v>
                </c:pt>
                <c:pt idx="261">
                  <c:v>32.9</c:v>
                </c:pt>
                <c:pt idx="262">
                  <c:v>33.075000000000003</c:v>
                </c:pt>
                <c:pt idx="263">
                  <c:v>33.25</c:v>
                </c:pt>
                <c:pt idx="264">
                  <c:v>33.424999999999997</c:v>
                </c:pt>
                <c:pt idx="265">
                  <c:v>33.6</c:v>
                </c:pt>
                <c:pt idx="266">
                  <c:v>33.774999999999999</c:v>
                </c:pt>
                <c:pt idx="267">
                  <c:v>33.950000000000003</c:v>
                </c:pt>
                <c:pt idx="268">
                  <c:v>34.125</c:v>
                </c:pt>
                <c:pt idx="269">
                  <c:v>34.299999999999997</c:v>
                </c:pt>
                <c:pt idx="270">
                  <c:v>34.475000000000001</c:v>
                </c:pt>
                <c:pt idx="271">
                  <c:v>34.65</c:v>
                </c:pt>
                <c:pt idx="272">
                  <c:v>34.825000000000003</c:v>
                </c:pt>
                <c:pt idx="273">
                  <c:v>35</c:v>
                </c:pt>
                <c:pt idx="274">
                  <c:v>35.096774193548391</c:v>
                </c:pt>
                <c:pt idx="275">
                  <c:v>35.193548387096776</c:v>
                </c:pt>
                <c:pt idx="276">
                  <c:v>35.290322580645167</c:v>
                </c:pt>
                <c:pt idx="277">
                  <c:v>35.387096774193552</c:v>
                </c:pt>
                <c:pt idx="278">
                  <c:v>35.483870967741943</c:v>
                </c:pt>
                <c:pt idx="279">
                  <c:v>35.580645161290334</c:v>
                </c:pt>
                <c:pt idx="280">
                  <c:v>35.677419354838719</c:v>
                </c:pt>
                <c:pt idx="281">
                  <c:v>35.77419354838711</c:v>
                </c:pt>
                <c:pt idx="282">
                  <c:v>35.870967741935502</c:v>
                </c:pt>
                <c:pt idx="283">
                  <c:v>35.967741935483886</c:v>
                </c:pt>
                <c:pt idx="284">
                  <c:v>36.064516129032278</c:v>
                </c:pt>
                <c:pt idx="285">
                  <c:v>36.161290322580662</c:v>
                </c:pt>
                <c:pt idx="286">
                  <c:v>36.258064516129053</c:v>
                </c:pt>
                <c:pt idx="287">
                  <c:v>36.354838709677445</c:v>
                </c:pt>
                <c:pt idx="288">
                  <c:v>36.451612903225829</c:v>
                </c:pt>
                <c:pt idx="289">
                  <c:v>36.548387096774221</c:v>
                </c:pt>
                <c:pt idx="290">
                  <c:v>36.645161290322612</c:v>
                </c:pt>
                <c:pt idx="291">
                  <c:v>36.741935483870996</c:v>
                </c:pt>
                <c:pt idx="292">
                  <c:v>36.838709677419388</c:v>
                </c:pt>
                <c:pt idx="293">
                  <c:v>36.935483870967772</c:v>
                </c:pt>
                <c:pt idx="294">
                  <c:v>37.032258064516164</c:v>
                </c:pt>
                <c:pt idx="295">
                  <c:v>37.129032258064555</c:v>
                </c:pt>
                <c:pt idx="296">
                  <c:v>37.225806451612939</c:v>
                </c:pt>
                <c:pt idx="297">
                  <c:v>37.322580645161331</c:v>
                </c:pt>
                <c:pt idx="298">
                  <c:v>37.419354838709722</c:v>
                </c:pt>
                <c:pt idx="299">
                  <c:v>37.516129032258107</c:v>
                </c:pt>
                <c:pt idx="300">
                  <c:v>37.612903225806498</c:v>
                </c:pt>
                <c:pt idx="301">
                  <c:v>37.709677419354882</c:v>
                </c:pt>
                <c:pt idx="302">
                  <c:v>37.806451612903274</c:v>
                </c:pt>
                <c:pt idx="303">
                  <c:v>37.903225806451665</c:v>
                </c:pt>
                <c:pt idx="304">
                  <c:v>38</c:v>
                </c:pt>
                <c:pt idx="305">
                  <c:v>38.066666666666663</c:v>
                </c:pt>
                <c:pt idx="306">
                  <c:v>38.133333333333326</c:v>
                </c:pt>
                <c:pt idx="307">
                  <c:v>38.199999999999996</c:v>
                </c:pt>
                <c:pt idx="308">
                  <c:v>38.266666666666659</c:v>
                </c:pt>
                <c:pt idx="309">
                  <c:v>38.333333333333321</c:v>
                </c:pt>
                <c:pt idx="310">
                  <c:v>38.399999999999984</c:v>
                </c:pt>
                <c:pt idx="311">
                  <c:v>38.466666666666647</c:v>
                </c:pt>
                <c:pt idx="312">
                  <c:v>38.53333333333331</c:v>
                </c:pt>
                <c:pt idx="313">
                  <c:v>38.59999999999998</c:v>
                </c:pt>
                <c:pt idx="314">
                  <c:v>38.666666666666643</c:v>
                </c:pt>
                <c:pt idx="315">
                  <c:v>38.733333333333306</c:v>
                </c:pt>
                <c:pt idx="316">
                  <c:v>38.799999999999969</c:v>
                </c:pt>
                <c:pt idx="317">
                  <c:v>38.866666666666632</c:v>
                </c:pt>
                <c:pt idx="318">
                  <c:v>38.933333333333302</c:v>
                </c:pt>
                <c:pt idx="319">
                  <c:v>38.999999999999964</c:v>
                </c:pt>
                <c:pt idx="320">
                  <c:v>39.066666666666627</c:v>
                </c:pt>
                <c:pt idx="321">
                  <c:v>39.13333333333329</c:v>
                </c:pt>
                <c:pt idx="322">
                  <c:v>39.199999999999953</c:v>
                </c:pt>
                <c:pt idx="323">
                  <c:v>39.266666666666616</c:v>
                </c:pt>
                <c:pt idx="324">
                  <c:v>39.333333333333286</c:v>
                </c:pt>
                <c:pt idx="325">
                  <c:v>39.399999999999949</c:v>
                </c:pt>
                <c:pt idx="326">
                  <c:v>39.466666666666612</c:v>
                </c:pt>
                <c:pt idx="327">
                  <c:v>39.533333333333275</c:v>
                </c:pt>
                <c:pt idx="328">
                  <c:v>39.599999999999937</c:v>
                </c:pt>
                <c:pt idx="329">
                  <c:v>39.666666666666607</c:v>
                </c:pt>
                <c:pt idx="330">
                  <c:v>39.73333333333327</c:v>
                </c:pt>
                <c:pt idx="331">
                  <c:v>39.799999999999933</c:v>
                </c:pt>
                <c:pt idx="332">
                  <c:v>39.866666666666596</c:v>
                </c:pt>
                <c:pt idx="333">
                  <c:v>39.933333333333259</c:v>
                </c:pt>
                <c:pt idx="334">
                  <c:v>40</c:v>
                </c:pt>
                <c:pt idx="335">
                  <c:v>39.964838709677423</c:v>
                </c:pt>
                <c:pt idx="336">
                  <c:v>39.929677419354839</c:v>
                </c:pt>
                <c:pt idx="337">
                  <c:v>39.894516129032262</c:v>
                </c:pt>
                <c:pt idx="338">
                  <c:v>39.859354838709685</c:v>
                </c:pt>
                <c:pt idx="339">
                  <c:v>39.8241935483871</c:v>
                </c:pt>
                <c:pt idx="340">
                  <c:v>39.789032258064523</c:v>
                </c:pt>
                <c:pt idx="341">
                  <c:v>39.753870967741946</c:v>
                </c:pt>
                <c:pt idx="342">
                  <c:v>39.718709677419362</c:v>
                </c:pt>
                <c:pt idx="343">
                  <c:v>39.683548387096785</c:v>
                </c:pt>
                <c:pt idx="344">
                  <c:v>39.648387096774208</c:v>
                </c:pt>
                <c:pt idx="345">
                  <c:v>39.613225806451624</c:v>
                </c:pt>
                <c:pt idx="346">
                  <c:v>39.578064516129047</c:v>
                </c:pt>
                <c:pt idx="347">
                  <c:v>39.542903225806469</c:v>
                </c:pt>
                <c:pt idx="348">
                  <c:v>39.507741935483885</c:v>
                </c:pt>
                <c:pt idx="349">
                  <c:v>39.472580645161308</c:v>
                </c:pt>
                <c:pt idx="350">
                  <c:v>39.437419354838731</c:v>
                </c:pt>
                <c:pt idx="351">
                  <c:v>39.402258064516147</c:v>
                </c:pt>
                <c:pt idx="352">
                  <c:v>39.36709677419357</c:v>
                </c:pt>
                <c:pt idx="353">
                  <c:v>39.331935483870993</c:v>
                </c:pt>
                <c:pt idx="354">
                  <c:v>39.296774193548409</c:v>
                </c:pt>
                <c:pt idx="355">
                  <c:v>39.261612903225831</c:v>
                </c:pt>
                <c:pt idx="356">
                  <c:v>39.226451612903254</c:v>
                </c:pt>
                <c:pt idx="357">
                  <c:v>39.19129032258067</c:v>
                </c:pt>
                <c:pt idx="358">
                  <c:v>39.156129032258093</c:v>
                </c:pt>
                <c:pt idx="359">
                  <c:v>39.120967741935516</c:v>
                </c:pt>
                <c:pt idx="360">
                  <c:v>39.085806451612932</c:v>
                </c:pt>
                <c:pt idx="361">
                  <c:v>39.050645161290355</c:v>
                </c:pt>
                <c:pt idx="362">
                  <c:v>39.015483870967778</c:v>
                </c:pt>
                <c:pt idx="363">
                  <c:v>38.980322580645193</c:v>
                </c:pt>
                <c:pt idx="364">
                  <c:v>38.945161290322616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09EC-484F-AF03-5A46A104EBB7}"/>
            </c:ext>
          </c:extLst>
        </c:ser>
        <c:ser>
          <c:idx val="4"/>
          <c:order val="4"/>
          <c:tx>
            <c:strRef>
              <c:f>ROS!$V$11</c:f>
              <c:strCache>
                <c:ptCount val="1"/>
                <c:pt idx="0">
                  <c:v>ความจุต่ำสุด</c:v>
                </c:pt>
              </c:strCache>
            </c:strRef>
          </c:tx>
          <c:spPr>
            <a:ln w="19050">
              <a:solidFill>
                <a:srgbClr val="00B050"/>
              </a:solidFill>
              <a:prstDash val="solid"/>
            </a:ln>
          </c:spPr>
          <c:marker>
            <c:symbol val="none"/>
          </c:marker>
          <c:val>
            <c:numRef>
              <c:f>ROS!$V$15:$V$379</c:f>
              <c:numCache>
                <c:formatCode>#,##0.00</c:formatCode>
                <c:ptCount val="36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9EC-484F-AF03-5A46A104E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4517456"/>
        <c:axId val="1"/>
      </c:lineChart>
      <c:dateAx>
        <c:axId val="111451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เดือน</a:t>
                </a:r>
              </a:p>
            </c:rich>
          </c:tx>
          <c:layout>
            <c:manualLayout>
              <c:xMode val="edge"/>
              <c:yMode val="edge"/>
              <c:x val="0.53919771222627022"/>
              <c:y val="0.92581733734896055"/>
            </c:manualLayout>
          </c:layout>
          <c:overlay val="0"/>
          <c:spPr>
            <a:noFill/>
            <a:ln w="25400">
              <a:noFill/>
            </a:ln>
          </c:spPr>
        </c:title>
        <c:numFmt formatCode="ดดด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ปริมาณน้ำ (ล้าน ลบ.ม.)</a:t>
                </a:r>
              </a:p>
            </c:rich>
          </c:tx>
          <c:layout>
            <c:manualLayout>
              <c:xMode val="edge"/>
              <c:yMode val="edge"/>
              <c:x val="9.4517569632154193E-3"/>
              <c:y val="0.358810491430506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114517456"/>
        <c:crosses val="autoZero"/>
        <c:crossBetween val="between"/>
        <c:majorUnit val="20"/>
        <c:minorUnit val="10"/>
      </c:valAx>
    </c:plotArea>
    <c:legend>
      <c:legendPos val="r"/>
      <c:layout>
        <c:manualLayout>
          <c:xMode val="edge"/>
          <c:yMode val="edge"/>
          <c:x val="0.14922532796414986"/>
          <c:y val="0.17761174438052441"/>
          <c:w val="0.75280837092362163"/>
          <c:h val="0.1042503717016121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TH"/>
    </a:p>
  </c:txPr>
  <c:printSettings>
    <c:headerFooter alignWithMargins="0"/>
    <c:pageMargins b="0.59055118110236227" l="0.55118110236220474" r="0.35433070866141736" t="0.78740157480314965" header="0.51181102362204722" footer="0.51181102362204722"/>
    <c:pageSetup paperSize="9" orientation="landscape" draft="1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th-TH"/>
              <a:t>กราฟแสดงความสัมพันธ์ ระดับน้ำ-ปริมาตรน้ำ-พื้นที่ผิวน้ำ</a:t>
            </a:r>
          </a:p>
        </c:rich>
      </c:tx>
      <c:layout>
        <c:manualLayout>
          <c:xMode val="edge"/>
          <c:yMode val="edge"/>
          <c:x val="0.15607996500437446"/>
          <c:y val="4.0201224846894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70933326166992"/>
          <c:y val="0.27386934673366836"/>
          <c:w val="0.74532190302150803"/>
          <c:h val="0.5678391959798996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fill_data!$H$58</c:f>
              <c:strCache>
                <c:ptCount val="1"/>
                <c:pt idx="0">
                  <c:v>ปริมาตรน้ำ (ล้าน ลบ.ม.)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plus"/>
            <c:size val="3"/>
            <c:spPr>
              <a:solidFill>
                <a:srgbClr val="00008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fill_data!$H$59:$H$423</c:f>
              <c:numCache>
                <c:formatCode>0.00</c:formatCode>
                <c:ptCount val="365"/>
                <c:pt idx="0">
                  <c:v>0</c:v>
                </c:pt>
                <c:pt idx="1">
                  <c:v>8.0752740160097342E-2</c:v>
                </c:pt>
                <c:pt idx="2">
                  <c:v>0.35738599999923715</c:v>
                </c:pt>
                <c:pt idx="3">
                  <c:v>0.85312323170946736</c:v>
                </c:pt>
                <c:pt idx="4">
                  <c:v>1.5816770148295287</c:v>
                </c:pt>
                <c:pt idx="5">
                  <c:v>2.5531539363647768</c:v>
                </c:pt>
                <c:pt idx="6">
                  <c:v>3.7756526736185627</c:v>
                </c:pt>
                <c:pt idx="7">
                  <c:v>5.2559733210831885</c:v>
                </c:pt>
                <c:pt idx="8">
                  <c:v>7.0000005015455313</c:v>
                </c:pt>
                <c:pt idx="9">
                  <c:v>9.0129356234864524</c:v>
                </c:pt>
                <c:pt idx="10">
                  <c:v>11.299449045224346</c:v>
                </c:pt>
                <c:pt idx="11">
                  <c:v>13.863785524176359</c:v>
                </c:pt>
                <c:pt idx="12">
                  <c:v>16.709840480200885</c:v>
                </c:pt>
                <c:pt idx="13">
                  <c:v>19.841217037490505</c:v>
                </c:pt>
                <c:pt idx="14">
                  <c:v>23.26126986656535</c:v>
                </c:pt>
                <c:pt idx="15">
                  <c:v>26.973139647365524</c:v>
                </c:pt>
                <c:pt idx="16">
                  <c:v>30.979780677240893</c:v>
                </c:pt>
                <c:pt idx="17">
                  <c:v>35.283983346935422</c:v>
                </c:pt>
                <c:pt idx="18">
                  <c:v>39.888392695397386</c:v>
                </c:pt>
                <c:pt idx="19">
                  <c:v>44.795523914532211</c:v>
                </c:pt>
                <c:pt idx="20">
                  <c:v>50.007775444787377</c:v>
                </c:pt>
                <c:pt idx="21">
                  <c:v>55.002220021480404</c:v>
                </c:pt>
                <c:pt idx="22">
                  <c:v>60.23548098275522</c:v>
                </c:pt>
                <c:pt idx="23">
                  <c:v>65.700645499485304</c:v>
                </c:pt>
                <c:pt idx="24">
                  <c:v>71.39723702521195</c:v>
                </c:pt>
                <c:pt idx="25">
                  <c:v>77.324800229098045</c:v>
                </c:pt>
                <c:pt idx="26">
                  <c:v>83.482899223254933</c:v>
                </c:pt>
                <c:pt idx="27">
                  <c:v>89.871116002162253</c:v>
                </c:pt>
                <c:pt idx="28">
                  <c:v>96.489049061414022</c:v>
                </c:pt>
                <c:pt idx="29">
                  <c:v>103.33631216974474</c:v>
                </c:pt>
                <c:pt idx="30">
                  <c:v>110.41253327217615</c:v>
                </c:pt>
                <c:pt idx="31">
                  <c:v>117.71735350668224</c:v>
                </c:pt>
                <c:pt idx="32">
                  <c:v>125.25042631888856</c:v>
                </c:pt>
                <c:pt idx="33">
                  <c:v>133.01141666263612</c:v>
                </c:pt>
                <c:pt idx="34">
                  <c:v>141.00000027528611</c:v>
                </c:pt>
                <c:pt idx="35">
                  <c:v>151.08068011037733</c:v>
                </c:pt>
                <c:pt idx="36">
                  <c:v>161.56744354864747</c:v>
                </c:pt>
                <c:pt idx="37">
                  <c:v>172.46468638619683</c:v>
                </c:pt>
                <c:pt idx="38">
                  <c:v>183.77673003907279</c:v>
                </c:pt>
                <c:pt idx="39">
                  <c:v>207.66215056475542</c:v>
                </c:pt>
                <c:pt idx="40">
                  <c:v>233.25689785511574</c:v>
                </c:pt>
                <c:pt idx="41">
                  <c:v>260.59315377424582</c:v>
                </c:pt>
                <c:pt idx="42">
                  <c:v>289.70216619769377</c:v>
                </c:pt>
                <c:pt idx="43">
                  <c:v>320.61431684820832</c:v>
                </c:pt>
                <c:pt idx="44">
                  <c:v>353.35918149767747</c:v>
                </c:pt>
                <c:pt idx="45">
                  <c:v>387.96558367409733</c:v>
                </c:pt>
              </c:numCache>
            </c:numRef>
          </c:xVal>
          <c:yVal>
            <c:numRef>
              <c:f>fill_data!$I$59:$I$423</c:f>
              <c:numCache>
                <c:formatCode>0.00</c:formatCode>
                <c:ptCount val="365"/>
                <c:pt idx="0">
                  <c:v>204</c:v>
                </c:pt>
                <c:pt idx="1">
                  <c:v>204.5</c:v>
                </c:pt>
                <c:pt idx="2">
                  <c:v>205</c:v>
                </c:pt>
                <c:pt idx="3">
                  <c:v>205.5</c:v>
                </c:pt>
                <c:pt idx="4">
                  <c:v>206</c:v>
                </c:pt>
                <c:pt idx="5">
                  <c:v>206.5</c:v>
                </c:pt>
                <c:pt idx="6">
                  <c:v>207</c:v>
                </c:pt>
                <c:pt idx="7">
                  <c:v>207.5</c:v>
                </c:pt>
                <c:pt idx="8">
                  <c:v>208</c:v>
                </c:pt>
                <c:pt idx="9">
                  <c:v>208.5</c:v>
                </c:pt>
                <c:pt idx="10">
                  <c:v>209</c:v>
                </c:pt>
                <c:pt idx="11">
                  <c:v>209.5</c:v>
                </c:pt>
                <c:pt idx="12">
                  <c:v>210</c:v>
                </c:pt>
                <c:pt idx="13">
                  <c:v>210.5</c:v>
                </c:pt>
                <c:pt idx="14">
                  <c:v>211</c:v>
                </c:pt>
                <c:pt idx="15">
                  <c:v>211.5</c:v>
                </c:pt>
                <c:pt idx="16">
                  <c:v>212</c:v>
                </c:pt>
                <c:pt idx="17">
                  <c:v>212.5</c:v>
                </c:pt>
                <c:pt idx="18">
                  <c:v>213</c:v>
                </c:pt>
                <c:pt idx="19">
                  <c:v>213.5</c:v>
                </c:pt>
                <c:pt idx="20">
                  <c:v>214</c:v>
                </c:pt>
                <c:pt idx="21">
                  <c:v>214.5</c:v>
                </c:pt>
                <c:pt idx="22">
                  <c:v>215</c:v>
                </c:pt>
                <c:pt idx="23">
                  <c:v>215.5</c:v>
                </c:pt>
                <c:pt idx="24">
                  <c:v>216</c:v>
                </c:pt>
                <c:pt idx="25">
                  <c:v>216.5</c:v>
                </c:pt>
                <c:pt idx="26">
                  <c:v>217</c:v>
                </c:pt>
                <c:pt idx="27">
                  <c:v>217.5</c:v>
                </c:pt>
                <c:pt idx="28">
                  <c:v>218</c:v>
                </c:pt>
                <c:pt idx="29">
                  <c:v>218.5</c:v>
                </c:pt>
                <c:pt idx="30">
                  <c:v>219</c:v>
                </c:pt>
                <c:pt idx="31">
                  <c:v>219.5</c:v>
                </c:pt>
                <c:pt idx="32">
                  <c:v>220</c:v>
                </c:pt>
                <c:pt idx="33">
                  <c:v>220.5</c:v>
                </c:pt>
                <c:pt idx="34">
                  <c:v>221</c:v>
                </c:pt>
                <c:pt idx="35">
                  <c:v>221.5</c:v>
                </c:pt>
                <c:pt idx="36">
                  <c:v>222</c:v>
                </c:pt>
                <c:pt idx="37">
                  <c:v>222.5</c:v>
                </c:pt>
                <c:pt idx="38">
                  <c:v>223</c:v>
                </c:pt>
                <c:pt idx="39">
                  <c:v>224</c:v>
                </c:pt>
                <c:pt idx="40">
                  <c:v>225</c:v>
                </c:pt>
                <c:pt idx="41">
                  <c:v>226</c:v>
                </c:pt>
                <c:pt idx="42">
                  <c:v>227</c:v>
                </c:pt>
                <c:pt idx="43">
                  <c:v>228</c:v>
                </c:pt>
                <c:pt idx="44">
                  <c:v>229</c:v>
                </c:pt>
                <c:pt idx="45">
                  <c:v>230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17-6240-BB3A-3681EEDDB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946527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fill_data!$J$58</c:f>
              <c:strCache>
                <c:ptCount val="1"/>
                <c:pt idx="0">
                  <c:v>พื้นที่ผิวน้ำ (ตร.กม.)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fill_data!$J$59:$J$423</c:f>
              <c:numCache>
                <c:formatCode>0.000</c:formatCode>
                <c:ptCount val="365"/>
                <c:pt idx="0">
                  <c:v>0</c:v>
                </c:pt>
                <c:pt idx="1">
                  <c:v>0.31975949999999997</c:v>
                </c:pt>
                <c:pt idx="2">
                  <c:v>0.63951899999936379</c:v>
                </c:pt>
                <c:pt idx="3">
                  <c:v>0.95927849999936377</c:v>
                </c:pt>
                <c:pt idx="4">
                  <c:v>1.2790379999987276</c:v>
                </c:pt>
                <c:pt idx="5">
                  <c:v>1.7364312348104838</c:v>
                </c:pt>
                <c:pt idx="6">
                  <c:v>2.2693468779626267</c:v>
                </c:pt>
                <c:pt idx="7">
                  <c:v>2.8456611850827715</c:v>
                </c:pt>
                <c:pt idx="8">
                  <c:v>3.4619372821350396</c:v>
                </c:pt>
                <c:pt idx="9">
                  <c:v>4.1154229466453183</c:v>
                </c:pt>
                <c:pt idx="10">
                  <c:v>4.8038505839775727</c:v>
                </c:pt>
                <c:pt idx="11">
                  <c:v>5.525310449276235</c:v>
                </c:pt>
                <c:pt idx="12">
                  <c:v>6.278165876314854</c:v>
                </c:pt>
                <c:pt idx="13" formatCode="0.00">
                  <c:v>6.905854365911023</c:v>
                </c:pt>
                <c:pt idx="14" formatCode="0.00">
                  <c:v>7.3916181700940342</c:v>
                </c:pt>
                <c:pt idx="15" formatCode="0.00">
                  <c:v>7.8745174586413009</c:v>
                </c:pt>
                <c:pt idx="16" formatCode="0.00">
                  <c:v>8.3547587449605345</c:v>
                </c:pt>
                <c:pt idx="17" formatCode="0.00">
                  <c:v>8.8325216745723871</c:v>
                </c:pt>
                <c:pt idx="18" formatCode="0.00">
                  <c:v>9.3079638975458607</c:v>
                </c:pt>
                <c:pt idx="19" formatCode="0.00">
                  <c:v>9.6408831534309023</c:v>
                </c:pt>
                <c:pt idx="20" formatCode="0.00">
                  <c:v>9.9676898340542817</c:v>
                </c:pt>
                <c:pt idx="21" formatCode="0.00">
                  <c:v>10.288822981096002</c:v>
                </c:pt>
                <c:pt idx="22" formatCode="0.00">
                  <c:v>10.604644600113206</c:v>
                </c:pt>
                <c:pt idx="23" formatCode="0.00">
                  <c:v>10.915478293616619</c:v>
                </c:pt>
                <c:pt idx="24" formatCode="0.00">
                  <c:v>11.359305245087301</c:v>
                </c:pt>
                <c:pt idx="25" formatCode="0.00">
                  <c:v>11.801939320616787</c:v>
                </c:pt>
                <c:pt idx="26" formatCode="0.00">
                  <c:v>12.243448845583828</c:v>
                </c:pt>
                <c:pt idx="27" formatCode="0.00">
                  <c:v>12.683879788711138</c:v>
                </c:pt>
                <c:pt idx="28" formatCode="0.00">
                  <c:v>13.1232746070409</c:v>
                </c:pt>
                <c:pt idx="29" formatCode="0.00">
                  <c:v>13.87083942378969</c:v>
                </c:pt>
                <c:pt idx="30" formatCode="0.00">
                  <c:v>14.633483389837492</c:v>
                </c:pt>
                <c:pt idx="31" formatCode="0.00">
                  <c:v>15.410985951065001</c:v>
                </c:pt>
                <c:pt idx="32" formatCode="0.00">
                  <c:v>16.203143249974545</c:v>
                </c:pt>
                <c:pt idx="33" formatCode="0.00">
                  <c:v>17.009760570410506</c:v>
                </c:pt>
                <c:pt idx="34" formatCode="0.00">
                  <c:v>18.337275715774634</c:v>
                </c:pt>
                <c:pt idx="35" formatCode="0.00">
                  <c:v>19.725478183866645</c:v>
                </c:pt>
                <c:pt idx="36" formatCode="0.00">
                  <c:v>21.175193746286297</c:v>
                </c:pt>
                <c:pt idx="37" formatCode="0.00">
                  <c:v>22.687325737711888</c:v>
                </c:pt>
                <c:pt idx="38" formatCode="0.00">
                  <c:v>23.699380445568501</c:v>
                </c:pt>
                <c:pt idx="39" formatCode="0.00">
                  <c:v>25.774905390185342</c:v>
                </c:pt>
                <c:pt idx="40" formatCode="0.00">
                  <c:v>27.531079845542877</c:v>
                </c:pt>
                <c:pt idx="41" formatCode="0.00">
                  <c:v>28.920555532023062</c:v>
                </c:pt>
                <c:pt idx="42" formatCode="0.00">
                  <c:v>30.313726162139616</c:v>
                </c:pt>
                <c:pt idx="43" formatCode="0.00">
                  <c:v>31.710440179003257</c:v>
                </c:pt>
                <c:pt idx="44" formatCode="0.00">
                  <c:v>33.11055831284267</c:v>
                </c:pt>
                <c:pt idx="45" formatCode="0.00">
                  <c:v>34.513952131890974</c:v>
                </c:pt>
              </c:numCache>
            </c:numRef>
          </c:xVal>
          <c:yVal>
            <c:numRef>
              <c:f>fill_data!$I$59:$I$423</c:f>
              <c:numCache>
                <c:formatCode>0.00</c:formatCode>
                <c:ptCount val="365"/>
                <c:pt idx="0">
                  <c:v>204</c:v>
                </c:pt>
                <c:pt idx="1">
                  <c:v>204.5</c:v>
                </c:pt>
                <c:pt idx="2">
                  <c:v>205</c:v>
                </c:pt>
                <c:pt idx="3">
                  <c:v>205.5</c:v>
                </c:pt>
                <c:pt idx="4">
                  <c:v>206</c:v>
                </c:pt>
                <c:pt idx="5">
                  <c:v>206.5</c:v>
                </c:pt>
                <c:pt idx="6">
                  <c:v>207</c:v>
                </c:pt>
                <c:pt idx="7">
                  <c:v>207.5</c:v>
                </c:pt>
                <c:pt idx="8">
                  <c:v>208</c:v>
                </c:pt>
                <c:pt idx="9">
                  <c:v>208.5</c:v>
                </c:pt>
                <c:pt idx="10">
                  <c:v>209</c:v>
                </c:pt>
                <c:pt idx="11">
                  <c:v>209.5</c:v>
                </c:pt>
                <c:pt idx="12">
                  <c:v>210</c:v>
                </c:pt>
                <c:pt idx="13">
                  <c:v>210.5</c:v>
                </c:pt>
                <c:pt idx="14">
                  <c:v>211</c:v>
                </c:pt>
                <c:pt idx="15">
                  <c:v>211.5</c:v>
                </c:pt>
                <c:pt idx="16">
                  <c:v>212</c:v>
                </c:pt>
                <c:pt idx="17">
                  <c:v>212.5</c:v>
                </c:pt>
                <c:pt idx="18">
                  <c:v>213</c:v>
                </c:pt>
                <c:pt idx="19">
                  <c:v>213.5</c:v>
                </c:pt>
                <c:pt idx="20">
                  <c:v>214</c:v>
                </c:pt>
                <c:pt idx="21">
                  <c:v>214.5</c:v>
                </c:pt>
                <c:pt idx="22">
                  <c:v>215</c:v>
                </c:pt>
                <c:pt idx="23">
                  <c:v>215.5</c:v>
                </c:pt>
                <c:pt idx="24">
                  <c:v>216</c:v>
                </c:pt>
                <c:pt idx="25">
                  <c:v>216.5</c:v>
                </c:pt>
                <c:pt idx="26">
                  <c:v>217</c:v>
                </c:pt>
                <c:pt idx="27">
                  <c:v>217.5</c:v>
                </c:pt>
                <c:pt idx="28">
                  <c:v>218</c:v>
                </c:pt>
                <c:pt idx="29">
                  <c:v>218.5</c:v>
                </c:pt>
                <c:pt idx="30">
                  <c:v>219</c:v>
                </c:pt>
                <c:pt idx="31">
                  <c:v>219.5</c:v>
                </c:pt>
                <c:pt idx="32">
                  <c:v>220</c:v>
                </c:pt>
                <c:pt idx="33">
                  <c:v>220.5</c:v>
                </c:pt>
                <c:pt idx="34">
                  <c:v>221</c:v>
                </c:pt>
                <c:pt idx="35">
                  <c:v>221.5</c:v>
                </c:pt>
                <c:pt idx="36">
                  <c:v>222</c:v>
                </c:pt>
                <c:pt idx="37">
                  <c:v>222.5</c:v>
                </c:pt>
                <c:pt idx="38">
                  <c:v>223</c:v>
                </c:pt>
                <c:pt idx="39">
                  <c:v>224</c:v>
                </c:pt>
                <c:pt idx="40">
                  <c:v>225</c:v>
                </c:pt>
                <c:pt idx="41">
                  <c:v>226</c:v>
                </c:pt>
                <c:pt idx="42">
                  <c:v>227</c:v>
                </c:pt>
                <c:pt idx="43">
                  <c:v>228</c:v>
                </c:pt>
                <c:pt idx="44">
                  <c:v>229</c:v>
                </c:pt>
                <c:pt idx="45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7-6240-BB3A-3681EEDDB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298946527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ปริมาตรน้ำ (ล้าน ลบ.ม.)</a:t>
                </a:r>
              </a:p>
            </c:rich>
          </c:tx>
          <c:layout>
            <c:manualLayout>
              <c:xMode val="edge"/>
              <c:yMode val="edge"/>
              <c:x val="0.39743219597550306"/>
              <c:y val="0.9095476212025220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"/>
        <c:crossesAt val="0"/>
        <c:crossBetween val="midCat"/>
      </c:val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99CC00"/>
              </a:solidFill>
              <a:prstDash val="sysDash"/>
            </a:ln>
          </c:spPr>
        </c:majorGridlines>
        <c:title>
          <c:tx>
            <c:rich>
              <a:bodyPr rot="5400000" vert="horz"/>
              <a:lstStyle/>
              <a:p>
                <a:pPr algn="ctr">
                  <a:defRPr sz="8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ระดับน้ำ (ม.รทก.)</a:t>
                </a:r>
              </a:p>
            </c:rich>
          </c:tx>
          <c:layout>
            <c:manualLayout>
              <c:xMode val="edge"/>
              <c:yMode val="edge"/>
              <c:x val="0.95281294838145236"/>
              <c:y val="0.44723630092215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FF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298946527"/>
        <c:crosses val="max"/>
        <c:crossBetween val="midCat"/>
      </c:valAx>
      <c:valAx>
        <c:axId val="3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พื้นที่ผิวน้ำ (ล้าน ตร.กม.)</a:t>
                </a:r>
              </a:p>
            </c:rich>
          </c:tx>
          <c:layout>
            <c:manualLayout>
              <c:xMode val="edge"/>
              <c:yMode val="edge"/>
              <c:x val="0.39011916010498687"/>
              <c:y val="0.2341669934936293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FF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ระดับน้ำ (ม.รทก.)</a:t>
                </a:r>
              </a:p>
            </c:rich>
          </c:tx>
          <c:layout>
            <c:manualLayout>
              <c:xMode val="edge"/>
              <c:yMode val="edge"/>
              <c:x val="6.9986001749781273E-3"/>
              <c:y val="0.438106515421204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3"/>
        <c:crosses val="max"/>
        <c:crossBetween val="midCat"/>
      </c:valAx>
      <c:spPr>
        <a:solidFill>
          <a:srgbClr val="CCFFFF"/>
        </a:solidFill>
        <a:ln w="12700">
          <a:solidFill>
            <a:srgbClr val="0000F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7611100112471855"/>
          <c:y val="0.69335636198447548"/>
          <c:w val="0.13944673673108909"/>
          <c:h val="0.106670209536073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8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TH"/>
    </a:p>
  </c:txPr>
  <c:printSettings>
    <c:headerFooter alignWithMargins="0"/>
    <c:pageMargins b="1" l="0.75000000000000022" r="0.75000000000000022" t="1" header="0.5" footer="0.5"/>
    <c:pageSetup paperSize="9" orientation="landscape" copies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'graph-dry_data'!$S$1</c:f>
          <c:strCache>
            <c:ptCount val="1"/>
            <c:pt idx="0">
              <c:v>สถิติข้อมูลพื้นที่การเพาะปลูกข้าวนาปรัง อ่างเก็บน้ำมูลบน</c:v>
            </c:pt>
          </c:strCache>
        </c:strRef>
      </c:tx>
      <c:layout>
        <c:manualLayout>
          <c:xMode val="edge"/>
          <c:yMode val="edge"/>
          <c:x val="0.24606611417215177"/>
          <c:y val="2.091098537305952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title>
    <c:autoTitleDeleted val="0"/>
    <c:plotArea>
      <c:layout>
        <c:manualLayout>
          <c:layoutTarget val="inner"/>
          <c:xMode val="edge"/>
          <c:yMode val="edge"/>
          <c:x val="9.0071647901740021E-2"/>
          <c:y val="9.0909090909090912E-2"/>
          <c:w val="0.88433981576253839"/>
          <c:h val="0.80094043887147337"/>
        </c:manualLayout>
      </c:layout>
      <c:lineChart>
        <c:grouping val="standard"/>
        <c:varyColors val="0"/>
        <c:ser>
          <c:idx val="0"/>
          <c:order val="0"/>
          <c:tx>
            <c:strRef>
              <c:f>'graph-dry_data'!$S$7</c:f>
              <c:strCache>
                <c:ptCount val="1"/>
                <c:pt idx="0">
                  <c:v>ปลูกข้าว50/51</c:v>
                </c:pt>
              </c:strCache>
            </c:strRef>
          </c:tx>
          <c:spPr>
            <a:ln>
              <a:solidFill>
                <a:srgbClr val="006600"/>
              </a:solidFill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'graph-dry_data'!$S$12:$S$44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550</c:v>
                </c:pt>
                <c:pt idx="10">
                  <c:v>1600</c:v>
                </c:pt>
                <c:pt idx="11">
                  <c:v>3600</c:v>
                </c:pt>
                <c:pt idx="12">
                  <c:v>5029</c:v>
                </c:pt>
                <c:pt idx="13">
                  <c:v>5029</c:v>
                </c:pt>
                <c:pt idx="14">
                  <c:v>5029</c:v>
                </c:pt>
                <c:pt idx="15">
                  <c:v>5029</c:v>
                </c:pt>
                <c:pt idx="16">
                  <c:v>5029</c:v>
                </c:pt>
                <c:pt idx="17">
                  <c:v>5029</c:v>
                </c:pt>
                <c:pt idx="18">
                  <c:v>5029</c:v>
                </c:pt>
                <c:pt idx="19">
                  <c:v>5029</c:v>
                </c:pt>
                <c:pt idx="20">
                  <c:v>5029</c:v>
                </c:pt>
                <c:pt idx="21">
                  <c:v>5029</c:v>
                </c:pt>
                <c:pt idx="22">
                  <c:v>5029</c:v>
                </c:pt>
                <c:pt idx="23">
                  <c:v>5029</c:v>
                </c:pt>
                <c:pt idx="24">
                  <c:v>5029</c:v>
                </c:pt>
                <c:pt idx="25">
                  <c:v>5029</c:v>
                </c:pt>
                <c:pt idx="26">
                  <c:v>5029</c:v>
                </c:pt>
                <c:pt idx="27">
                  <c:v>5029</c:v>
                </c:pt>
                <c:pt idx="28">
                  <c:v>5029</c:v>
                </c:pt>
                <c:pt idx="29">
                  <c:v>5029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7-D540-B076-43EFB4A4E07D}"/>
            </c:ext>
          </c:extLst>
        </c:ser>
        <c:ser>
          <c:idx val="1"/>
          <c:order val="1"/>
          <c:tx>
            <c:strRef>
              <c:f>'graph-dry_data'!$T$7</c:f>
              <c:strCache>
                <c:ptCount val="1"/>
                <c:pt idx="0">
                  <c:v>เก็บเกี่ยว50/51</c:v>
                </c:pt>
              </c:strCache>
            </c:strRef>
          </c:tx>
          <c:spPr>
            <a:ln>
              <a:solidFill>
                <a:srgbClr val="006600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'graph-dry_data'!$T$12:$T$44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400</c:v>
                </c:pt>
                <c:pt idx="27">
                  <c:v>2300</c:v>
                </c:pt>
                <c:pt idx="28">
                  <c:v>3009</c:v>
                </c:pt>
                <c:pt idx="29">
                  <c:v>5029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357-D540-B076-43EFB4A4E07D}"/>
            </c:ext>
          </c:extLst>
        </c:ser>
        <c:ser>
          <c:idx val="2"/>
          <c:order val="2"/>
          <c:tx>
            <c:strRef>
              <c:f>'graph-dry_data'!$U$7</c:f>
              <c:strCache>
                <c:ptCount val="1"/>
                <c:pt idx="0">
                  <c:v>ปลูกข้าว51/52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'graph-dry_data'!$U$12:$U$43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11569</c:v>
                </c:pt>
                <c:pt idx="9">
                  <c:v>20123</c:v>
                </c:pt>
                <c:pt idx="10">
                  <c:v>30552</c:v>
                </c:pt>
                <c:pt idx="11">
                  <c:v>44606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57-D540-B076-43EFB4A4E07D}"/>
            </c:ext>
          </c:extLst>
        </c:ser>
        <c:ser>
          <c:idx val="3"/>
          <c:order val="3"/>
          <c:tx>
            <c:strRef>
              <c:f>'graph-dry_data'!$V$7</c:f>
              <c:strCache>
                <c:ptCount val="1"/>
                <c:pt idx="0">
                  <c:v>เก็บเกี่ยว51/52</c:v>
                </c:pt>
              </c:strCache>
            </c:strRef>
          </c:tx>
          <c:spPr>
            <a:ln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'graph-dry_data'!$V$12:$V$43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3087</c:v>
                </c:pt>
                <c:pt idx="26">
                  <c:v>31781</c:v>
                </c:pt>
                <c:pt idx="27">
                  <c:v>40702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357-D540-B076-43EFB4A4E07D}"/>
            </c:ext>
          </c:extLst>
        </c:ser>
        <c:ser>
          <c:idx val="4"/>
          <c:order val="4"/>
          <c:tx>
            <c:strRef>
              <c:f>'graph-dry_data'!$W$7</c:f>
              <c:strCache>
                <c:ptCount val="1"/>
                <c:pt idx="0">
                  <c:v>ปลูกข้าว52/53</c:v>
                </c:pt>
              </c:strCache>
            </c:strRef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'graph-dry_data'!$W$12:$W$45</c:f>
              <c:numCache>
                <c:formatCode>_(* #,##0_);_(* \(#,##0\);_(* "-"??_);_(@_)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1057</c:v>
                </c:pt>
                <c:pt idx="10">
                  <c:v>3457</c:v>
                </c:pt>
                <c:pt idx="11">
                  <c:v>5992</c:v>
                </c:pt>
                <c:pt idx="12">
                  <c:v>16465</c:v>
                </c:pt>
                <c:pt idx="13">
                  <c:v>20715</c:v>
                </c:pt>
                <c:pt idx="14">
                  <c:v>20715</c:v>
                </c:pt>
                <c:pt idx="15">
                  <c:v>20715</c:v>
                </c:pt>
                <c:pt idx="16">
                  <c:v>20715</c:v>
                </c:pt>
                <c:pt idx="17">
                  <c:v>20715</c:v>
                </c:pt>
                <c:pt idx="18">
                  <c:v>20715</c:v>
                </c:pt>
                <c:pt idx="19">
                  <c:v>20715</c:v>
                </c:pt>
                <c:pt idx="20">
                  <c:v>20715</c:v>
                </c:pt>
                <c:pt idx="21">
                  <c:v>20715</c:v>
                </c:pt>
                <c:pt idx="22">
                  <c:v>20715</c:v>
                </c:pt>
                <c:pt idx="23">
                  <c:v>20715</c:v>
                </c:pt>
                <c:pt idx="24">
                  <c:v>20715</c:v>
                </c:pt>
                <c:pt idx="25">
                  <c:v>20715</c:v>
                </c:pt>
                <c:pt idx="26">
                  <c:v>20715</c:v>
                </c:pt>
                <c:pt idx="27">
                  <c:v>20715</c:v>
                </c:pt>
                <c:pt idx="28">
                  <c:v>20715</c:v>
                </c:pt>
                <c:pt idx="29">
                  <c:v>20715</c:v>
                </c:pt>
                <c:pt idx="30">
                  <c:v>20715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357-D540-B076-43EFB4A4E07D}"/>
            </c:ext>
          </c:extLst>
        </c:ser>
        <c:ser>
          <c:idx val="6"/>
          <c:order val="5"/>
          <c:tx>
            <c:strRef>
              <c:f>'graph-dry_data'!$X$7</c:f>
              <c:strCache>
                <c:ptCount val="1"/>
                <c:pt idx="0">
                  <c:v>เก็บเกี่ยว52/53</c:v>
                </c:pt>
              </c:strCache>
            </c:strRef>
          </c:tx>
          <c:spPr>
            <a:ln>
              <a:solidFill>
                <a:srgbClr val="FF00FF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'graph-dry_data'!$X$12:$X$45</c:f>
              <c:numCache>
                <c:formatCode>_(* #,##0_);_(* \(#,##0\);_(* "-"??_);_(@_)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140</c:v>
                </c:pt>
                <c:pt idx="25">
                  <c:v>402</c:v>
                </c:pt>
                <c:pt idx="26">
                  <c:v>2499</c:v>
                </c:pt>
                <c:pt idx="27">
                  <c:v>7041</c:v>
                </c:pt>
                <c:pt idx="28">
                  <c:v>12990</c:v>
                </c:pt>
                <c:pt idx="29">
                  <c:v>17670</c:v>
                </c:pt>
                <c:pt idx="30">
                  <c:v>20715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357-D540-B076-43EFB4A4E07D}"/>
            </c:ext>
          </c:extLst>
        </c:ser>
        <c:ser>
          <c:idx val="5"/>
          <c:order val="6"/>
          <c:tx>
            <c:strRef>
              <c:f>'graph-dry_data'!$Y$7</c:f>
              <c:strCache>
                <c:ptCount val="1"/>
                <c:pt idx="0">
                  <c:v>ปลูกข้าว53/54</c:v>
                </c:pt>
              </c:strCache>
            </c:strRef>
          </c:tx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'graph-dry_data'!$Y$12:$Y$44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552</c:v>
                </c:pt>
                <c:pt idx="11">
                  <c:v>13270</c:v>
                </c:pt>
                <c:pt idx="12">
                  <c:v>29000</c:v>
                </c:pt>
                <c:pt idx="13">
                  <c:v>34584</c:v>
                </c:pt>
                <c:pt idx="14">
                  <c:v>34584</c:v>
                </c:pt>
                <c:pt idx="15">
                  <c:v>34584</c:v>
                </c:pt>
                <c:pt idx="16">
                  <c:v>34584</c:v>
                </c:pt>
                <c:pt idx="17">
                  <c:v>34584</c:v>
                </c:pt>
                <c:pt idx="18">
                  <c:v>34584</c:v>
                </c:pt>
                <c:pt idx="19">
                  <c:v>34584</c:v>
                </c:pt>
                <c:pt idx="20">
                  <c:v>34584</c:v>
                </c:pt>
                <c:pt idx="21">
                  <c:v>34584</c:v>
                </c:pt>
                <c:pt idx="22">
                  <c:v>34584</c:v>
                </c:pt>
                <c:pt idx="23">
                  <c:v>34584</c:v>
                </c:pt>
                <c:pt idx="24">
                  <c:v>34584</c:v>
                </c:pt>
                <c:pt idx="25">
                  <c:v>34584</c:v>
                </c:pt>
                <c:pt idx="26">
                  <c:v>34584</c:v>
                </c:pt>
                <c:pt idx="27">
                  <c:v>34584</c:v>
                </c:pt>
                <c:pt idx="28">
                  <c:v>34584</c:v>
                </c:pt>
                <c:pt idx="29">
                  <c:v>34584</c:v>
                </c:pt>
                <c:pt idx="30">
                  <c:v>34584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57-D540-B076-43EFB4A4E07D}"/>
            </c:ext>
          </c:extLst>
        </c:ser>
        <c:ser>
          <c:idx val="7"/>
          <c:order val="7"/>
          <c:tx>
            <c:strRef>
              <c:f>'graph-dry_data'!$X$7</c:f>
              <c:strCache>
                <c:ptCount val="1"/>
                <c:pt idx="0">
                  <c:v>เก็บเกี่ยว52/53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'graph-dry_data'!$Z$12:$Z$44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2049</c:v>
                </c:pt>
                <c:pt idx="26">
                  <c:v>3749</c:v>
                </c:pt>
                <c:pt idx="27">
                  <c:v>12936</c:v>
                </c:pt>
                <c:pt idx="28">
                  <c:v>21362</c:v>
                </c:pt>
                <c:pt idx="29">
                  <c:v>29478</c:v>
                </c:pt>
                <c:pt idx="30">
                  <c:v>34584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6357-D540-B076-43EFB4A4E07D}"/>
            </c:ext>
          </c:extLst>
        </c:ser>
        <c:ser>
          <c:idx val="8"/>
          <c:order val="8"/>
          <c:tx>
            <c:strRef>
              <c:f>'graph-dry_data'!$AC$7</c:f>
              <c:strCache>
                <c:ptCount val="1"/>
                <c:pt idx="0">
                  <c:v>แผนปลูกข้าว</c:v>
                </c:pt>
              </c:strCache>
            </c:strRef>
          </c:tx>
          <c:spPr>
            <a:ln w="44450">
              <a:solidFill>
                <a:srgbClr val="7030A0"/>
              </a:solidFill>
              <a:prstDash val="lg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'graph-dry_data'!$AC$12:$AC$36</c:f>
              <c:numCache>
                <c:formatCode>_(* #,##0_);_(* \(#,##0\);_(*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3000</c:v>
                </c:pt>
                <c:pt idx="9">
                  <c:v>8000</c:v>
                </c:pt>
                <c:pt idx="10">
                  <c:v>11737</c:v>
                </c:pt>
                <c:pt idx="11">
                  <c:v>11737</c:v>
                </c:pt>
                <c:pt idx="12">
                  <c:v>11737</c:v>
                </c:pt>
                <c:pt idx="13">
                  <c:v>11737</c:v>
                </c:pt>
                <c:pt idx="14">
                  <c:v>11737</c:v>
                </c:pt>
                <c:pt idx="15">
                  <c:v>11737</c:v>
                </c:pt>
                <c:pt idx="16">
                  <c:v>11737</c:v>
                </c:pt>
                <c:pt idx="17">
                  <c:v>11737</c:v>
                </c:pt>
                <c:pt idx="18">
                  <c:v>11737</c:v>
                </c:pt>
                <c:pt idx="19">
                  <c:v>11737</c:v>
                </c:pt>
                <c:pt idx="20">
                  <c:v>11737</c:v>
                </c:pt>
                <c:pt idx="21">
                  <c:v>11737</c:v>
                </c:pt>
                <c:pt idx="22">
                  <c:v>11737</c:v>
                </c:pt>
                <c:pt idx="23">
                  <c:v>11737</c:v>
                </c:pt>
                <c:pt idx="24">
                  <c:v>11737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57-D540-B076-43EFB4A4E07D}"/>
            </c:ext>
          </c:extLst>
        </c:ser>
        <c:ser>
          <c:idx val="9"/>
          <c:order val="9"/>
          <c:tx>
            <c:strRef>
              <c:f>'graph-dry_data'!$AD$7</c:f>
              <c:strCache>
                <c:ptCount val="1"/>
                <c:pt idx="0">
                  <c:v>แผนเก็บเกี่ยว</c:v>
                </c:pt>
              </c:strCache>
            </c:strRef>
          </c:tx>
          <c:spPr>
            <a:ln w="44450" cmpd="sng">
              <a:solidFill>
                <a:srgbClr val="7030A0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'graph-dry_data'!$AD$12:$AD$36</c:f>
              <c:numCache>
                <c:formatCode>_(* #,##0_);_(* \(#,##0\);_(*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357-D540-B076-43EFB4A4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203839"/>
        <c:axId val="1"/>
      </c:lineChart>
      <c:catAx>
        <c:axId val="2008203839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ordia New"/>
                    <a:ea typeface="Cordia New"/>
                    <a:cs typeface="Cordia New"/>
                  </a:defRPr>
                </a:pPr>
                <a:r>
                  <a:rPr lang="th-TH"/>
                  <a:t>พื้นที่การเพาะปลูก/เก็บเกี่ยวข้าวนาปรัง (ไร่)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2008203839"/>
        <c:crosses val="autoZero"/>
        <c:crossBetween val="between"/>
      </c:valAx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</c:plotArea>
    <c:legend>
      <c:legendPos val="r"/>
      <c:layout>
        <c:manualLayout>
          <c:xMode val="edge"/>
          <c:yMode val="edge"/>
          <c:x val="0.16393442622950818"/>
          <c:y val="0.94769874476987448"/>
          <c:w val="0.77049180327868849"/>
          <c:h val="4.6025104602510462E-2"/>
        </c:manualLayout>
      </c:layout>
      <c:overlay val="0"/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  <c:txPr>
        <a:bodyPr/>
        <a:lstStyle/>
        <a:p>
          <a:pPr>
            <a:defRPr sz="335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00B050">
        <a:alpha val="30000"/>
      </a:srgb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TH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'graph-wet_data'!$S$1</c:f>
          <c:strCache>
            <c:ptCount val="1"/>
            <c:pt idx="0">
              <c:v>สถิติข้อมูลพื้นที่การเพาะปลูกข้าวนาปี อ่างเก็บน้ำมูลบน</c:v>
            </c:pt>
          </c:strCache>
        </c:strRef>
      </c:tx>
      <c:layout>
        <c:manualLayout>
          <c:xMode val="edge"/>
          <c:yMode val="edge"/>
          <c:x val="0.24606611417215177"/>
          <c:y val="2.091098537305952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title>
    <c:autoTitleDeleted val="0"/>
    <c:plotArea>
      <c:layout>
        <c:manualLayout>
          <c:layoutTarget val="inner"/>
          <c:xMode val="edge"/>
          <c:yMode val="edge"/>
          <c:x val="9.7236438075742074E-2"/>
          <c:y val="9.8746081504702196E-2"/>
          <c:w val="0.77686796315250772"/>
          <c:h val="0.79049111807732497"/>
        </c:manualLayout>
      </c:layout>
      <c:lineChart>
        <c:grouping val="standard"/>
        <c:varyColors val="0"/>
        <c:ser>
          <c:idx val="0"/>
          <c:order val="0"/>
          <c:tx>
            <c:strRef>
              <c:f>'graph-wet_data'!$S$7</c:f>
              <c:strCache>
                <c:ptCount val="1"/>
                <c:pt idx="0">
                  <c:v>ปลูกข้าว51</c:v>
                </c:pt>
              </c:strCache>
            </c:strRef>
          </c:tx>
          <c:spPr>
            <a:ln>
              <a:solidFill>
                <a:srgbClr val="006600"/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'graph-wet_data'!$S$38:$S$70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120</c:v>
                </c:pt>
                <c:pt idx="7">
                  <c:v>8840</c:v>
                </c:pt>
                <c:pt idx="8">
                  <c:v>32053</c:v>
                </c:pt>
                <c:pt idx="9">
                  <c:v>41096</c:v>
                </c:pt>
                <c:pt idx="10">
                  <c:v>44606</c:v>
                </c:pt>
                <c:pt idx="11">
                  <c:v>44606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2E45-8D44-4C00200961FF}"/>
            </c:ext>
          </c:extLst>
        </c:ser>
        <c:ser>
          <c:idx val="1"/>
          <c:order val="1"/>
          <c:tx>
            <c:strRef>
              <c:f>'graph-wet_data'!$T$7</c:f>
              <c:strCache>
                <c:ptCount val="1"/>
                <c:pt idx="0">
                  <c:v>เก็บเกี่ยว51</c:v>
                </c:pt>
              </c:strCache>
            </c:strRef>
          </c:tx>
          <c:spPr>
            <a:ln>
              <a:solidFill>
                <a:srgbClr val="006600"/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'graph-wet_data'!$T$38:$T$70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3435</c:v>
                </c:pt>
                <c:pt idx="26">
                  <c:v>22375</c:v>
                </c:pt>
                <c:pt idx="27">
                  <c:v>37004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60-2E45-8D44-4C00200961FF}"/>
            </c:ext>
          </c:extLst>
        </c:ser>
        <c:ser>
          <c:idx val="2"/>
          <c:order val="2"/>
          <c:tx>
            <c:strRef>
              <c:f>'graph-wet_data'!$U$7</c:f>
              <c:strCache>
                <c:ptCount val="1"/>
                <c:pt idx="0">
                  <c:v>ปลูกข้าว52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'graph-wet_data'!$U$38:$U$69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680</c:v>
                </c:pt>
                <c:pt idx="6">
                  <c:v>21580</c:v>
                </c:pt>
                <c:pt idx="7">
                  <c:v>39336</c:v>
                </c:pt>
                <c:pt idx="8">
                  <c:v>44606</c:v>
                </c:pt>
                <c:pt idx="9">
                  <c:v>44606</c:v>
                </c:pt>
                <c:pt idx="10">
                  <c:v>44606</c:v>
                </c:pt>
                <c:pt idx="11">
                  <c:v>44606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44606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60-2E45-8D44-4C00200961FF}"/>
            </c:ext>
          </c:extLst>
        </c:ser>
        <c:ser>
          <c:idx val="3"/>
          <c:order val="3"/>
          <c:tx>
            <c:strRef>
              <c:f>'graph-wet_data'!$V$7</c:f>
              <c:strCache>
                <c:ptCount val="1"/>
                <c:pt idx="0">
                  <c:v>เก็บเกี่ยว52</c:v>
                </c:pt>
              </c:strCache>
            </c:strRef>
          </c:tx>
          <c:spPr>
            <a:ln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'graph-wet_data'!$V$38:$V$69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240</c:v>
                </c:pt>
                <c:pt idx="24">
                  <c:v>2235</c:v>
                </c:pt>
                <c:pt idx="25">
                  <c:v>11300</c:v>
                </c:pt>
                <c:pt idx="26">
                  <c:v>31252</c:v>
                </c:pt>
                <c:pt idx="27">
                  <c:v>32770</c:v>
                </c:pt>
                <c:pt idx="28">
                  <c:v>42735</c:v>
                </c:pt>
                <c:pt idx="29">
                  <c:v>44606</c:v>
                </c:pt>
                <c:pt idx="30">
                  <c:v>44606</c:v>
                </c:pt>
                <c:pt idx="31">
                  <c:v>44606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F60-2E45-8D44-4C00200961FF}"/>
            </c:ext>
          </c:extLst>
        </c:ser>
        <c:ser>
          <c:idx val="4"/>
          <c:order val="4"/>
          <c:tx>
            <c:strRef>
              <c:f>'graph-wet_data'!$W$7</c:f>
              <c:strCache>
                <c:ptCount val="1"/>
                <c:pt idx="0">
                  <c:v>ปลูกข้าว53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'graph-wet_data'!$W$38:$W$68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3860</c:v>
                </c:pt>
                <c:pt idx="7">
                  <c:v>13250</c:v>
                </c:pt>
                <c:pt idx="8">
                  <c:v>27929</c:v>
                </c:pt>
                <c:pt idx="9">
                  <c:v>41375</c:v>
                </c:pt>
                <c:pt idx="10">
                  <c:v>44589</c:v>
                </c:pt>
                <c:pt idx="11">
                  <c:v>44602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60-2E45-8D44-4C00200961FF}"/>
            </c:ext>
          </c:extLst>
        </c:ser>
        <c:ser>
          <c:idx val="6"/>
          <c:order val="5"/>
          <c:tx>
            <c:strRef>
              <c:f>'graph-wet_data'!$X$7</c:f>
              <c:strCache>
                <c:ptCount val="1"/>
                <c:pt idx="0">
                  <c:v>เก็บเกี่ยว53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'graph-wet_data'!$X$38:$X$68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165</c:v>
                </c:pt>
                <c:pt idx="25">
                  <c:v>2720</c:v>
                </c:pt>
                <c:pt idx="26">
                  <c:v>6067</c:v>
                </c:pt>
                <c:pt idx="27">
                  <c:v>17931</c:v>
                </c:pt>
                <c:pt idx="28">
                  <c:v>35218</c:v>
                </c:pt>
                <c:pt idx="29">
                  <c:v>35218</c:v>
                </c:pt>
                <c:pt idx="30">
                  <c:v>35218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F60-2E45-8D44-4C00200961FF}"/>
            </c:ext>
          </c:extLst>
        </c:ser>
        <c:ser>
          <c:idx val="5"/>
          <c:order val="6"/>
          <c:tx>
            <c:strRef>
              <c:f>'graph-wet_data'!$Y$7</c:f>
              <c:strCache>
                <c:ptCount val="1"/>
                <c:pt idx="0">
                  <c:v>ปลูกข้าว54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'graph-wet_data'!$Y$38:$Y$48</c:f>
              <c:numCache>
                <c:formatCode>_(* #,##0_);_(* \(#,##0\);_(*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3740</c:v>
                </c:pt>
                <c:pt idx="8">
                  <c:v>17936</c:v>
                </c:pt>
                <c:pt idx="9">
                  <c:v>32334</c:v>
                </c:pt>
                <c:pt idx="10">
                  <c:v>39577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F60-2E45-8D44-4C00200961FF}"/>
            </c:ext>
          </c:extLst>
        </c:ser>
        <c:ser>
          <c:idx val="7"/>
          <c:order val="7"/>
          <c:tx>
            <c:strRef>
              <c:f>'graph-wet_data'!$Z$7</c:f>
              <c:strCache>
                <c:ptCount val="1"/>
                <c:pt idx="0">
                  <c:v>เก็บเกี่ยว54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'graph-wet_data'!$Z$38:$Z$68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11200</c:v>
                </c:pt>
                <c:pt idx="26">
                  <c:v>26536</c:v>
                </c:pt>
                <c:pt idx="27">
                  <c:v>39577</c:v>
                </c:pt>
                <c:pt idx="28">
                  <c:v>39577</c:v>
                </c:pt>
                <c:pt idx="29">
                  <c:v>39577</c:v>
                </c:pt>
                <c:pt idx="30">
                  <c:v>39577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5F60-2E45-8D44-4C00200961FF}"/>
            </c:ext>
          </c:extLst>
        </c:ser>
        <c:ser>
          <c:idx val="8"/>
          <c:order val="8"/>
          <c:tx>
            <c:strRef>
              <c:f>'graph-wet_data'!$AC$7</c:f>
              <c:strCache>
                <c:ptCount val="1"/>
                <c:pt idx="0">
                  <c:v>แผนปลูกข้าว</c:v>
                </c:pt>
              </c:strCache>
            </c:strRef>
          </c:tx>
          <c:spPr>
            <a:ln w="44450"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'graph-wet_data'!$AC$38:$AC$63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680</c:v>
                </c:pt>
                <c:pt idx="6">
                  <c:v>8165</c:v>
                </c:pt>
                <c:pt idx="7">
                  <c:v>17773.2</c:v>
                </c:pt>
                <c:pt idx="8">
                  <c:v>32391.800000000003</c:v>
                </c:pt>
                <c:pt idx="9">
                  <c:v>44121.3</c:v>
                </c:pt>
                <c:pt idx="10">
                  <c:v>48954.3</c:v>
                </c:pt>
                <c:pt idx="11">
                  <c:v>48967.3</c:v>
                </c:pt>
                <c:pt idx="12">
                  <c:v>48971.3</c:v>
                </c:pt>
                <c:pt idx="13">
                  <c:v>48971.3</c:v>
                </c:pt>
                <c:pt idx="14">
                  <c:v>48971.3</c:v>
                </c:pt>
                <c:pt idx="15">
                  <c:v>48971.3</c:v>
                </c:pt>
                <c:pt idx="16">
                  <c:v>48971.3</c:v>
                </c:pt>
                <c:pt idx="17">
                  <c:v>48971.3</c:v>
                </c:pt>
                <c:pt idx="18">
                  <c:v>48971.3</c:v>
                </c:pt>
                <c:pt idx="19">
                  <c:v>48971.3</c:v>
                </c:pt>
                <c:pt idx="20">
                  <c:v>48971.3</c:v>
                </c:pt>
                <c:pt idx="21">
                  <c:v>48971.3</c:v>
                </c:pt>
                <c:pt idx="22">
                  <c:v>48971.3</c:v>
                </c:pt>
                <c:pt idx="23">
                  <c:v>48971.3</c:v>
                </c:pt>
                <c:pt idx="24">
                  <c:v>48971.3</c:v>
                </c:pt>
                <c:pt idx="25">
                  <c:v>48971.3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F60-2E45-8D44-4C00200961FF}"/>
            </c:ext>
          </c:extLst>
        </c:ser>
        <c:ser>
          <c:idx val="9"/>
          <c:order val="9"/>
          <c:tx>
            <c:strRef>
              <c:f>'graph-wet_data'!$AD$7</c:f>
              <c:strCache>
                <c:ptCount val="1"/>
                <c:pt idx="0">
                  <c:v>แผนเก็บเกี่ยว</c:v>
                </c:pt>
              </c:strCache>
            </c:strRef>
          </c:tx>
          <c:spPr>
            <a:ln w="44450">
              <a:solidFill>
                <a:srgbClr val="7030A0"/>
              </a:solidFill>
              <a:prstDash val="dashDot"/>
            </a:ln>
          </c:spPr>
          <c:marker>
            <c:symbol val="none"/>
          </c:marker>
          <c:val>
            <c:numRef>
              <c:f>'graph-wet_data'!$AD$38:$AD$63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240</c:v>
                </c:pt>
                <c:pt idx="24">
                  <c:v>1320</c:v>
                </c:pt>
                <c:pt idx="25">
                  <c:v>7883.75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F60-2E45-8D44-4C002009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453296"/>
        <c:axId val="1"/>
      </c:lineChart>
      <c:catAx>
        <c:axId val="73445329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ordia New"/>
                    <a:ea typeface="Cordia New"/>
                    <a:cs typeface="Cordia New"/>
                  </a:defRPr>
                </a:pPr>
                <a:r>
                  <a:rPr lang="th-TH"/>
                  <a:t>พื้นที่การเพาะปลูก/เก็บเกี่ยวข้าวนาปี (ไร่)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734453296"/>
        <c:crosses val="autoZero"/>
        <c:crossBetween val="between"/>
      </c:valAx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</c:plotArea>
    <c:legend>
      <c:legendPos val="r"/>
      <c:layout>
        <c:manualLayout>
          <c:xMode val="edge"/>
          <c:yMode val="edge"/>
          <c:x val="0.18579234972677597"/>
          <c:y val="0.94979079497907948"/>
          <c:w val="0.62568306010928965"/>
          <c:h val="4.6025104602510462E-2"/>
        </c:manualLayout>
      </c:layout>
      <c:overlay val="0"/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  <c:txPr>
        <a:bodyPr/>
        <a:lstStyle/>
        <a:p>
          <a:pPr>
            <a:defRPr sz="335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00B050">
        <a:alpha val="30000"/>
      </a:srgb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TH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24F6179-6638-9144-8727-16A316F0DE6A}">
  <sheetPr>
    <tabColor rgb="FF0000FF"/>
  </sheetPr>
  <sheetViews>
    <sheetView workbookViewId="0"/>
  </sheetViews>
  <pageMargins left="0.7" right="0.7" top="0.75" bottom="0.75" header="0.3" footer="0.3"/>
  <pageSetup paperSize="9" orientation="landscape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DC5268-56F8-C84F-A8AB-17B29F3851D1}">
  <sheetPr>
    <tabColor rgb="FF0000FF"/>
  </sheetPr>
  <sheetViews>
    <sheetView workbookViewId="0"/>
  </sheetViews>
  <pageMargins left="0.7" right="0.7" top="0.75" bottom="0.75" header="0.3" footer="0.3"/>
  <pageSetup paperSize="9" orientation="landscape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454660</xdr:colOff>
      <xdr:row>3</xdr:row>
      <xdr:rowOff>3175</xdr:rowOff>
    </xdr:from>
    <xdr:to>
      <xdr:col>10</xdr:col>
      <xdr:colOff>321964</xdr:colOff>
      <xdr:row>4</xdr:row>
      <xdr:rowOff>130588</xdr:rowOff>
    </xdr:to>
    <xdr:sp macro="" textlink="">
      <xdr:nvSpPr>
        <xdr:cNvPr id="20498" name="Text Box 18">
          <a:extLst>
            <a:ext uri="{FF2B5EF4-FFF2-40B4-BE49-F238E27FC236}">
              <a16:creationId xmlns:a16="http://schemas.microsoft.com/office/drawing/2014/main" id="{E966F0B4-7726-6F27-F78B-CDF9E0554C13}"/>
            </a:ext>
          </a:extLst>
        </xdr:cNvPr>
        <xdr:cNvSpPr txBox="1">
          <a:spLocks noChangeArrowheads="1"/>
        </xdr:cNvSpPr>
      </xdr:nvSpPr>
      <xdr:spPr bwMode="auto">
        <a:xfrm>
          <a:off x="4057650" y="790575"/>
          <a:ext cx="2333625" cy="304800"/>
        </a:xfrm>
        <a:prstGeom prst="rect">
          <a:avLst/>
        </a:prstGeom>
        <a:solidFill>
          <a:srgbClr val="0080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th-TH" sz="1100" b="1" i="0" strike="noStrike">
              <a:solidFill>
                <a:srgbClr val="FFFFFF"/>
              </a:solidFill>
              <a:latin typeface="Arial"/>
            </a:rPr>
            <a:t>ใส่พื้นที่เพาะปลูกแต่ละสัปดาห์</a:t>
          </a:r>
        </a:p>
      </xdr:txBody>
    </xdr:sp>
    <xdr:clientData/>
  </xdr:twoCellAnchor>
  <xdr:twoCellAnchor>
    <xdr:from>
      <xdr:col>14</xdr:col>
      <xdr:colOff>63500</xdr:colOff>
      <xdr:row>18</xdr:row>
      <xdr:rowOff>38100</xdr:rowOff>
    </xdr:from>
    <xdr:to>
      <xdr:col>21</xdr:col>
      <xdr:colOff>609600</xdr:colOff>
      <xdr:row>37</xdr:row>
      <xdr:rowOff>88900</xdr:rowOff>
    </xdr:to>
    <xdr:graphicFrame macro="">
      <xdr:nvGraphicFramePr>
        <xdr:cNvPr id="819717" name="Chart 20">
          <a:extLst>
            <a:ext uri="{FF2B5EF4-FFF2-40B4-BE49-F238E27FC236}">
              <a16:creationId xmlns:a16="http://schemas.microsoft.com/office/drawing/2014/main" id="{093D274C-5D6F-5325-A0FC-5F6B32E54F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571500</xdr:colOff>
      <xdr:row>57</xdr:row>
      <xdr:rowOff>76200</xdr:rowOff>
    </xdr:from>
    <xdr:to>
      <xdr:col>20</xdr:col>
      <xdr:colOff>279400</xdr:colOff>
      <xdr:row>79</xdr:row>
      <xdr:rowOff>63500</xdr:rowOff>
    </xdr:to>
    <xdr:graphicFrame macro="">
      <xdr:nvGraphicFramePr>
        <xdr:cNvPr id="819718" name="Chart 3">
          <a:extLst>
            <a:ext uri="{FF2B5EF4-FFF2-40B4-BE49-F238E27FC236}">
              <a16:creationId xmlns:a16="http://schemas.microsoft.com/office/drawing/2014/main" id="{C5969C0C-8F1B-A54B-1303-D772E2CFD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55</xdr:row>
          <xdr:rowOff>12700</xdr:rowOff>
        </xdr:from>
        <xdr:to>
          <xdr:col>12</xdr:col>
          <xdr:colOff>0</xdr:colOff>
          <xdr:row>56</xdr:row>
          <xdr:rowOff>12700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0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กำหนดโค้งความจุ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88900</xdr:rowOff>
        </xdr:from>
        <xdr:to>
          <xdr:col>15</xdr:col>
          <xdr:colOff>241300</xdr:colOff>
          <xdr:row>16</xdr:row>
          <xdr:rowOff>101600</xdr:rowOff>
        </xdr:to>
        <xdr:sp macro="" textlink="">
          <xdr:nvSpPr>
            <xdr:cNvPr id="20512" name="Button 32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0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แก้ไขกราฟ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0.3201</cdr:x>
      <cdr:y>0.1131</cdr:y>
    </cdr:from>
    <cdr:to>
      <cdr:x>0.38337</cdr:x>
      <cdr:y>0.17001</cdr:y>
    </cdr:to>
    <cdr:sp macro="" textlink="fill_data!$A$4">
      <cdr:nvSpPr>
        <cdr:cNvPr id="26627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832626" y="368393"/>
          <a:ext cx="362215" cy="185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h-TH" sz="900" b="0" i="0" strike="noStrike">
              <a:solidFill>
                <a:srgbClr val="000000"/>
              </a:solidFill>
              <a:latin typeface="Arial"/>
            </a:rPr>
            <a:t>จังหวัด</a:t>
          </a:r>
        </a:p>
      </cdr:txBody>
    </cdr:sp>
  </cdr:relSizeAnchor>
  <cdr:relSizeAnchor xmlns:cdr="http://schemas.openxmlformats.org/drawingml/2006/chartDrawing">
    <cdr:from>
      <cdr:x>0.43153</cdr:x>
      <cdr:y>0.11225</cdr:y>
    </cdr:from>
    <cdr:to>
      <cdr:x>0.53654</cdr:x>
      <cdr:y>0.16916</cdr:y>
    </cdr:to>
    <cdr:sp macro="" textlink="fill_data!$C$4">
      <cdr:nvSpPr>
        <cdr:cNvPr id="26628" name="Text Box 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470602" y="365644"/>
          <a:ext cx="601190" cy="185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h-TH" sz="900" b="0" i="0" strike="noStrike">
              <a:solidFill>
                <a:srgbClr val="000000"/>
              </a:solidFill>
              <a:latin typeface="Arial"/>
            </a:rPr>
            <a:t>นครราชสีมา</a:t>
          </a:r>
        </a:p>
      </cdr:txBody>
    </cdr:sp>
  </cdr:relSizeAnchor>
  <cdr:relSizeAnchor xmlns:cdr="http://schemas.openxmlformats.org/drawingml/2006/chartDrawing">
    <cdr:from>
      <cdr:x>0.65514</cdr:x>
      <cdr:y>0.11382</cdr:y>
    </cdr:from>
    <cdr:to>
      <cdr:x>0.7056</cdr:x>
      <cdr:y>0.17073</cdr:y>
    </cdr:to>
    <cdr:sp macro="" textlink="fill_data!$E$3">
      <cdr:nvSpPr>
        <cdr:cNvPr id="26633" name="Text Box 9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750782" y="370763"/>
          <a:ext cx="288925" cy="185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18A5C4DF-7314-4F53-9C54-6F5CD26707C7}" type="TxLink">
            <a:rPr lang="th-TH" sz="900" b="0" i="0" strike="noStrike">
              <a:solidFill>
                <a:srgbClr val="000000"/>
              </a:solidFill>
              <a:latin typeface="Arial"/>
            </a:rPr>
            <a:pPr algn="l" rtl="0">
              <a:defRPr sz="1000"/>
            </a:pPr>
            <a:t>2567</a:t>
          </a:fld>
          <a:endParaRPr lang="th-TH" sz="900" b="0" i="0" strike="noStrike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0.40921</cdr:x>
      <cdr:y>0.06935</cdr:y>
    </cdr:from>
    <cdr:to>
      <cdr:x>0.46089</cdr:x>
      <cdr:y>0.12416</cdr:y>
    </cdr:to>
    <cdr:sp macro="" textlink="">
      <cdr:nvSpPr>
        <cdr:cNvPr id="26634" name="Text Box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0867" y="244953"/>
          <a:ext cx="226588" cy="199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th-TH" sz="900" b="1" i="0" strike="noStrike">
              <a:solidFill>
                <a:srgbClr val="000000"/>
              </a:solidFill>
              <a:latin typeface="Arial"/>
            </a:rPr>
            <a:t>ปี</a:t>
          </a:r>
        </a:p>
      </cdr:txBody>
    </cdr:sp>
  </cdr:relSizeAnchor>
  <cdr:relSizeAnchor xmlns:cdr="http://schemas.openxmlformats.org/drawingml/2006/chartDrawing">
    <cdr:from>
      <cdr:x>0.44595</cdr:x>
      <cdr:y>0.07011</cdr:y>
    </cdr:from>
    <cdr:to>
      <cdr:x>0.57715</cdr:x>
      <cdr:y>0.13011</cdr:y>
    </cdr:to>
    <cdr:sp macro="" textlink="Conclusion!$K$1">
      <cdr:nvSpPr>
        <cdr:cNvPr id="9" name="TextBox 8"/>
        <cdr:cNvSpPr txBox="1"/>
      </cdr:nvSpPr>
      <cdr:spPr bwMode="auto">
        <a:xfrm xmlns:a="http://schemas.openxmlformats.org/drawingml/2006/main">
          <a:off x="2085279" y="252005"/>
          <a:ext cx="582911" cy="2181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569FEFC-6C46-4798-BD75-61279812E6FD}" type="TxLink">
            <a:rPr lang="th-TH" sz="900" b="1" i="0" strike="noStrike">
              <a:solidFill>
                <a:srgbClr val="000000"/>
              </a:solidFill>
              <a:latin typeface="Arial"/>
            </a:rPr>
            <a:pPr algn="ctr" rtl="0">
              <a:defRPr sz="1000"/>
            </a:pPr>
            <a:t>2566</a:t>
          </a:fld>
          <a:endParaRPr lang="th-TH" sz="900" b="1" i="0" strike="noStrike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0.55204</cdr:x>
      <cdr:y>0.06949</cdr:y>
    </cdr:from>
    <cdr:to>
      <cdr:x>0.69501</cdr:x>
      <cdr:y>0.12604</cdr:y>
    </cdr:to>
    <cdr:sp macro="" textlink="Conclusion!$L$1">
      <cdr:nvSpPr>
        <cdr:cNvPr id="10" name="TextBox 9"/>
        <cdr:cNvSpPr txBox="1"/>
      </cdr:nvSpPr>
      <cdr:spPr bwMode="auto">
        <a:xfrm xmlns:a="http://schemas.openxmlformats.org/drawingml/2006/main">
          <a:off x="2551000" y="248463"/>
          <a:ext cx="635114" cy="208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2FD3A608-9A1B-4DF7-8C98-44D03581D979}" type="TxLink">
            <a:rPr lang="th-TH" sz="900" b="1" i="0" strike="noStrike">
              <a:solidFill>
                <a:srgbClr val="000000"/>
              </a:solidFill>
              <a:latin typeface="Arial"/>
            </a:rPr>
            <a:pPr algn="ctr" rtl="0">
              <a:defRPr sz="1000"/>
            </a:pPr>
            <a:t>/ 2567</a:t>
          </a:fld>
          <a:endParaRPr lang="th-TH" sz="900" b="1" i="0" strike="noStrike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0.18624</cdr:x>
      <cdr:y>0.00714</cdr:y>
    </cdr:from>
    <cdr:to>
      <cdr:x>0.37692</cdr:x>
      <cdr:y>0.09841</cdr:y>
    </cdr:to>
    <cdr:sp macro="" textlink="">
      <cdr:nvSpPr>
        <cdr:cNvPr id="12" name="TextBox 11"/>
        <cdr:cNvSpPr txBox="1"/>
      </cdr:nvSpPr>
      <cdr:spPr bwMode="auto">
        <a:xfrm xmlns:a="http://schemas.openxmlformats.org/drawingml/2006/main">
          <a:off x="866775" y="19050"/>
          <a:ext cx="781050" cy="3333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t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0.3495</cdr:x>
      <cdr:y>0.12785</cdr:y>
    </cdr:from>
    <cdr:to>
      <cdr:x>0.664</cdr:x>
      <cdr:y>0.19394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71890" y="450964"/>
          <a:ext cx="1590065" cy="228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0.48542</cdr:x>
      <cdr:y>0.12785</cdr:y>
    </cdr:from>
    <cdr:to>
      <cdr:x>0.81942</cdr:x>
      <cdr:y>0.21344</cdr:y>
    </cdr:to>
    <cdr:sp macro="" textlink="fill_data!$D$1">
      <cdr:nvSpPr>
        <cdr:cNvPr id="34818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552700" y="446650"/>
          <a:ext cx="1685925" cy="2956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h-TH" sz="900" b="0" i="0" strike="noStrike">
              <a:solidFill>
                <a:srgbClr val="000000"/>
              </a:solidFill>
              <a:latin typeface="Arial"/>
            </a:rPr>
            <a:t>มูลบน</a:t>
          </a:r>
        </a:p>
      </cdr:txBody>
    </cdr:sp>
  </cdr:relSizeAnchor>
  <cdr:relSizeAnchor xmlns:cdr="http://schemas.openxmlformats.org/drawingml/2006/chartDrawing">
    <cdr:from>
      <cdr:x>0.28663</cdr:x>
      <cdr:y>0.13662</cdr:y>
    </cdr:from>
    <cdr:to>
      <cdr:x>0.48484</cdr:x>
      <cdr:y>0.20757</cdr:y>
    </cdr:to>
    <cdr:sp macro="" textlink="">
      <cdr:nvSpPr>
        <cdr:cNvPr id="4" name="TextBox 3"/>
        <cdr:cNvSpPr txBox="1"/>
      </cdr:nvSpPr>
      <cdr:spPr bwMode="auto">
        <a:xfrm xmlns:a="http://schemas.openxmlformats.org/drawingml/2006/main">
          <a:off x="1543050" y="476250"/>
          <a:ext cx="1000125" cy="2476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ctr" upright="1"/>
        <a:lstStyle xmlns:a="http://schemas.openxmlformats.org/drawingml/2006/main"/>
        <a:p xmlns:a="http://schemas.openxmlformats.org/drawingml/2006/main">
          <a:pPr algn="r" rtl="1"/>
          <a:r>
            <a:rPr lang="th-TH" sz="1200" b="1" i="0" strike="noStrike">
              <a:solidFill>
                <a:srgbClr val="000000"/>
              </a:solidFill>
              <a:latin typeface="Arial"/>
              <a:cs typeface="Arial"/>
            </a:rPr>
            <a:t>อ่างเก็บน้ำ</a:t>
          </a:r>
        </a:p>
      </cdr:txBody>
    </cdr:sp>
  </cdr:relSizeAnchor>
  <cdr:relSizeAnchor xmlns:cdr="http://schemas.openxmlformats.org/drawingml/2006/chartDrawing">
    <cdr:from>
      <cdr:x>0.49027</cdr:x>
      <cdr:y>0.13704</cdr:y>
    </cdr:from>
    <cdr:to>
      <cdr:x>0.66366</cdr:x>
      <cdr:y>0.19977</cdr:y>
    </cdr:to>
    <cdr:sp macro="" textlink="fill_data!$D$1">
      <cdr:nvSpPr>
        <cdr:cNvPr id="5" name="TextBox 4"/>
        <cdr:cNvSpPr txBox="1"/>
      </cdr:nvSpPr>
      <cdr:spPr bwMode="auto">
        <a:xfrm xmlns:a="http://schemas.openxmlformats.org/drawingml/2006/main">
          <a:off x="2733675" y="485775"/>
          <a:ext cx="933450" cy="2190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ctr" upright="1"/>
        <a:lstStyle xmlns:a="http://schemas.openxmlformats.org/drawingml/2006/main"/>
        <a:p xmlns:a="http://schemas.openxmlformats.org/drawingml/2006/main">
          <a:pPr algn="l" rtl="1"/>
          <a:fld id="{1198EB30-7A9F-464D-89C8-F82906755E30}" type="TxLink">
            <a:rPr lang="th-TH" sz="1200" b="1" i="0" strike="noStrike">
              <a:solidFill>
                <a:srgbClr val="000000"/>
              </a:solidFill>
              <a:latin typeface="Arial"/>
              <a:cs typeface="Arial"/>
            </a:rPr>
            <a:pPr algn="l" rtl="1"/>
            <a:t>มูลบน</a:t>
          </a:fld>
          <a:endParaRPr lang="th-TH" sz="1200" b="1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B2EC1B-D82F-8AF3-9B92-C9B2C07C664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49F67-D426-9446-CE8D-FDEE308001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Documents%20and%20Settings/Administrator/Desktop/Ros/otherproject/DOCUME~1/User/LOCALS~1/Temp/Temporary%20Directory%201%20for%20rainplan51.zip/dm_ric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Documents%20and%20Settings/Administrator/Desktop/Ros/otherproject/Documents%20and%20Settings/Administrator/Desktop/Ros&#3609;&#3657;&#3635;&#3629;&#3641;&#3609;/deman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ตัวอย่างCwr"/>
      <sheetName val="Prv"/>
      <sheetName val="Crop"/>
      <sheetName val="Kc"/>
      <sheetName val="ETo"/>
    </sheetNames>
    <sheetDataSet>
      <sheetData sheetId="0" refreshError="1">
        <row r="14">
          <cell r="E14">
            <v>1</v>
          </cell>
        </row>
        <row r="15">
          <cell r="E15">
            <v>2</v>
          </cell>
        </row>
        <row r="16">
          <cell r="E16">
            <v>3</v>
          </cell>
        </row>
        <row r="17">
          <cell r="E17">
            <v>4</v>
          </cell>
        </row>
        <row r="18">
          <cell r="E18">
            <v>5</v>
          </cell>
        </row>
        <row r="19">
          <cell r="E19">
            <v>6</v>
          </cell>
        </row>
        <row r="20">
          <cell r="E20">
            <v>7</v>
          </cell>
        </row>
        <row r="21">
          <cell r="E21">
            <v>8</v>
          </cell>
        </row>
        <row r="22">
          <cell r="E22">
            <v>9</v>
          </cell>
        </row>
        <row r="23">
          <cell r="E23">
            <v>10</v>
          </cell>
        </row>
        <row r="24">
          <cell r="E24">
            <v>11</v>
          </cell>
        </row>
        <row r="25">
          <cell r="E25">
            <v>12</v>
          </cell>
        </row>
        <row r="26">
          <cell r="E26">
            <v>13</v>
          </cell>
        </row>
        <row r="27">
          <cell r="E27">
            <v>14</v>
          </cell>
        </row>
        <row r="28">
          <cell r="E28">
            <v>15</v>
          </cell>
        </row>
        <row r="29">
          <cell r="E29">
            <v>16</v>
          </cell>
        </row>
        <row r="30">
          <cell r="E30">
            <v>17</v>
          </cell>
        </row>
        <row r="31">
          <cell r="E31">
            <v>18</v>
          </cell>
        </row>
        <row r="32">
          <cell r="E32">
            <v>19</v>
          </cell>
        </row>
        <row r="33">
          <cell r="E33">
            <v>20</v>
          </cell>
        </row>
        <row r="34">
          <cell r="E34">
            <v>21</v>
          </cell>
        </row>
        <row r="35">
          <cell r="E35">
            <v>22</v>
          </cell>
        </row>
        <row r="36">
          <cell r="E36">
            <v>23</v>
          </cell>
        </row>
        <row r="37">
          <cell r="E37">
            <v>24</v>
          </cell>
        </row>
        <row r="38">
          <cell r="E38">
            <v>25</v>
          </cell>
        </row>
        <row r="39">
          <cell r="E39">
            <v>26</v>
          </cell>
        </row>
        <row r="40">
          <cell r="E40">
            <v>27</v>
          </cell>
        </row>
        <row r="41">
          <cell r="E41">
            <v>28</v>
          </cell>
        </row>
        <row r="42">
          <cell r="E42">
            <v>29</v>
          </cell>
        </row>
        <row r="43">
          <cell r="E43">
            <v>30</v>
          </cell>
        </row>
        <row r="44">
          <cell r="E44">
            <v>31</v>
          </cell>
        </row>
        <row r="45">
          <cell r="E45">
            <v>32</v>
          </cell>
        </row>
        <row r="46">
          <cell r="E46">
            <v>33</v>
          </cell>
        </row>
        <row r="47">
          <cell r="E47">
            <v>34</v>
          </cell>
        </row>
        <row r="48">
          <cell r="E48">
            <v>35</v>
          </cell>
        </row>
        <row r="49">
          <cell r="E49">
            <v>36</v>
          </cell>
        </row>
        <row r="50">
          <cell r="E50">
            <v>37</v>
          </cell>
        </row>
        <row r="51">
          <cell r="E51">
            <v>38</v>
          </cell>
        </row>
        <row r="52">
          <cell r="E52">
            <v>39</v>
          </cell>
        </row>
        <row r="53">
          <cell r="E53">
            <v>40</v>
          </cell>
        </row>
        <row r="54">
          <cell r="E54">
            <v>41</v>
          </cell>
        </row>
        <row r="55">
          <cell r="E55">
            <v>42</v>
          </cell>
        </row>
        <row r="56">
          <cell r="E56">
            <v>43</v>
          </cell>
        </row>
        <row r="57">
          <cell r="E57">
            <v>44</v>
          </cell>
        </row>
        <row r="58">
          <cell r="E58">
            <v>45</v>
          </cell>
        </row>
        <row r="59">
          <cell r="E59">
            <v>46</v>
          </cell>
        </row>
        <row r="60">
          <cell r="E60">
            <v>47</v>
          </cell>
        </row>
        <row r="61">
          <cell r="E61">
            <v>48</v>
          </cell>
        </row>
        <row r="62">
          <cell r="E62">
            <v>49</v>
          </cell>
        </row>
        <row r="63">
          <cell r="E63">
            <v>50</v>
          </cell>
        </row>
        <row r="64">
          <cell r="E64">
            <v>51</v>
          </cell>
        </row>
        <row r="65">
          <cell r="E65">
            <v>52</v>
          </cell>
        </row>
      </sheetData>
      <sheetData sheetId="1" refreshError="1">
        <row r="3">
          <cell r="D3" t="str">
            <v>ชัยนาท</v>
          </cell>
        </row>
        <row r="4">
          <cell r="D4" t="str">
            <v>นนทบุรี</v>
          </cell>
        </row>
        <row r="5">
          <cell r="D5" t="str">
            <v>ปทุมธานี</v>
          </cell>
        </row>
        <row r="6">
          <cell r="D6" t="str">
            <v>กรุงเทพมหานคร</v>
          </cell>
        </row>
        <row r="7">
          <cell r="D7" t="str">
            <v>พระนครศรีอยุธยา</v>
          </cell>
        </row>
        <row r="8">
          <cell r="D8" t="str">
            <v>ลพบุรี</v>
          </cell>
        </row>
        <row r="9">
          <cell r="D9" t="str">
            <v>สระบุรี</v>
          </cell>
        </row>
        <row r="10">
          <cell r="D10" t="str">
            <v>สิงห์บุรี</v>
          </cell>
        </row>
        <row r="11">
          <cell r="D11" t="str">
            <v>อ่างทอง</v>
          </cell>
        </row>
        <row r="12">
          <cell r="D12" t="str">
            <v>จันทบุรี</v>
          </cell>
        </row>
        <row r="13">
          <cell r="D13" t="str">
            <v>ฉะเชิงเทรา</v>
          </cell>
        </row>
        <row r="14">
          <cell r="D14" t="str">
            <v>ชลบุรี</v>
          </cell>
        </row>
        <row r="15">
          <cell r="D15" t="str">
            <v>ตราด</v>
          </cell>
        </row>
        <row r="16">
          <cell r="D16" t="str">
            <v>นครนายก</v>
          </cell>
        </row>
        <row r="17">
          <cell r="D17" t="str">
            <v>ปราจีนบุรี</v>
          </cell>
        </row>
        <row r="18">
          <cell r="D18" t="str">
            <v>ระยอง</v>
          </cell>
        </row>
        <row r="19">
          <cell r="D19" t="str">
            <v>สมุทรปราการ</v>
          </cell>
        </row>
        <row r="20">
          <cell r="D20" t="str">
            <v>สระแก้ว</v>
          </cell>
        </row>
        <row r="21">
          <cell r="D21" t="str">
            <v>กาญจนบุรี</v>
          </cell>
        </row>
        <row r="22">
          <cell r="D22" t="str">
            <v>นครปฐม</v>
          </cell>
        </row>
        <row r="23">
          <cell r="D23" t="str">
            <v>ประจวบคีรีขันธ์</v>
          </cell>
        </row>
        <row r="24">
          <cell r="D24" t="str">
            <v>เพชรบุรี</v>
          </cell>
        </row>
        <row r="25">
          <cell r="D25" t="str">
            <v>ราชบุรี</v>
          </cell>
        </row>
        <row r="26">
          <cell r="D26" t="str">
            <v>สมุทรสงคราม</v>
          </cell>
        </row>
        <row r="27">
          <cell r="D27" t="str">
            <v>สมุทรสาคร</v>
          </cell>
        </row>
        <row r="28">
          <cell r="D28" t="str">
            <v>สุพรรณบุรี</v>
          </cell>
        </row>
        <row r="29">
          <cell r="D29" t="str">
            <v>กำแพงเพชร</v>
          </cell>
        </row>
        <row r="30">
          <cell r="D30" t="str">
            <v>เชียงราย</v>
          </cell>
        </row>
        <row r="31">
          <cell r="D31" t="str">
            <v>เชียงใหม่</v>
          </cell>
        </row>
        <row r="32">
          <cell r="D32" t="str">
            <v>ตาก</v>
          </cell>
        </row>
        <row r="33">
          <cell r="D33" t="str">
            <v>นครสวรรค์</v>
          </cell>
        </row>
        <row r="34">
          <cell r="D34" t="str">
            <v>น่าน</v>
          </cell>
        </row>
        <row r="35">
          <cell r="D35" t="str">
            <v>พิจิตร</v>
          </cell>
        </row>
        <row r="36">
          <cell r="D36" t="str">
            <v>พิษณุโลก</v>
          </cell>
        </row>
        <row r="37">
          <cell r="D37" t="str">
            <v>เพชรบูรณ์</v>
          </cell>
        </row>
        <row r="38">
          <cell r="D38" t="str">
            <v>แพร่</v>
          </cell>
        </row>
        <row r="39">
          <cell r="D39" t="str">
            <v>แม่ฮ่องสอน</v>
          </cell>
        </row>
        <row r="40">
          <cell r="D40" t="str">
            <v>ลำปาง</v>
          </cell>
        </row>
        <row r="41">
          <cell r="D41" t="str">
            <v>ลำพูน</v>
          </cell>
        </row>
        <row r="42">
          <cell r="D42" t="str">
            <v>สุโขทัย</v>
          </cell>
        </row>
        <row r="43">
          <cell r="D43" t="str">
            <v>อุตรดิตถ์</v>
          </cell>
        </row>
        <row r="44">
          <cell r="D44" t="str">
            <v>อุทัยธานี</v>
          </cell>
        </row>
        <row r="45">
          <cell r="D45" t="str">
            <v>พะเยา</v>
          </cell>
        </row>
        <row r="46">
          <cell r="D46" t="str">
            <v>กาฬสินธุ์</v>
          </cell>
        </row>
        <row r="47">
          <cell r="D47" t="str">
            <v>ขอนแก่น</v>
          </cell>
        </row>
        <row r="48">
          <cell r="D48" t="str">
            <v>ชัยภูมิ</v>
          </cell>
        </row>
        <row r="49">
          <cell r="D49" t="str">
            <v>ยโสธร</v>
          </cell>
        </row>
        <row r="50">
          <cell r="D50" t="str">
            <v>นครพนม</v>
          </cell>
        </row>
        <row r="51">
          <cell r="D51" t="str">
            <v>นครราชสีมา</v>
          </cell>
        </row>
        <row r="52">
          <cell r="D52" t="str">
            <v>บุรีรัมย์</v>
          </cell>
        </row>
        <row r="53">
          <cell r="D53" t="str">
            <v>มหาสารคาม</v>
          </cell>
        </row>
        <row r="54">
          <cell r="D54" t="str">
            <v>ร้อยเอ็ด</v>
          </cell>
        </row>
        <row r="55">
          <cell r="D55" t="str">
            <v>เลย</v>
          </cell>
        </row>
        <row r="56">
          <cell r="D56" t="str">
            <v>ศรีสะเกษ</v>
          </cell>
        </row>
        <row r="57">
          <cell r="D57" t="str">
            <v>สกลนคร</v>
          </cell>
        </row>
        <row r="58">
          <cell r="D58" t="str">
            <v>สุรินทร์</v>
          </cell>
        </row>
        <row r="59">
          <cell r="D59" t="str">
            <v>หนองคาย</v>
          </cell>
        </row>
        <row r="60">
          <cell r="D60" t="str">
            <v>อุดรธานี</v>
          </cell>
        </row>
        <row r="61">
          <cell r="D61" t="str">
            <v>อุบลราชธานี</v>
          </cell>
        </row>
        <row r="62">
          <cell r="D62" t="str">
            <v>มุกดาหาร</v>
          </cell>
        </row>
        <row r="63">
          <cell r="D63" t="str">
            <v>หนองบัวลำภู</v>
          </cell>
        </row>
        <row r="64">
          <cell r="D64" t="str">
            <v>อำนาจเจริญ</v>
          </cell>
        </row>
        <row r="65">
          <cell r="D65" t="str">
            <v>กระบี่</v>
          </cell>
        </row>
        <row r="66">
          <cell r="D66" t="str">
            <v>ชุมพร</v>
          </cell>
        </row>
        <row r="67">
          <cell r="D67" t="str">
            <v>ตรัง</v>
          </cell>
        </row>
        <row r="68">
          <cell r="D68" t="str">
            <v>นครศรีธรรมราช</v>
          </cell>
        </row>
        <row r="69">
          <cell r="D69" t="str">
            <v>นราธิวาส</v>
          </cell>
        </row>
        <row r="70">
          <cell r="D70" t="str">
            <v>ปัตตานี</v>
          </cell>
        </row>
        <row r="71">
          <cell r="D71" t="str">
            <v>พังงา</v>
          </cell>
        </row>
        <row r="72">
          <cell r="D72" t="str">
            <v>พัทลุง</v>
          </cell>
        </row>
        <row r="73">
          <cell r="D73" t="str">
            <v>ภูเก็ต</v>
          </cell>
        </row>
        <row r="74">
          <cell r="D74" t="str">
            <v>ยะลา</v>
          </cell>
        </row>
        <row r="75">
          <cell r="D75" t="str">
            <v>ระนอง</v>
          </cell>
        </row>
        <row r="76">
          <cell r="D76" t="str">
            <v>สงขลา</v>
          </cell>
        </row>
        <row r="77">
          <cell r="D77" t="str">
            <v>สตูล</v>
          </cell>
        </row>
        <row r="78">
          <cell r="D78" t="str">
            <v>สุราษฎร์ธานี</v>
          </cell>
        </row>
      </sheetData>
      <sheetData sheetId="2" refreshError="1">
        <row r="3">
          <cell r="B3" t="str">
            <v>ข้าว กข.(นาดำ)</v>
          </cell>
        </row>
        <row r="4">
          <cell r="B4" t="str">
            <v>ข้าวบาสมาติ</v>
          </cell>
        </row>
        <row r="5">
          <cell r="B5" t="str">
            <v>ข้าวสาลี</v>
          </cell>
        </row>
        <row r="6">
          <cell r="B6" t="str">
            <v>ข้าวโพดเลี้ยงสัตว์</v>
          </cell>
        </row>
        <row r="7">
          <cell r="B7" t="str">
            <v>ข้าวโพดหวาน</v>
          </cell>
        </row>
        <row r="8">
          <cell r="B8" t="str">
            <v>ข้าว
ฟ่าง</v>
          </cell>
        </row>
        <row r="9">
          <cell r="B9" t="str">
            <v>ถั่วเหลือง</v>
          </cell>
        </row>
        <row r="10">
          <cell r="B10" t="str">
            <v>ถั่ว
ลิสง</v>
          </cell>
        </row>
        <row r="11">
          <cell r="B11" t="str">
            <v>ถั่ว
เขียว</v>
          </cell>
        </row>
        <row r="12">
          <cell r="B12" t="str">
            <v>งา</v>
          </cell>
        </row>
        <row r="13">
          <cell r="B13" t="str">
            <v>ยาสูบ</v>
          </cell>
        </row>
        <row r="14">
          <cell r="B14" t="str">
            <v>ทาน
ตะวัน</v>
          </cell>
        </row>
        <row r="15">
          <cell r="B15" t="str">
            <v>แตงโม</v>
          </cell>
        </row>
        <row r="16">
          <cell r="B16" t="str">
            <v>มะเขือเทศ</v>
          </cell>
        </row>
        <row r="17">
          <cell r="B17" t="str">
            <v>หอมหัวใหญ่</v>
          </cell>
        </row>
        <row r="18">
          <cell r="B18" t="str">
            <v>หอม
แดง</v>
          </cell>
        </row>
        <row r="19">
          <cell r="B19" t="str">
            <v>มะระ</v>
          </cell>
        </row>
        <row r="20">
          <cell r="B20" t="str">
            <v>กะหล่ำดอก</v>
          </cell>
        </row>
        <row r="21">
          <cell r="B21" t="str">
            <v>คะน้า</v>
          </cell>
        </row>
        <row r="22">
          <cell r="B22" t="str">
            <v>ไม้ดอก (บานชื่น)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พืช"/>
      <sheetName val="บ่อปลา"/>
      <sheetName val="บ่อกุ้ง"/>
      <sheetName val="Prv"/>
      <sheetName val="Crop"/>
      <sheetName val="Kc"/>
      <sheetName val="ETo"/>
      <sheetName val="FAO"/>
    </sheetNames>
    <sheetDataSet>
      <sheetData sheetId="0" refreshError="1">
        <row r="16">
          <cell r="E16">
            <v>1</v>
          </cell>
        </row>
        <row r="17">
          <cell r="E17">
            <v>2</v>
          </cell>
        </row>
        <row r="18">
          <cell r="E18">
            <v>3</v>
          </cell>
        </row>
        <row r="19">
          <cell r="E19">
            <v>4</v>
          </cell>
        </row>
        <row r="20">
          <cell r="E20">
            <v>5</v>
          </cell>
        </row>
        <row r="21">
          <cell r="E21">
            <v>6</v>
          </cell>
        </row>
        <row r="22">
          <cell r="E22">
            <v>7</v>
          </cell>
        </row>
        <row r="23">
          <cell r="E23">
            <v>8</v>
          </cell>
        </row>
        <row r="24">
          <cell r="E24">
            <v>9</v>
          </cell>
        </row>
        <row r="25">
          <cell r="E25">
            <v>10</v>
          </cell>
        </row>
        <row r="26">
          <cell r="E26">
            <v>11</v>
          </cell>
        </row>
        <row r="27">
          <cell r="E27">
            <v>12</v>
          </cell>
        </row>
        <row r="28">
          <cell r="E28">
            <v>13</v>
          </cell>
        </row>
        <row r="29">
          <cell r="E29">
            <v>14</v>
          </cell>
        </row>
        <row r="30">
          <cell r="E30">
            <v>15</v>
          </cell>
        </row>
        <row r="31">
          <cell r="E31">
            <v>16</v>
          </cell>
        </row>
        <row r="32">
          <cell r="E32">
            <v>17</v>
          </cell>
        </row>
        <row r="33">
          <cell r="E33">
            <v>18</v>
          </cell>
        </row>
        <row r="34">
          <cell r="E34">
            <v>19</v>
          </cell>
        </row>
        <row r="35">
          <cell r="E35">
            <v>20</v>
          </cell>
        </row>
        <row r="36">
          <cell r="E36">
            <v>21</v>
          </cell>
        </row>
        <row r="37">
          <cell r="E37">
            <v>22</v>
          </cell>
        </row>
        <row r="38">
          <cell r="E38">
            <v>23</v>
          </cell>
        </row>
        <row r="39">
          <cell r="E39">
            <v>24</v>
          </cell>
        </row>
        <row r="40">
          <cell r="E40">
            <v>25</v>
          </cell>
        </row>
        <row r="41">
          <cell r="E41">
            <v>26</v>
          </cell>
        </row>
        <row r="42">
          <cell r="E42">
            <v>27</v>
          </cell>
        </row>
        <row r="43">
          <cell r="E43">
            <v>28</v>
          </cell>
        </row>
        <row r="44">
          <cell r="E44">
            <v>29</v>
          </cell>
        </row>
        <row r="45">
          <cell r="E45">
            <v>30</v>
          </cell>
        </row>
        <row r="46">
          <cell r="E46">
            <v>31</v>
          </cell>
        </row>
        <row r="47">
          <cell r="E47">
            <v>32</v>
          </cell>
        </row>
        <row r="48">
          <cell r="E48">
            <v>33</v>
          </cell>
        </row>
        <row r="49">
          <cell r="E49">
            <v>34</v>
          </cell>
        </row>
        <row r="50">
          <cell r="E50">
            <v>35</v>
          </cell>
        </row>
        <row r="51">
          <cell r="E51">
            <v>36</v>
          </cell>
        </row>
        <row r="52">
          <cell r="E52">
            <v>37</v>
          </cell>
        </row>
        <row r="53">
          <cell r="E53">
            <v>38</v>
          </cell>
        </row>
        <row r="54">
          <cell r="E54">
            <v>39</v>
          </cell>
        </row>
        <row r="55">
          <cell r="E55">
            <v>40</v>
          </cell>
        </row>
        <row r="56">
          <cell r="E56">
            <v>41</v>
          </cell>
        </row>
        <row r="57">
          <cell r="E57">
            <v>42</v>
          </cell>
        </row>
        <row r="58">
          <cell r="E58">
            <v>43</v>
          </cell>
        </row>
        <row r="59">
          <cell r="E59">
            <v>44</v>
          </cell>
        </row>
        <row r="60">
          <cell r="E60">
            <v>45</v>
          </cell>
        </row>
        <row r="61">
          <cell r="E61">
            <v>46</v>
          </cell>
        </row>
        <row r="62">
          <cell r="E62">
            <v>47</v>
          </cell>
        </row>
        <row r="63">
          <cell r="E63">
            <v>48</v>
          </cell>
        </row>
        <row r="64">
          <cell r="E64">
            <v>49</v>
          </cell>
        </row>
        <row r="65">
          <cell r="E65">
            <v>50</v>
          </cell>
        </row>
        <row r="66">
          <cell r="E66">
            <v>51</v>
          </cell>
        </row>
        <row r="67">
          <cell r="E67">
            <v>52</v>
          </cell>
        </row>
      </sheetData>
      <sheetData sheetId="1"/>
      <sheetData sheetId="2"/>
      <sheetData sheetId="3" refreshError="1">
        <row r="3">
          <cell r="D3" t="str">
            <v>ชัยนาท</v>
          </cell>
        </row>
        <row r="4">
          <cell r="D4" t="str">
            <v>นนทบุรี</v>
          </cell>
        </row>
        <row r="5">
          <cell r="D5" t="str">
            <v>ปทุมธานี</v>
          </cell>
        </row>
        <row r="6">
          <cell r="D6" t="str">
            <v>กรุงเทพมหานคร</v>
          </cell>
        </row>
        <row r="7">
          <cell r="D7" t="str">
            <v>พระนครศรีอยุธยา</v>
          </cell>
        </row>
        <row r="8">
          <cell r="D8" t="str">
            <v>ลพบุรี</v>
          </cell>
        </row>
        <row r="9">
          <cell r="D9" t="str">
            <v>สระบุรี</v>
          </cell>
        </row>
        <row r="10">
          <cell r="D10" t="str">
            <v>สิงห์บุรี</v>
          </cell>
        </row>
        <row r="11">
          <cell r="D11" t="str">
            <v>อ่างทอง</v>
          </cell>
        </row>
        <row r="12">
          <cell r="D12" t="str">
            <v>จันทบุรี</v>
          </cell>
        </row>
        <row r="13">
          <cell r="D13" t="str">
            <v>ฉะเชิงเทรา</v>
          </cell>
        </row>
        <row r="14">
          <cell r="D14" t="str">
            <v>ชลบุรี</v>
          </cell>
        </row>
        <row r="15">
          <cell r="D15" t="str">
            <v>ตราด</v>
          </cell>
        </row>
        <row r="16">
          <cell r="D16" t="str">
            <v>นครนายก</v>
          </cell>
        </row>
        <row r="17">
          <cell r="D17" t="str">
            <v>ปราจีนบุรี</v>
          </cell>
        </row>
        <row r="18">
          <cell r="D18" t="str">
            <v>ระยอง</v>
          </cell>
        </row>
        <row r="19">
          <cell r="D19" t="str">
            <v>สมุทรปราการ</v>
          </cell>
        </row>
        <row r="20">
          <cell r="D20" t="str">
            <v>สระแก้ว</v>
          </cell>
        </row>
        <row r="21">
          <cell r="D21" t="str">
            <v>กาญจนบุรี</v>
          </cell>
        </row>
        <row r="22">
          <cell r="D22" t="str">
            <v>นครปฐม</v>
          </cell>
        </row>
        <row r="23">
          <cell r="D23" t="str">
            <v>ประจวบคีรีขันธ์</v>
          </cell>
        </row>
        <row r="24">
          <cell r="D24" t="str">
            <v>เพชรบุรี</v>
          </cell>
        </row>
        <row r="25">
          <cell r="D25" t="str">
            <v>ราชบุรี</v>
          </cell>
        </row>
        <row r="26">
          <cell r="D26" t="str">
            <v>สมุทรสงคราม</v>
          </cell>
        </row>
        <row r="27">
          <cell r="D27" t="str">
            <v>สมุทรสาคร</v>
          </cell>
        </row>
        <row r="28">
          <cell r="D28" t="str">
            <v>สุพรรณบุรี</v>
          </cell>
        </row>
        <row r="29">
          <cell r="D29" t="str">
            <v>กำแพงเพชร</v>
          </cell>
        </row>
        <row r="30">
          <cell r="D30" t="str">
            <v>เชียงราย</v>
          </cell>
        </row>
        <row r="31">
          <cell r="D31" t="str">
            <v>เชียงใหม่</v>
          </cell>
        </row>
        <row r="32">
          <cell r="D32" t="str">
            <v>ตาก</v>
          </cell>
        </row>
        <row r="33">
          <cell r="D33" t="str">
            <v>นครสวรรค์</v>
          </cell>
        </row>
        <row r="34">
          <cell r="D34" t="str">
            <v>น่าน</v>
          </cell>
        </row>
        <row r="35">
          <cell r="D35" t="str">
            <v>พิจิตร</v>
          </cell>
        </row>
        <row r="36">
          <cell r="D36" t="str">
            <v>พิษณุโลก</v>
          </cell>
        </row>
        <row r="37">
          <cell r="D37" t="str">
            <v>เพชรบูรณ์</v>
          </cell>
        </row>
        <row r="38">
          <cell r="D38" t="str">
            <v>แพร่</v>
          </cell>
        </row>
        <row r="39">
          <cell r="D39" t="str">
            <v>แม่ฮ่องสอน</v>
          </cell>
        </row>
        <row r="40">
          <cell r="D40" t="str">
            <v>ลำปาง</v>
          </cell>
        </row>
        <row r="41">
          <cell r="D41" t="str">
            <v>ลำพูน</v>
          </cell>
        </row>
        <row r="42">
          <cell r="D42" t="str">
            <v>สุโขทัย</v>
          </cell>
        </row>
        <row r="43">
          <cell r="D43" t="str">
            <v>อุตรดิตถ์</v>
          </cell>
        </row>
        <row r="44">
          <cell r="D44" t="str">
            <v>อุทัยธานี</v>
          </cell>
        </row>
        <row r="45">
          <cell r="D45" t="str">
            <v>พะเยา</v>
          </cell>
        </row>
        <row r="46">
          <cell r="D46" t="str">
            <v>กาฬสินธุ์</v>
          </cell>
        </row>
        <row r="47">
          <cell r="D47" t="str">
            <v>ขอนแก่น</v>
          </cell>
        </row>
        <row r="48">
          <cell r="D48" t="str">
            <v>ชัยภูมิ</v>
          </cell>
        </row>
        <row r="49">
          <cell r="D49" t="str">
            <v>ยโสธร</v>
          </cell>
        </row>
        <row r="50">
          <cell r="D50" t="str">
            <v>นครพนม</v>
          </cell>
        </row>
        <row r="51">
          <cell r="D51" t="str">
            <v>นครราชสีมา</v>
          </cell>
        </row>
        <row r="52">
          <cell r="D52" t="str">
            <v>บุรีรัมย์</v>
          </cell>
        </row>
        <row r="53">
          <cell r="D53" t="str">
            <v>มหาสารคาม</v>
          </cell>
        </row>
        <row r="54">
          <cell r="D54" t="str">
            <v>ร้อยเอ็ด</v>
          </cell>
        </row>
        <row r="55">
          <cell r="D55" t="str">
            <v>เลย</v>
          </cell>
        </row>
        <row r="56">
          <cell r="D56" t="str">
            <v>ศรีสะเกษ</v>
          </cell>
        </row>
        <row r="57">
          <cell r="D57" t="str">
            <v>สกลนคร</v>
          </cell>
        </row>
        <row r="58">
          <cell r="D58" t="str">
            <v>สุรินทร์</v>
          </cell>
        </row>
        <row r="59">
          <cell r="D59" t="str">
            <v>หนองคาย</v>
          </cell>
        </row>
        <row r="60">
          <cell r="D60" t="str">
            <v>อุดรธานี</v>
          </cell>
        </row>
        <row r="61">
          <cell r="D61" t="str">
            <v>อุบลราชธานี</v>
          </cell>
        </row>
        <row r="62">
          <cell r="D62" t="str">
            <v>มุกดาหาร</v>
          </cell>
        </row>
        <row r="63">
          <cell r="D63" t="str">
            <v>หนองบัวลำภู</v>
          </cell>
        </row>
        <row r="64">
          <cell r="D64" t="str">
            <v>อำนาจเจริญ</v>
          </cell>
        </row>
        <row r="65">
          <cell r="D65" t="str">
            <v>กระบี่</v>
          </cell>
        </row>
        <row r="66">
          <cell r="D66" t="str">
            <v>ชุมพร</v>
          </cell>
        </row>
        <row r="67">
          <cell r="D67" t="str">
            <v>ตรัง</v>
          </cell>
        </row>
        <row r="68">
          <cell r="D68" t="str">
            <v>นครศรีธรรมราช</v>
          </cell>
        </row>
        <row r="69">
          <cell r="D69" t="str">
            <v>นราธิวาส</v>
          </cell>
        </row>
        <row r="70">
          <cell r="D70" t="str">
            <v>ปัตตานี</v>
          </cell>
        </row>
        <row r="71">
          <cell r="D71" t="str">
            <v>พังงา</v>
          </cell>
        </row>
        <row r="72">
          <cell r="D72" t="str">
            <v>พัทลุง</v>
          </cell>
        </row>
        <row r="73">
          <cell r="D73" t="str">
            <v>ภูเก็ต</v>
          </cell>
        </row>
        <row r="74">
          <cell r="D74" t="str">
            <v>ยะลา</v>
          </cell>
        </row>
        <row r="75">
          <cell r="D75" t="str">
            <v>ระนอง</v>
          </cell>
        </row>
        <row r="76">
          <cell r="D76" t="str">
            <v>สงขลา</v>
          </cell>
        </row>
        <row r="77">
          <cell r="D77" t="str">
            <v>สตูล</v>
          </cell>
        </row>
        <row r="78">
          <cell r="D78" t="str">
            <v>สุราษฎร์ธานี</v>
          </cell>
        </row>
      </sheetData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 bwMode="auto">
        <a:noFill/>
        <a:ln w="9525">
          <a:noFill/>
          <a:miter lim="800000"/>
          <a:headEnd/>
          <a:tailEnd/>
        </a:ln>
      </a:spPr>
      <a:bodyPr vertOverflow="clip" wrap="square" lIns="27432" tIns="22860" rIns="27432" bIns="0" rtlCol="0" anchor="t" upright="1"/>
      <a:lstStyle>
        <a:defPPr algn="ctr" rtl="1">
          <a:defRPr sz="1075" b="1" i="0" strike="noStrike">
            <a:solidFill>
              <a:srgbClr val="000000"/>
            </a:solidFill>
            <a:latin typeface="Arial"/>
            <a:cs typeface="Arial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88386-68D0-3948-BFE0-66A3C59C8996}">
  <sheetPr codeName="Sheet18">
    <tabColor indexed="13"/>
  </sheetPr>
  <dimension ref="A1:T430"/>
  <sheetViews>
    <sheetView showGridLines="0" topLeftCell="A45" zoomScale="141" zoomScaleNormal="91" workbookViewId="0">
      <selection activeCell="C75" sqref="C75"/>
    </sheetView>
  </sheetViews>
  <sheetFormatPr baseColWidth="10" defaultColWidth="9.1640625" defaultRowHeight="13" x14ac:dyDescent="0.15"/>
  <cols>
    <col min="2" max="2" width="10" customWidth="1"/>
    <col min="3" max="3" width="11.1640625" customWidth="1"/>
    <col min="5" max="5" width="10.83203125" customWidth="1"/>
    <col min="8" max="8" width="10.5" customWidth="1"/>
    <col min="9" max="9" width="9.5" customWidth="1"/>
    <col min="14" max="14" width="1.5" customWidth="1"/>
    <col min="18" max="18" width="12.6640625" bestFit="1" customWidth="1"/>
  </cols>
  <sheetData>
    <row r="1" spans="1:20" ht="16" x14ac:dyDescent="0.2">
      <c r="A1" s="638" t="s">
        <v>584</v>
      </c>
      <c r="B1" s="639"/>
      <c r="C1" s="639"/>
      <c r="D1" s="640" t="s">
        <v>874</v>
      </c>
      <c r="E1" s="641"/>
      <c r="F1" s="243"/>
      <c r="G1" s="244"/>
      <c r="H1" s="243" t="s">
        <v>566</v>
      </c>
      <c r="I1" s="295">
        <v>8</v>
      </c>
      <c r="J1" s="610" t="s">
        <v>416</v>
      </c>
      <c r="K1" s="629" t="s">
        <v>897</v>
      </c>
      <c r="L1" s="629"/>
      <c r="M1" s="629"/>
      <c r="N1" s="380"/>
      <c r="O1" s="381" t="s">
        <v>666</v>
      </c>
      <c r="P1" s="380"/>
      <c r="Q1" s="380"/>
      <c r="R1" s="380"/>
      <c r="S1" s="380"/>
      <c r="T1" s="380"/>
    </row>
    <row r="2" spans="1:20" ht="15" x14ac:dyDescent="0.15">
      <c r="B2" s="187" t="s">
        <v>686</v>
      </c>
      <c r="C2" s="185"/>
      <c r="D2" s="185"/>
      <c r="E2" s="419">
        <v>2566</v>
      </c>
      <c r="F2" s="197" t="s">
        <v>687</v>
      </c>
      <c r="G2" s="258">
        <v>86.084000000000003</v>
      </c>
      <c r="H2" s="186" t="s">
        <v>508</v>
      </c>
      <c r="I2" t="s">
        <v>572</v>
      </c>
      <c r="K2" s="376">
        <v>60</v>
      </c>
      <c r="L2" t="s">
        <v>573</v>
      </c>
    </row>
    <row r="3" spans="1:20" ht="14" thickBot="1" x14ac:dyDescent="0.2">
      <c r="B3" s="429" t="s">
        <v>404</v>
      </c>
      <c r="C3" s="644" t="s">
        <v>875</v>
      </c>
      <c r="D3" s="645"/>
      <c r="E3" s="422">
        <f>E2+1</f>
        <v>2567</v>
      </c>
      <c r="F3" s="185"/>
      <c r="G3" s="185"/>
      <c r="H3" s="185"/>
      <c r="I3" s="186"/>
      <c r="O3" s="360"/>
      <c r="P3" s="361"/>
      <c r="Q3" s="362" t="s">
        <v>436</v>
      </c>
      <c r="R3" s="356">
        <v>454</v>
      </c>
      <c r="S3" s="382" t="s">
        <v>437</v>
      </c>
    </row>
    <row r="4" spans="1:20" x14ac:dyDescent="0.15">
      <c r="A4" s="230" t="s">
        <v>108</v>
      </c>
      <c r="B4" s="245"/>
      <c r="C4" s="633" t="s">
        <v>45</v>
      </c>
      <c r="D4" s="634"/>
      <c r="O4" s="363"/>
      <c r="P4" s="364"/>
      <c r="Q4" s="365" t="s">
        <v>440</v>
      </c>
      <c r="R4" s="357">
        <v>18.34</v>
      </c>
      <c r="S4" s="383" t="s">
        <v>437</v>
      </c>
    </row>
    <row r="5" spans="1:20" x14ac:dyDescent="0.15">
      <c r="A5" s="225" t="s">
        <v>377</v>
      </c>
      <c r="B5" s="246"/>
      <c r="C5" s="635" t="str">
        <f>VLOOKUP(C4,Prv!$D$3:$E$78,2,FALSE)</f>
        <v>นครราชสีมา</v>
      </c>
      <c r="D5" s="636"/>
      <c r="O5" s="363"/>
      <c r="P5" s="364"/>
      <c r="Q5" s="365" t="s">
        <v>443</v>
      </c>
      <c r="R5" s="358">
        <v>1120</v>
      </c>
      <c r="S5" s="383" t="s">
        <v>444</v>
      </c>
    </row>
    <row r="6" spans="1:20" ht="14" thickBot="1" x14ac:dyDescent="0.2">
      <c r="A6" s="136" t="s">
        <v>374</v>
      </c>
      <c r="B6" s="137"/>
      <c r="C6" s="138"/>
      <c r="D6" s="231">
        <v>14</v>
      </c>
      <c r="O6" s="363"/>
      <c r="P6" s="364"/>
      <c r="Q6" s="365" t="s">
        <v>447</v>
      </c>
      <c r="R6" s="368">
        <v>1645</v>
      </c>
      <c r="S6" s="383" t="s">
        <v>444</v>
      </c>
    </row>
    <row r="7" spans="1:20" ht="14" thickBot="1" x14ac:dyDescent="0.2">
      <c r="A7" s="47"/>
      <c r="C7" s="158"/>
      <c r="O7" s="363"/>
      <c r="P7" s="364"/>
      <c r="Q7" s="365" t="s">
        <v>438</v>
      </c>
      <c r="R7" s="359">
        <v>230.7</v>
      </c>
      <c r="S7" s="383" t="s">
        <v>568</v>
      </c>
    </row>
    <row r="8" spans="1:20" ht="17" thickBot="1" x14ac:dyDescent="0.25">
      <c r="A8" s="145" t="s">
        <v>563</v>
      </c>
      <c r="E8" s="384" t="s">
        <v>2</v>
      </c>
      <c r="F8" s="385" t="s">
        <v>371</v>
      </c>
      <c r="H8" s="51" t="s">
        <v>561</v>
      </c>
      <c r="L8" s="384" t="s">
        <v>2</v>
      </c>
      <c r="M8" s="386" t="s">
        <v>371</v>
      </c>
      <c r="O8" s="363"/>
      <c r="P8" s="364"/>
      <c r="Q8" s="365" t="s">
        <v>441</v>
      </c>
      <c r="R8" s="359">
        <v>228.9</v>
      </c>
      <c r="S8" s="383" t="s">
        <v>568</v>
      </c>
    </row>
    <row r="9" spans="1:20" ht="14" thickBot="1" x14ac:dyDescent="0.2">
      <c r="E9" s="387">
        <v>1</v>
      </c>
      <c r="F9" s="379">
        <v>9820</v>
      </c>
      <c r="L9" s="387">
        <v>1</v>
      </c>
      <c r="M9" s="379"/>
      <c r="O9" s="363"/>
      <c r="P9" s="364"/>
      <c r="Q9" s="365" t="s">
        <v>445</v>
      </c>
      <c r="R9" s="359">
        <v>221</v>
      </c>
      <c r="S9" s="383" t="s">
        <v>568</v>
      </c>
    </row>
    <row r="10" spans="1:20" x14ac:dyDescent="0.15">
      <c r="A10" s="247" t="s">
        <v>146</v>
      </c>
      <c r="B10" s="245"/>
      <c r="C10" s="637" t="s">
        <v>148</v>
      </c>
      <c r="D10" s="632"/>
      <c r="E10" s="388">
        <f t="shared" ref="E10:E18" si="0">IF(E9="","",IF(E9+1&lt;=$D$13,E9+1,""))</f>
        <v>2</v>
      </c>
      <c r="F10" s="232">
        <v>10432</v>
      </c>
      <c r="H10" s="247" t="s">
        <v>146</v>
      </c>
      <c r="I10" s="245"/>
      <c r="J10" s="630" t="s">
        <v>148</v>
      </c>
      <c r="K10" s="632"/>
      <c r="L10" s="388">
        <f>IF(L9="","",IF(L9+1&lt;=$K$13,L9+1,""))</f>
        <v>2</v>
      </c>
      <c r="M10" s="232"/>
      <c r="O10" s="363"/>
      <c r="P10" s="364"/>
      <c r="Q10" s="365" t="s">
        <v>448</v>
      </c>
      <c r="R10" s="359">
        <v>208</v>
      </c>
      <c r="S10" s="383" t="s">
        <v>568</v>
      </c>
    </row>
    <row r="11" spans="1:20" ht="15" x14ac:dyDescent="0.15">
      <c r="A11" s="248" t="s">
        <v>147</v>
      </c>
      <c r="B11" s="249"/>
      <c r="C11" s="250">
        <f>VLOOKUP(C10,Crop!$B$3:$C$35,2,FALSE)</f>
        <v>13</v>
      </c>
      <c r="D11" s="234">
        <v>36</v>
      </c>
      <c r="E11" s="388">
        <f t="shared" si="0"/>
        <v>3</v>
      </c>
      <c r="F11" s="232">
        <v>12500</v>
      </c>
      <c r="H11" s="248" t="s">
        <v>147</v>
      </c>
      <c r="I11" s="249"/>
      <c r="J11" s="250">
        <f>VLOOKUP(J10,Crop!$B$3:$C$35,2,FALSE)</f>
        <v>13</v>
      </c>
      <c r="K11" s="234">
        <v>14</v>
      </c>
      <c r="L11" s="388">
        <f>IF(L10="","",IF(L10+1&lt;=$K$13,L10+1,""))</f>
        <v>3</v>
      </c>
      <c r="M11" s="232"/>
      <c r="O11" s="363"/>
      <c r="P11" s="364"/>
      <c r="Q11" s="366" t="s">
        <v>439</v>
      </c>
      <c r="R11" s="628">
        <f>B425</f>
        <v>99.047010777159954</v>
      </c>
      <c r="S11" s="383" t="s">
        <v>660</v>
      </c>
    </row>
    <row r="12" spans="1:20" ht="15" x14ac:dyDescent="0.15">
      <c r="A12" s="225" t="s">
        <v>562</v>
      </c>
      <c r="B12" s="226"/>
      <c r="C12" s="251"/>
      <c r="D12" s="254">
        <f>SUM(F9:F28)</f>
        <v>45731</v>
      </c>
      <c r="E12" s="388">
        <f t="shared" si="0"/>
        <v>4</v>
      </c>
      <c r="F12" s="232">
        <v>12979</v>
      </c>
      <c r="H12" s="225" t="s">
        <v>562</v>
      </c>
      <c r="I12" s="226"/>
      <c r="J12" s="251"/>
      <c r="K12" s="254">
        <f>SUM(M9:M28)</f>
        <v>0</v>
      </c>
      <c r="L12" s="388" t="str">
        <f>IF(L11="","",IF(L11+1&lt;=$K$13,L11+1,""))</f>
        <v/>
      </c>
      <c r="M12" s="232"/>
      <c r="O12" s="363"/>
      <c r="P12" s="364"/>
      <c r="Q12" s="367" t="s">
        <v>661</v>
      </c>
      <c r="R12" s="357">
        <v>350</v>
      </c>
      <c r="S12" s="383" t="s">
        <v>660</v>
      </c>
    </row>
    <row r="13" spans="1:20" ht="15" x14ac:dyDescent="0.15">
      <c r="A13" s="227" t="s">
        <v>376</v>
      </c>
      <c r="B13" s="228"/>
      <c r="C13" s="252"/>
      <c r="D13" s="236">
        <v>4</v>
      </c>
      <c r="E13" s="388" t="str">
        <f t="shared" si="0"/>
        <v/>
      </c>
      <c r="F13" s="232"/>
      <c r="H13" s="227" t="s">
        <v>376</v>
      </c>
      <c r="I13" s="228"/>
      <c r="J13" s="252"/>
      <c r="K13" s="236">
        <v>3</v>
      </c>
      <c r="L13" s="388" t="str">
        <f>IF(L12="","",IF(L12+1&lt;=$K$13,L12+1,""))</f>
        <v/>
      </c>
      <c r="M13" s="232"/>
      <c r="O13" s="363"/>
      <c r="P13" s="364"/>
      <c r="Q13" s="367" t="s">
        <v>662</v>
      </c>
      <c r="R13" s="357">
        <v>141</v>
      </c>
      <c r="S13" s="383" t="s">
        <v>660</v>
      </c>
    </row>
    <row r="14" spans="1:20" ht="16" thickBot="1" x14ac:dyDescent="0.2">
      <c r="A14" s="224" t="s">
        <v>677</v>
      </c>
      <c r="B14" s="229"/>
      <c r="C14" s="253"/>
      <c r="D14" s="238">
        <v>100</v>
      </c>
      <c r="E14" s="388" t="str">
        <f t="shared" si="0"/>
        <v/>
      </c>
      <c r="F14" s="232"/>
      <c r="H14" s="224" t="s">
        <v>677</v>
      </c>
      <c r="I14" s="229"/>
      <c r="J14" s="253"/>
      <c r="K14" s="238">
        <v>100</v>
      </c>
      <c r="L14" s="388" t="str">
        <f t="shared" ref="L14:L28" si="1">IF(L13="","",IF(L13+1&lt;=$K$13,L13+1,""))</f>
        <v/>
      </c>
      <c r="M14" s="232"/>
      <c r="O14" s="363"/>
      <c r="P14" s="364"/>
      <c r="Q14" s="367" t="s">
        <v>663</v>
      </c>
      <c r="R14" s="357">
        <v>7</v>
      </c>
      <c r="S14" s="383" t="s">
        <v>660</v>
      </c>
    </row>
    <row r="15" spans="1:20" x14ac:dyDescent="0.15">
      <c r="E15" s="388" t="str">
        <f t="shared" si="0"/>
        <v/>
      </c>
      <c r="F15" s="232"/>
      <c r="L15" s="388" t="str">
        <f t="shared" si="1"/>
        <v/>
      </c>
      <c r="M15" s="232"/>
      <c r="O15" s="389"/>
      <c r="P15" s="390"/>
      <c r="Q15" s="391" t="s">
        <v>664</v>
      </c>
      <c r="R15" s="369">
        <v>45798</v>
      </c>
      <c r="S15" s="392" t="s">
        <v>665</v>
      </c>
    </row>
    <row r="16" spans="1:20" x14ac:dyDescent="0.15">
      <c r="E16" s="388" t="str">
        <f t="shared" si="0"/>
        <v/>
      </c>
      <c r="F16" s="232"/>
      <c r="L16" s="388" t="str">
        <f t="shared" si="1"/>
        <v/>
      </c>
      <c r="M16" s="232"/>
    </row>
    <row r="17" spans="1:13" x14ac:dyDescent="0.15">
      <c r="E17" s="388" t="str">
        <f t="shared" si="0"/>
        <v/>
      </c>
      <c r="F17" s="232"/>
      <c r="G17" s="148"/>
      <c r="H17" s="44"/>
      <c r="I17" s="44"/>
      <c r="J17" s="44"/>
      <c r="K17" s="45"/>
      <c r="L17" s="388" t="str">
        <f t="shared" si="1"/>
        <v/>
      </c>
      <c r="M17" s="232"/>
    </row>
    <row r="18" spans="1:13" x14ac:dyDescent="0.15">
      <c r="A18" s="44"/>
      <c r="B18" s="44"/>
      <c r="C18" s="44"/>
      <c r="D18" s="45"/>
      <c r="E18" s="388" t="str">
        <f t="shared" si="0"/>
        <v/>
      </c>
      <c r="F18" s="232"/>
      <c r="G18" s="148"/>
      <c r="L18" s="388" t="str">
        <f t="shared" si="1"/>
        <v/>
      </c>
      <c r="M18" s="232"/>
    </row>
    <row r="19" spans="1:13" x14ac:dyDescent="0.15">
      <c r="A19" s="44"/>
      <c r="B19" s="44"/>
      <c r="C19" s="44"/>
      <c r="D19" s="45"/>
      <c r="E19" s="388" t="str">
        <f t="shared" ref="E19:E28" si="2">IF(E18="","",IF(E18+1&lt;=$D$13,E18+1,""))</f>
        <v/>
      </c>
      <c r="F19" s="232"/>
      <c r="G19" s="627"/>
      <c r="L19" s="388" t="str">
        <f t="shared" si="1"/>
        <v/>
      </c>
      <c r="M19" s="232"/>
    </row>
    <row r="20" spans="1:13" x14ac:dyDescent="0.15">
      <c r="A20" s="44"/>
      <c r="B20" s="44"/>
      <c r="C20" s="44"/>
      <c r="D20" s="45"/>
      <c r="E20" s="388" t="str">
        <f t="shared" si="2"/>
        <v/>
      </c>
      <c r="F20" s="232"/>
      <c r="L20" s="388" t="str">
        <f t="shared" si="1"/>
        <v/>
      </c>
      <c r="M20" s="232"/>
    </row>
    <row r="21" spans="1:13" x14ac:dyDescent="0.15">
      <c r="A21" s="44"/>
      <c r="B21" s="44"/>
      <c r="C21" s="44"/>
      <c r="D21" s="45"/>
      <c r="E21" s="388" t="str">
        <f t="shared" si="2"/>
        <v/>
      </c>
      <c r="F21" s="232"/>
      <c r="G21" s="627"/>
      <c r="L21" s="388" t="str">
        <f t="shared" si="1"/>
        <v/>
      </c>
      <c r="M21" s="232"/>
    </row>
    <row r="22" spans="1:13" x14ac:dyDescent="0.15">
      <c r="A22" s="44"/>
      <c r="B22" s="44"/>
      <c r="C22" s="44"/>
      <c r="D22" s="45"/>
      <c r="E22" s="388" t="str">
        <f t="shared" si="2"/>
        <v/>
      </c>
      <c r="F22" s="232"/>
      <c r="L22" s="388" t="str">
        <f t="shared" si="1"/>
        <v/>
      </c>
      <c r="M22" s="232"/>
    </row>
    <row r="23" spans="1:13" x14ac:dyDescent="0.15">
      <c r="A23" s="44"/>
      <c r="B23" s="44"/>
      <c r="C23" s="44"/>
      <c r="D23" s="45"/>
      <c r="E23" s="388" t="str">
        <f t="shared" si="2"/>
        <v/>
      </c>
      <c r="F23" s="232"/>
      <c r="L23" s="388" t="str">
        <f t="shared" si="1"/>
        <v/>
      </c>
      <c r="M23" s="232"/>
    </row>
    <row r="24" spans="1:13" x14ac:dyDescent="0.15">
      <c r="A24" s="44"/>
      <c r="B24" s="44"/>
      <c r="C24" s="44"/>
      <c r="D24" s="45"/>
      <c r="E24" s="388" t="str">
        <f t="shared" si="2"/>
        <v/>
      </c>
      <c r="F24" s="232"/>
      <c r="L24" s="388" t="str">
        <f t="shared" si="1"/>
        <v/>
      </c>
      <c r="M24" s="232"/>
    </row>
    <row r="25" spans="1:13" x14ac:dyDescent="0.15">
      <c r="A25" s="44"/>
      <c r="B25" s="44"/>
      <c r="C25" s="44"/>
      <c r="D25" s="45"/>
      <c r="E25" s="388" t="str">
        <f t="shared" si="2"/>
        <v/>
      </c>
      <c r="F25" s="232"/>
      <c r="L25" s="388" t="str">
        <f t="shared" si="1"/>
        <v/>
      </c>
      <c r="M25" s="232"/>
    </row>
    <row r="26" spans="1:13" x14ac:dyDescent="0.15">
      <c r="A26" s="44"/>
      <c r="B26" s="44"/>
      <c r="C26" s="44"/>
      <c r="D26" s="45"/>
      <c r="E26" s="388" t="str">
        <f t="shared" si="2"/>
        <v/>
      </c>
      <c r="F26" s="232"/>
      <c r="L26" s="388" t="str">
        <f t="shared" si="1"/>
        <v/>
      </c>
      <c r="M26" s="232"/>
    </row>
    <row r="27" spans="1:13" x14ac:dyDescent="0.15">
      <c r="A27" s="44"/>
      <c r="B27" s="44"/>
      <c r="C27" s="44"/>
      <c r="D27" s="45"/>
      <c r="E27" s="388" t="str">
        <f t="shared" si="2"/>
        <v/>
      </c>
      <c r="F27" s="232"/>
      <c r="L27" s="388" t="str">
        <f t="shared" si="1"/>
        <v/>
      </c>
      <c r="M27" s="232"/>
    </row>
    <row r="28" spans="1:13" ht="14" thickBot="1" x14ac:dyDescent="0.2">
      <c r="A28" s="44"/>
      <c r="B28" s="44"/>
      <c r="C28" s="44"/>
      <c r="D28" s="45"/>
      <c r="E28" s="393" t="str">
        <f t="shared" si="2"/>
        <v/>
      </c>
      <c r="F28" s="239"/>
      <c r="L28" s="393" t="str">
        <f t="shared" si="1"/>
        <v/>
      </c>
      <c r="M28" s="239"/>
    </row>
    <row r="29" spans="1:13" ht="14" thickBot="1" x14ac:dyDescent="0.2"/>
    <row r="30" spans="1:13" ht="17" thickBot="1" x14ac:dyDescent="0.25">
      <c r="A30" s="145" t="s">
        <v>656</v>
      </c>
      <c r="E30" s="387" t="s">
        <v>2</v>
      </c>
      <c r="F30" s="394" t="s">
        <v>371</v>
      </c>
      <c r="H30" s="145" t="s">
        <v>655</v>
      </c>
      <c r="L30" s="387" t="s">
        <v>2</v>
      </c>
      <c r="M30" s="394" t="s">
        <v>371</v>
      </c>
    </row>
    <row r="31" spans="1:13" ht="14" thickBot="1" x14ac:dyDescent="0.2">
      <c r="E31" s="387">
        <v>1</v>
      </c>
      <c r="F31" s="379">
        <v>5</v>
      </c>
      <c r="L31" s="387">
        <v>1</v>
      </c>
      <c r="M31" s="379"/>
    </row>
    <row r="32" spans="1:13" x14ac:dyDescent="0.15">
      <c r="A32" s="247" t="s">
        <v>146</v>
      </c>
      <c r="B32" s="245"/>
      <c r="C32" s="630" t="s">
        <v>177</v>
      </c>
      <c r="D32" s="631"/>
      <c r="E32" s="388">
        <f t="shared" ref="E32:E50" si="3">IF(E31="","",IF(E31+1&lt;=$D$35,E31+1,""))</f>
        <v>2</v>
      </c>
      <c r="F32" s="232">
        <v>62</v>
      </c>
      <c r="H32" s="247" t="s">
        <v>146</v>
      </c>
      <c r="I32" s="245"/>
      <c r="J32" s="630" t="s">
        <v>177</v>
      </c>
      <c r="K32" s="631"/>
      <c r="L32" s="388">
        <f>IF(L31="","",IF(L31+1&lt;=$K$35,L31+1,""))</f>
        <v>2</v>
      </c>
      <c r="M32" s="232"/>
    </row>
    <row r="33" spans="1:13" x14ac:dyDescent="0.15">
      <c r="A33" s="248" t="s">
        <v>147</v>
      </c>
      <c r="B33" s="249"/>
      <c r="C33" s="250">
        <f>VLOOKUP(C32,Crop!$B$3:$C$35,2,FALSE)</f>
        <v>44</v>
      </c>
      <c r="D33" s="233">
        <v>36</v>
      </c>
      <c r="E33" s="388" t="str">
        <f t="shared" si="3"/>
        <v/>
      </c>
      <c r="F33" s="232"/>
      <c r="H33" s="248" t="s">
        <v>147</v>
      </c>
      <c r="I33" s="249"/>
      <c r="J33" s="250">
        <f>VLOOKUP(J32,Crop!$B$3:$C$35,2,FALSE)</f>
        <v>44</v>
      </c>
      <c r="K33" s="233">
        <v>12</v>
      </c>
      <c r="L33" s="388" t="str">
        <f t="shared" ref="L33:L50" si="4">IF(L32="","",IF(L32+1&lt;=$K$35,L32+1,""))</f>
        <v/>
      </c>
      <c r="M33" s="232"/>
    </row>
    <row r="34" spans="1:13" x14ac:dyDescent="0.15">
      <c r="A34" s="225" t="s">
        <v>562</v>
      </c>
      <c r="B34" s="226"/>
      <c r="C34" s="251"/>
      <c r="D34" s="134">
        <f>SUM(F31:F50)</f>
        <v>67</v>
      </c>
      <c r="E34" s="388" t="str">
        <f t="shared" si="3"/>
        <v/>
      </c>
      <c r="F34" s="232"/>
      <c r="H34" s="225" t="s">
        <v>562</v>
      </c>
      <c r="I34" s="226"/>
      <c r="J34" s="251"/>
      <c r="K34" s="134">
        <f>SUM(M31:M50)</f>
        <v>0</v>
      </c>
      <c r="L34" s="388" t="str">
        <f t="shared" si="4"/>
        <v/>
      </c>
      <c r="M34" s="232"/>
    </row>
    <row r="35" spans="1:13" x14ac:dyDescent="0.15">
      <c r="A35" s="225" t="s">
        <v>376</v>
      </c>
      <c r="B35" s="228"/>
      <c r="C35" s="252"/>
      <c r="D35" s="235">
        <v>2</v>
      </c>
      <c r="E35" s="388" t="str">
        <f t="shared" si="3"/>
        <v/>
      </c>
      <c r="F35" s="232"/>
      <c r="H35" s="227" t="s">
        <v>376</v>
      </c>
      <c r="I35" s="228"/>
      <c r="J35" s="252"/>
      <c r="K35" s="235">
        <v>2</v>
      </c>
      <c r="L35" s="388" t="str">
        <f t="shared" si="4"/>
        <v/>
      </c>
      <c r="M35" s="232"/>
    </row>
    <row r="36" spans="1:13" ht="14" thickBot="1" x14ac:dyDescent="0.2">
      <c r="A36" s="224" t="s">
        <v>677</v>
      </c>
      <c r="B36" s="229"/>
      <c r="C36" s="253"/>
      <c r="D36" s="237"/>
      <c r="E36" s="388" t="str">
        <f t="shared" si="3"/>
        <v/>
      </c>
      <c r="F36" s="232"/>
      <c r="H36" s="224" t="s">
        <v>677</v>
      </c>
      <c r="I36" s="229"/>
      <c r="J36" s="253"/>
      <c r="K36" s="237"/>
      <c r="L36" s="388" t="str">
        <f t="shared" si="4"/>
        <v/>
      </c>
      <c r="M36" s="232"/>
    </row>
    <row r="37" spans="1:13" x14ac:dyDescent="0.15">
      <c r="E37" s="388" t="str">
        <f t="shared" si="3"/>
        <v/>
      </c>
      <c r="F37" s="232"/>
      <c r="L37" s="388" t="str">
        <f t="shared" si="4"/>
        <v/>
      </c>
      <c r="M37" s="232"/>
    </row>
    <row r="38" spans="1:13" x14ac:dyDescent="0.15">
      <c r="E38" s="388" t="str">
        <f t="shared" si="3"/>
        <v/>
      </c>
      <c r="F38" s="232"/>
      <c r="L38" s="388" t="str">
        <f t="shared" si="4"/>
        <v/>
      </c>
      <c r="M38" s="232"/>
    </row>
    <row r="39" spans="1:13" x14ac:dyDescent="0.15">
      <c r="E39" s="388" t="str">
        <f t="shared" si="3"/>
        <v/>
      </c>
      <c r="F39" s="232"/>
      <c r="L39" s="388" t="str">
        <f t="shared" si="4"/>
        <v/>
      </c>
      <c r="M39" s="232"/>
    </row>
    <row r="40" spans="1:13" x14ac:dyDescent="0.15">
      <c r="A40" s="44"/>
      <c r="B40" s="44"/>
      <c r="C40" s="44"/>
      <c r="D40" s="45"/>
      <c r="E40" s="388" t="str">
        <f t="shared" si="3"/>
        <v/>
      </c>
      <c r="F40" s="232"/>
      <c r="H40" s="44"/>
      <c r="I40" s="44"/>
      <c r="J40" s="44"/>
      <c r="K40" s="45"/>
      <c r="L40" s="388" t="str">
        <f t="shared" si="4"/>
        <v/>
      </c>
      <c r="M40" s="232"/>
    </row>
    <row r="41" spans="1:13" x14ac:dyDescent="0.15">
      <c r="A41" s="44"/>
      <c r="B41" s="44"/>
      <c r="C41" s="44"/>
      <c r="D41" s="45"/>
      <c r="E41" s="388" t="str">
        <f t="shared" si="3"/>
        <v/>
      </c>
      <c r="F41" s="232"/>
      <c r="H41" s="44"/>
      <c r="I41" s="44"/>
      <c r="J41" s="44"/>
      <c r="K41" s="45"/>
      <c r="L41" s="388" t="str">
        <f t="shared" si="4"/>
        <v/>
      </c>
      <c r="M41" s="232"/>
    </row>
    <row r="42" spans="1:13" x14ac:dyDescent="0.15">
      <c r="A42" s="44"/>
      <c r="B42" s="44"/>
      <c r="C42" s="44"/>
      <c r="D42" s="45"/>
      <c r="E42" s="388" t="str">
        <f t="shared" si="3"/>
        <v/>
      </c>
      <c r="F42" s="232"/>
      <c r="H42" s="44"/>
      <c r="I42" s="44"/>
      <c r="J42" s="44"/>
      <c r="K42" s="45"/>
      <c r="L42" s="388" t="str">
        <f t="shared" si="4"/>
        <v/>
      </c>
      <c r="M42" s="232"/>
    </row>
    <row r="43" spans="1:13" x14ac:dyDescent="0.15">
      <c r="A43" s="44"/>
      <c r="B43" s="44"/>
      <c r="C43" s="44"/>
      <c r="D43" s="45"/>
      <c r="E43" s="388" t="str">
        <f t="shared" si="3"/>
        <v/>
      </c>
      <c r="F43" s="232"/>
      <c r="H43" s="44"/>
      <c r="I43" s="44"/>
      <c r="J43" s="44"/>
      <c r="K43" s="45"/>
      <c r="L43" s="388" t="str">
        <f t="shared" si="4"/>
        <v/>
      </c>
      <c r="M43" s="232"/>
    </row>
    <row r="44" spans="1:13" x14ac:dyDescent="0.15">
      <c r="A44" s="44"/>
      <c r="B44" s="44"/>
      <c r="C44" s="44"/>
      <c r="D44" s="45"/>
      <c r="E44" s="388" t="str">
        <f t="shared" si="3"/>
        <v/>
      </c>
      <c r="F44" s="232"/>
      <c r="H44" s="44"/>
      <c r="I44" s="44"/>
      <c r="J44" s="44"/>
      <c r="K44" s="45"/>
      <c r="L44" s="388" t="str">
        <f t="shared" si="4"/>
        <v/>
      </c>
      <c r="M44" s="232"/>
    </row>
    <row r="45" spans="1:13" x14ac:dyDescent="0.15">
      <c r="A45" s="44"/>
      <c r="B45" s="44"/>
      <c r="C45" s="44"/>
      <c r="D45" s="45"/>
      <c r="E45" s="388" t="str">
        <f t="shared" si="3"/>
        <v/>
      </c>
      <c r="F45" s="232"/>
      <c r="H45" s="44"/>
      <c r="I45" s="44"/>
      <c r="J45" s="44"/>
      <c r="K45" s="45"/>
      <c r="L45" s="388" t="str">
        <f t="shared" si="4"/>
        <v/>
      </c>
      <c r="M45" s="232"/>
    </row>
    <row r="46" spans="1:13" x14ac:dyDescent="0.15">
      <c r="A46" s="44"/>
      <c r="B46" s="44"/>
      <c r="C46" s="44"/>
      <c r="D46" s="45"/>
      <c r="E46" s="388" t="str">
        <f t="shared" si="3"/>
        <v/>
      </c>
      <c r="F46" s="232"/>
      <c r="H46" s="44"/>
      <c r="I46" s="44"/>
      <c r="J46" s="44"/>
      <c r="K46" s="45"/>
      <c r="L46" s="388" t="str">
        <f t="shared" si="4"/>
        <v/>
      </c>
      <c r="M46" s="232"/>
    </row>
    <row r="47" spans="1:13" x14ac:dyDescent="0.15">
      <c r="A47" s="44"/>
      <c r="B47" s="44"/>
      <c r="C47" s="44"/>
      <c r="D47" s="45"/>
      <c r="E47" s="388" t="str">
        <f t="shared" si="3"/>
        <v/>
      </c>
      <c r="F47" s="232"/>
      <c r="H47" s="44"/>
      <c r="I47" s="44"/>
      <c r="J47" s="44"/>
      <c r="K47" s="45"/>
      <c r="L47" s="388" t="str">
        <f t="shared" si="4"/>
        <v/>
      </c>
      <c r="M47" s="232"/>
    </row>
    <row r="48" spans="1:13" x14ac:dyDescent="0.15">
      <c r="A48" s="44"/>
      <c r="B48" s="44"/>
      <c r="C48" s="44"/>
      <c r="D48" s="45"/>
      <c r="E48" s="388" t="str">
        <f t="shared" si="3"/>
        <v/>
      </c>
      <c r="F48" s="232"/>
      <c r="H48" s="44"/>
      <c r="I48" s="44"/>
      <c r="J48" s="44"/>
      <c r="K48" s="45"/>
      <c r="L48" s="388" t="str">
        <f t="shared" si="4"/>
        <v/>
      </c>
      <c r="M48" s="232"/>
    </row>
    <row r="49" spans="1:14" x14ac:dyDescent="0.15">
      <c r="A49" s="44"/>
      <c r="B49" s="44"/>
      <c r="C49" s="44"/>
      <c r="D49" s="45"/>
      <c r="E49" s="388" t="str">
        <f t="shared" si="3"/>
        <v/>
      </c>
      <c r="F49" s="232"/>
      <c r="H49" s="44"/>
      <c r="I49" s="44"/>
      <c r="J49" s="44"/>
      <c r="K49" s="45"/>
      <c r="L49" s="388" t="str">
        <f t="shared" si="4"/>
        <v/>
      </c>
      <c r="M49" s="232"/>
    </row>
    <row r="50" spans="1:14" ht="14" thickBot="1" x14ac:dyDescent="0.2">
      <c r="A50" s="44"/>
      <c r="B50" s="44"/>
      <c r="C50" s="44"/>
      <c r="D50" s="45"/>
      <c r="E50" s="393" t="str">
        <f t="shared" si="3"/>
        <v/>
      </c>
      <c r="F50" s="239"/>
      <c r="H50" s="44"/>
      <c r="I50" s="44"/>
      <c r="J50" s="44"/>
      <c r="K50" s="45"/>
      <c r="L50" s="393" t="str">
        <f t="shared" si="4"/>
        <v/>
      </c>
      <c r="M50" s="239"/>
    </row>
    <row r="52" spans="1:14" ht="17" thickBot="1" x14ac:dyDescent="0.25">
      <c r="A52" s="51" t="s">
        <v>391</v>
      </c>
      <c r="H52" s="51" t="s">
        <v>565</v>
      </c>
    </row>
    <row r="53" spans="1:14" x14ac:dyDescent="0.15">
      <c r="A53" s="247" t="s">
        <v>146</v>
      </c>
      <c r="B53" s="245"/>
      <c r="C53" s="630" t="s">
        <v>180</v>
      </c>
      <c r="D53" s="631"/>
      <c r="H53" s="255" t="s">
        <v>386</v>
      </c>
      <c r="I53" s="256"/>
      <c r="J53" s="395"/>
      <c r="K53" s="240">
        <v>0</v>
      </c>
    </row>
    <row r="54" spans="1:14" ht="14" thickBot="1" x14ac:dyDescent="0.2">
      <c r="A54" s="136" t="s">
        <v>562</v>
      </c>
      <c r="B54" s="142"/>
      <c r="C54" s="143"/>
      <c r="D54" s="241">
        <v>0</v>
      </c>
      <c r="H54" s="224" t="s">
        <v>390</v>
      </c>
      <c r="I54" s="257"/>
      <c r="J54" s="396"/>
      <c r="K54" s="242">
        <v>0</v>
      </c>
    </row>
    <row r="56" spans="1:14" ht="16" x14ac:dyDescent="0.2">
      <c r="A56" s="51" t="s">
        <v>570</v>
      </c>
      <c r="H56" s="51" t="s">
        <v>574</v>
      </c>
    </row>
    <row r="57" spans="1:14" ht="15.75" customHeight="1" x14ac:dyDescent="0.15">
      <c r="A57" s="643" t="s">
        <v>455</v>
      </c>
      <c r="B57" s="643" t="s">
        <v>569</v>
      </c>
      <c r="C57" s="642" t="s">
        <v>711</v>
      </c>
      <c r="D57" s="642"/>
      <c r="E57" s="642"/>
      <c r="F57" s="642"/>
    </row>
    <row r="58" spans="1:14" ht="28" x14ac:dyDescent="0.15">
      <c r="A58" s="643"/>
      <c r="B58" s="643"/>
      <c r="C58" s="329" t="s">
        <v>571</v>
      </c>
      <c r="D58" s="330" t="s">
        <v>420</v>
      </c>
      <c r="E58" s="329" t="s">
        <v>812</v>
      </c>
      <c r="F58" s="329" t="s">
        <v>410</v>
      </c>
      <c r="H58" s="329" t="s">
        <v>679</v>
      </c>
      <c r="I58" s="329" t="s">
        <v>710</v>
      </c>
      <c r="J58" s="329" t="s">
        <v>680</v>
      </c>
      <c r="L58" s="338" t="s">
        <v>587</v>
      </c>
      <c r="M58" s="338" t="s">
        <v>585</v>
      </c>
      <c r="N58" s="338" t="s">
        <v>586</v>
      </c>
    </row>
    <row r="59" spans="1:14" x14ac:dyDescent="0.15">
      <c r="A59" s="399">
        <v>39753</v>
      </c>
      <c r="B59" s="332">
        <v>0.27298880219459531</v>
      </c>
      <c r="C59" s="331">
        <v>2E-3</v>
      </c>
      <c r="D59" s="332">
        <v>3.6833333333333336E-2</v>
      </c>
      <c r="E59" s="331">
        <v>4.2299999999999997E-2</v>
      </c>
      <c r="F59" s="332">
        <v>0</v>
      </c>
      <c r="H59" s="425">
        <v>0</v>
      </c>
      <c r="I59" s="425">
        <v>204</v>
      </c>
      <c r="J59" s="427">
        <v>0</v>
      </c>
      <c r="L59" s="413">
        <f>+H60-H59</f>
        <v>8.0752740160097342E-2</v>
      </c>
      <c r="M59" s="340">
        <f>+I60-I59</f>
        <v>0.5</v>
      </c>
      <c r="N59" s="340">
        <f>+J60-J59</f>
        <v>0.31975949999999997</v>
      </c>
    </row>
    <row r="60" spans="1:14" x14ac:dyDescent="0.15">
      <c r="A60" s="398">
        <f t="shared" ref="A60:A123" si="5">+A59+1</f>
        <v>39754</v>
      </c>
      <c r="B60" s="331">
        <v>0.27298880219459531</v>
      </c>
      <c r="C60" s="331">
        <v>2E-3</v>
      </c>
      <c r="D60" s="331">
        <v>3.6833333333333336E-2</v>
      </c>
      <c r="E60" s="331">
        <v>4.2299999999999997E-2</v>
      </c>
      <c r="F60" s="331">
        <v>0</v>
      </c>
      <c r="H60" s="426">
        <v>8.0752740160097342E-2</v>
      </c>
      <c r="I60" s="426">
        <v>204.5</v>
      </c>
      <c r="J60" s="428">
        <v>0.31975949999999997</v>
      </c>
      <c r="L60" s="413">
        <f t="shared" ref="L60:L123" si="6">+H61-H60</f>
        <v>0.27663325983913978</v>
      </c>
      <c r="M60" s="340">
        <f t="shared" ref="M60:M123" si="7">+I61-I60</f>
        <v>0.5</v>
      </c>
      <c r="N60" s="340">
        <f t="shared" ref="N60:N123" si="8">+J61-J60</f>
        <v>0.31975949999936382</v>
      </c>
    </row>
    <row r="61" spans="1:14" x14ac:dyDescent="0.15">
      <c r="A61" s="398">
        <f t="shared" si="5"/>
        <v>39755</v>
      </c>
      <c r="B61" s="331">
        <v>0.27298880219459531</v>
      </c>
      <c r="C61" s="331">
        <v>2E-3</v>
      </c>
      <c r="D61" s="331">
        <v>3.6833333333333336E-2</v>
      </c>
      <c r="E61" s="331">
        <v>4.2299999999999997E-2</v>
      </c>
      <c r="F61" s="331">
        <v>0</v>
      </c>
      <c r="H61" s="426">
        <v>0.35738599999923715</v>
      </c>
      <c r="I61" s="426">
        <v>205</v>
      </c>
      <c r="J61" s="428">
        <v>0.63951899999936379</v>
      </c>
      <c r="L61" s="413">
        <f t="shared" si="6"/>
        <v>0.49573723171023021</v>
      </c>
      <c r="M61" s="340">
        <f t="shared" si="7"/>
        <v>0.5</v>
      </c>
      <c r="N61" s="340">
        <f t="shared" si="8"/>
        <v>0.31975949999999997</v>
      </c>
    </row>
    <row r="62" spans="1:14" x14ac:dyDescent="0.15">
      <c r="A62" s="398">
        <f t="shared" si="5"/>
        <v>39756</v>
      </c>
      <c r="B62" s="331">
        <v>0.27298880219459531</v>
      </c>
      <c r="C62" s="331">
        <v>2E-3</v>
      </c>
      <c r="D62" s="331">
        <v>3.6833333333333336E-2</v>
      </c>
      <c r="E62" s="331">
        <v>4.2299999999999997E-2</v>
      </c>
      <c r="F62" s="331">
        <v>0</v>
      </c>
      <c r="H62" s="426">
        <v>0.85312323170946736</v>
      </c>
      <c r="I62" s="426">
        <v>205.5</v>
      </c>
      <c r="J62" s="428">
        <v>0.95927849999936377</v>
      </c>
      <c r="L62" s="413">
        <f t="shared" si="6"/>
        <v>0.72855378312006136</v>
      </c>
      <c r="M62" s="340">
        <f t="shared" si="7"/>
        <v>0.5</v>
      </c>
      <c r="N62" s="340">
        <f t="shared" si="8"/>
        <v>0.31975949999936382</v>
      </c>
    </row>
    <row r="63" spans="1:14" x14ac:dyDescent="0.15">
      <c r="A63" s="398">
        <f t="shared" si="5"/>
        <v>39757</v>
      </c>
      <c r="B63" s="331">
        <v>0.27298880219459531</v>
      </c>
      <c r="C63" s="331">
        <v>2E-3</v>
      </c>
      <c r="D63" s="331">
        <v>3.6833333333333336E-2</v>
      </c>
      <c r="E63" s="331">
        <v>4.2299999999999997E-2</v>
      </c>
      <c r="F63" s="331">
        <v>0</v>
      </c>
      <c r="H63" s="426">
        <v>1.5816770148295287</v>
      </c>
      <c r="I63" s="426">
        <v>206</v>
      </c>
      <c r="J63" s="428">
        <v>1.2790379999987276</v>
      </c>
      <c r="L63" s="413">
        <f t="shared" si="6"/>
        <v>0.97147692153524812</v>
      </c>
      <c r="M63" s="340">
        <f t="shared" si="7"/>
        <v>0.5</v>
      </c>
      <c r="N63" s="340">
        <f t="shared" si="8"/>
        <v>0.4573932348117562</v>
      </c>
    </row>
    <row r="64" spans="1:14" x14ac:dyDescent="0.15">
      <c r="A64" s="398">
        <f t="shared" si="5"/>
        <v>39758</v>
      </c>
      <c r="B64" s="331">
        <v>0.27298880219459531</v>
      </c>
      <c r="C64" s="331">
        <v>2E-3</v>
      </c>
      <c r="D64" s="331">
        <v>3.6833333333333336E-2</v>
      </c>
      <c r="E64" s="331">
        <v>4.2299999999999997E-2</v>
      </c>
      <c r="F64" s="331">
        <v>0</v>
      </c>
      <c r="H64" s="426">
        <v>2.5531539363647768</v>
      </c>
      <c r="I64" s="426">
        <v>206.5</v>
      </c>
      <c r="J64" s="428">
        <v>1.7364312348104838</v>
      </c>
      <c r="L64" s="413">
        <f t="shared" si="6"/>
        <v>1.2224987372537859</v>
      </c>
      <c r="M64" s="340">
        <f t="shared" si="7"/>
        <v>0.5</v>
      </c>
      <c r="N64" s="340">
        <f t="shared" si="8"/>
        <v>0.5329156431521429</v>
      </c>
    </row>
    <row r="65" spans="1:14" x14ac:dyDescent="0.15">
      <c r="A65" s="398">
        <f t="shared" si="5"/>
        <v>39759</v>
      </c>
      <c r="B65" s="331">
        <v>0.27298880219459531</v>
      </c>
      <c r="C65" s="331">
        <v>2E-3</v>
      </c>
      <c r="D65" s="331">
        <v>3.6833333333333336E-2</v>
      </c>
      <c r="E65" s="331">
        <v>4.2299999999999997E-2</v>
      </c>
      <c r="F65" s="331">
        <v>0</v>
      </c>
      <c r="H65" s="426">
        <v>3.7756526736185627</v>
      </c>
      <c r="I65" s="426">
        <v>207</v>
      </c>
      <c r="J65" s="428">
        <v>2.2693468779626267</v>
      </c>
      <c r="L65" s="413">
        <f t="shared" si="6"/>
        <v>1.4803206474646258</v>
      </c>
      <c r="M65" s="340">
        <f t="shared" si="7"/>
        <v>0.5</v>
      </c>
      <c r="N65" s="340">
        <f t="shared" si="8"/>
        <v>0.57631430712014486</v>
      </c>
    </row>
    <row r="66" spans="1:14" x14ac:dyDescent="0.15">
      <c r="A66" s="398">
        <f t="shared" si="5"/>
        <v>39760</v>
      </c>
      <c r="B66" s="331">
        <v>0.27298880219459531</v>
      </c>
      <c r="C66" s="331">
        <v>2E-3</v>
      </c>
      <c r="D66" s="331">
        <v>3.6833333333333336E-2</v>
      </c>
      <c r="E66" s="331">
        <v>4.2299999999999997E-2</v>
      </c>
      <c r="F66" s="331">
        <v>0</v>
      </c>
      <c r="H66" s="426">
        <v>5.2559733210831885</v>
      </c>
      <c r="I66" s="426">
        <v>207.5</v>
      </c>
      <c r="J66" s="428">
        <v>2.8456611850827715</v>
      </c>
      <c r="L66" s="413">
        <f t="shared" si="6"/>
        <v>1.7440271804623428</v>
      </c>
      <c r="M66" s="340">
        <f t="shared" si="7"/>
        <v>0.5</v>
      </c>
      <c r="N66" s="340">
        <f t="shared" si="8"/>
        <v>0.61627609705226805</v>
      </c>
    </row>
    <row r="67" spans="1:14" x14ac:dyDescent="0.15">
      <c r="A67" s="398">
        <f t="shared" si="5"/>
        <v>39761</v>
      </c>
      <c r="B67" s="331">
        <v>0.27298880219459531</v>
      </c>
      <c r="C67" s="331">
        <v>2E-3</v>
      </c>
      <c r="D67" s="331">
        <v>3.6833333333333336E-2</v>
      </c>
      <c r="E67" s="331">
        <v>4.2299999999999997E-2</v>
      </c>
      <c r="F67" s="331">
        <v>0</v>
      </c>
      <c r="H67" s="426">
        <v>7.0000005015455313</v>
      </c>
      <c r="I67" s="426">
        <v>208</v>
      </c>
      <c r="J67" s="428">
        <v>3.4619372821350396</v>
      </c>
      <c r="L67" s="413">
        <f t="shared" si="6"/>
        <v>2.0129351219409211</v>
      </c>
      <c r="M67" s="340">
        <f t="shared" si="7"/>
        <v>0.5</v>
      </c>
      <c r="N67" s="340">
        <f t="shared" si="8"/>
        <v>0.65348566451027867</v>
      </c>
    </row>
    <row r="68" spans="1:14" x14ac:dyDescent="0.15">
      <c r="A68" s="398">
        <f t="shared" si="5"/>
        <v>39762</v>
      </c>
      <c r="B68" s="331">
        <v>0.27298880219459531</v>
      </c>
      <c r="C68" s="331">
        <v>2E-3</v>
      </c>
      <c r="D68" s="331">
        <v>3.6833333333333336E-2</v>
      </c>
      <c r="E68" s="331">
        <v>4.2299999999999997E-2</v>
      </c>
      <c r="F68" s="331">
        <v>0</v>
      </c>
      <c r="H68" s="426">
        <v>9.0129356234864524</v>
      </c>
      <c r="I68" s="426">
        <v>208.5</v>
      </c>
      <c r="J68" s="428">
        <v>4.1154229466453183</v>
      </c>
      <c r="L68" s="413">
        <f t="shared" si="6"/>
        <v>2.2865134217378937</v>
      </c>
      <c r="M68" s="340">
        <f t="shared" si="7"/>
        <v>0.5</v>
      </c>
      <c r="N68" s="340">
        <f t="shared" si="8"/>
        <v>0.68842763733225443</v>
      </c>
    </row>
    <row r="69" spans="1:14" x14ac:dyDescent="0.15">
      <c r="A69" s="398">
        <f t="shared" si="5"/>
        <v>39763</v>
      </c>
      <c r="B69" s="331">
        <v>0.27298880219459531</v>
      </c>
      <c r="C69" s="331">
        <v>2E-3</v>
      </c>
      <c r="D69" s="331">
        <v>3.6833333333333336E-2</v>
      </c>
      <c r="E69" s="331">
        <v>4.2299999999999997E-2</v>
      </c>
      <c r="F69" s="331">
        <v>0</v>
      </c>
      <c r="H69" s="426">
        <v>11.299449045224346</v>
      </c>
      <c r="I69" s="426">
        <v>209</v>
      </c>
      <c r="J69" s="428">
        <v>4.8038505839775727</v>
      </c>
      <c r="L69" s="413">
        <f t="shared" si="6"/>
        <v>2.5643364789520131</v>
      </c>
      <c r="M69" s="340">
        <f t="shared" si="7"/>
        <v>0.5</v>
      </c>
      <c r="N69" s="340">
        <f t="shared" si="8"/>
        <v>0.72145986529866235</v>
      </c>
    </row>
    <row r="70" spans="1:14" x14ac:dyDescent="0.15">
      <c r="A70" s="398">
        <f t="shared" si="5"/>
        <v>39764</v>
      </c>
      <c r="B70" s="331">
        <v>0.27298880219459531</v>
      </c>
      <c r="C70" s="331">
        <v>2E-3</v>
      </c>
      <c r="D70" s="331">
        <v>3.6833333333333336E-2</v>
      </c>
      <c r="E70" s="331">
        <v>4.2299999999999997E-2</v>
      </c>
      <c r="F70" s="331">
        <v>0</v>
      </c>
      <c r="H70" s="426">
        <v>13.863785524176359</v>
      </c>
      <c r="I70" s="426">
        <v>209.5</v>
      </c>
      <c r="J70" s="428">
        <v>5.525310449276235</v>
      </c>
      <c r="L70" s="413">
        <f t="shared" si="6"/>
        <v>2.8460549560245259</v>
      </c>
      <c r="M70" s="340">
        <f t="shared" si="7"/>
        <v>0.5</v>
      </c>
      <c r="N70" s="340">
        <f t="shared" si="8"/>
        <v>0.75285542703861896</v>
      </c>
    </row>
    <row r="71" spans="1:14" x14ac:dyDescent="0.15">
      <c r="A71" s="398">
        <f t="shared" si="5"/>
        <v>39765</v>
      </c>
      <c r="B71" s="331">
        <v>0.27298880219459531</v>
      </c>
      <c r="C71" s="331">
        <v>2E-3</v>
      </c>
      <c r="D71" s="331">
        <v>3.6833333333333336E-2</v>
      </c>
      <c r="E71" s="331">
        <v>4.2299999999999997E-2</v>
      </c>
      <c r="F71" s="331">
        <v>0</v>
      </c>
      <c r="H71" s="426">
        <v>16.709840480200885</v>
      </c>
      <c r="I71" s="426">
        <v>210</v>
      </c>
      <c r="J71" s="428">
        <v>6.278165876314854</v>
      </c>
      <c r="L71" s="413">
        <f t="shared" si="6"/>
        <v>3.1313765572896202</v>
      </c>
      <c r="M71" s="340">
        <f t="shared" si="7"/>
        <v>0.5</v>
      </c>
      <c r="N71" s="340">
        <f t="shared" si="8"/>
        <v>0.62768848959616896</v>
      </c>
    </row>
    <row r="72" spans="1:14" x14ac:dyDescent="0.15">
      <c r="A72" s="398">
        <f t="shared" si="5"/>
        <v>39766</v>
      </c>
      <c r="B72" s="331">
        <v>0.27298880219459531</v>
      </c>
      <c r="C72" s="331">
        <v>2E-3</v>
      </c>
      <c r="D72" s="331">
        <v>3.6833333333333336E-2</v>
      </c>
      <c r="E72" s="331">
        <v>4.2299999999999997E-2</v>
      </c>
      <c r="F72" s="331">
        <v>0</v>
      </c>
      <c r="H72" s="426">
        <v>19.841217037490505</v>
      </c>
      <c r="I72" s="426">
        <v>210.5</v>
      </c>
      <c r="J72" s="426">
        <v>6.905854365911023</v>
      </c>
      <c r="L72" s="413">
        <f t="shared" si="6"/>
        <v>3.4200528290748444</v>
      </c>
      <c r="M72" s="340">
        <f t="shared" si="7"/>
        <v>0.5</v>
      </c>
      <c r="N72" s="340">
        <f t="shared" si="8"/>
        <v>0.48576380418301124</v>
      </c>
    </row>
    <row r="73" spans="1:14" x14ac:dyDescent="0.15">
      <c r="A73" s="398">
        <f t="shared" si="5"/>
        <v>39767</v>
      </c>
      <c r="B73" s="331">
        <v>0.27298880219459531</v>
      </c>
      <c r="C73" s="331">
        <v>2E-3</v>
      </c>
      <c r="D73" s="331">
        <v>3.6833333333333336E-2</v>
      </c>
      <c r="E73" s="331">
        <v>4.2299999999999997E-2</v>
      </c>
      <c r="F73" s="331">
        <v>0</v>
      </c>
      <c r="H73" s="426">
        <v>23.26126986656535</v>
      </c>
      <c r="I73" s="426">
        <v>211</v>
      </c>
      <c r="J73" s="426">
        <v>7.3916181700940342</v>
      </c>
      <c r="L73" s="413">
        <f t="shared" si="6"/>
        <v>3.7118697808001748</v>
      </c>
      <c r="M73" s="340">
        <f t="shared" si="7"/>
        <v>0.5</v>
      </c>
      <c r="N73" s="340">
        <f t="shared" si="8"/>
        <v>0.48289928854726671</v>
      </c>
    </row>
    <row r="74" spans="1:14" x14ac:dyDescent="0.15">
      <c r="A74" s="398">
        <f t="shared" si="5"/>
        <v>39768</v>
      </c>
      <c r="B74" s="331">
        <v>0.27298880219459531</v>
      </c>
      <c r="C74" s="331">
        <v>2E-3</v>
      </c>
      <c r="D74" s="331">
        <v>3.6833333333333336E-2</v>
      </c>
      <c r="E74" s="331">
        <v>4.2299999999999997E-2</v>
      </c>
      <c r="F74" s="331">
        <v>0</v>
      </c>
      <c r="H74" s="426">
        <v>26.973139647365524</v>
      </c>
      <c r="I74" s="426">
        <v>211.5</v>
      </c>
      <c r="J74" s="426">
        <v>7.8745174586413009</v>
      </c>
      <c r="L74" s="413">
        <f t="shared" si="6"/>
        <v>4.0066410298753681</v>
      </c>
      <c r="M74" s="340">
        <f t="shared" si="7"/>
        <v>0.5</v>
      </c>
      <c r="N74" s="340">
        <f t="shared" si="8"/>
        <v>0.48024128631923357</v>
      </c>
    </row>
    <row r="75" spans="1:14" x14ac:dyDescent="0.15">
      <c r="A75" s="398">
        <f t="shared" si="5"/>
        <v>39769</v>
      </c>
      <c r="B75" s="331">
        <v>0.27298880219459531</v>
      </c>
      <c r="C75" s="331">
        <v>2E-3</v>
      </c>
      <c r="D75" s="331">
        <v>3.6833333333333336E-2</v>
      </c>
      <c r="E75" s="331">
        <v>4.2299999999999997E-2</v>
      </c>
      <c r="F75" s="331">
        <v>0</v>
      </c>
      <c r="H75" s="426">
        <v>30.979780677240893</v>
      </c>
      <c r="I75" s="426">
        <v>212</v>
      </c>
      <c r="J75" s="426">
        <v>8.3547587449605345</v>
      </c>
      <c r="L75" s="413">
        <f t="shared" si="6"/>
        <v>4.3042026696945292</v>
      </c>
      <c r="M75" s="340">
        <f t="shared" si="7"/>
        <v>0.5</v>
      </c>
      <c r="N75" s="340">
        <f t="shared" si="8"/>
        <v>0.47776292961185263</v>
      </c>
    </row>
    <row r="76" spans="1:14" x14ac:dyDescent="0.15">
      <c r="A76" s="398">
        <f t="shared" si="5"/>
        <v>39770</v>
      </c>
      <c r="B76" s="331">
        <v>0.27298880219459531</v>
      </c>
      <c r="C76" s="331">
        <v>2E-3</v>
      </c>
      <c r="D76" s="331">
        <v>3.6833333333333336E-2</v>
      </c>
      <c r="E76" s="331">
        <v>4.2299999999999997E-2</v>
      </c>
      <c r="F76" s="331">
        <v>0</v>
      </c>
      <c r="H76" s="426">
        <v>35.283983346935422</v>
      </c>
      <c r="I76" s="426">
        <v>212.5</v>
      </c>
      <c r="J76" s="426">
        <v>8.8325216745723871</v>
      </c>
      <c r="L76" s="413">
        <f t="shared" si="6"/>
        <v>4.6044093484619637</v>
      </c>
      <c r="M76" s="340">
        <f t="shared" si="7"/>
        <v>0.5</v>
      </c>
      <c r="N76" s="340">
        <f t="shared" si="8"/>
        <v>0.4754422229734736</v>
      </c>
    </row>
    <row r="77" spans="1:14" x14ac:dyDescent="0.15">
      <c r="A77" s="398">
        <f t="shared" si="5"/>
        <v>39771</v>
      </c>
      <c r="B77" s="331">
        <v>0.27298880219459531</v>
      </c>
      <c r="C77" s="331">
        <v>2E-3</v>
      </c>
      <c r="D77" s="331">
        <v>3.6833333333333336E-2</v>
      </c>
      <c r="E77" s="331">
        <v>4.2299999999999997E-2</v>
      </c>
      <c r="F77" s="331">
        <v>0</v>
      </c>
      <c r="H77" s="426">
        <v>39.888392695397386</v>
      </c>
      <c r="I77" s="426">
        <v>213</v>
      </c>
      <c r="J77" s="426">
        <v>9.3079638975458607</v>
      </c>
      <c r="L77" s="413">
        <f t="shared" si="6"/>
        <v>4.9071312191348255</v>
      </c>
      <c r="M77" s="340">
        <f t="shared" si="7"/>
        <v>0.5</v>
      </c>
      <c r="N77" s="340">
        <f t="shared" si="8"/>
        <v>0.33291925588504157</v>
      </c>
    </row>
    <row r="78" spans="1:14" x14ac:dyDescent="0.15">
      <c r="A78" s="398">
        <f t="shared" si="5"/>
        <v>39772</v>
      </c>
      <c r="B78" s="331">
        <v>0.27298880219459531</v>
      </c>
      <c r="C78" s="331">
        <v>2E-3</v>
      </c>
      <c r="D78" s="331">
        <v>3.6833333333333336E-2</v>
      </c>
      <c r="E78" s="331">
        <v>4.2299999999999997E-2</v>
      </c>
      <c r="F78" s="331">
        <v>0</v>
      </c>
      <c r="H78" s="426">
        <v>44.795523914532211</v>
      </c>
      <c r="I78" s="426">
        <v>213.5</v>
      </c>
      <c r="J78" s="426">
        <v>9.6408831534309023</v>
      </c>
      <c r="L78" s="413">
        <f t="shared" si="6"/>
        <v>5.2122515302551662</v>
      </c>
      <c r="M78" s="340">
        <f t="shared" si="7"/>
        <v>0.5</v>
      </c>
      <c r="N78" s="340">
        <f t="shared" si="8"/>
        <v>0.32680668062337936</v>
      </c>
    </row>
    <row r="79" spans="1:14" x14ac:dyDescent="0.15">
      <c r="A79" s="398">
        <f t="shared" si="5"/>
        <v>39773</v>
      </c>
      <c r="B79" s="331">
        <v>0.27298880219459531</v>
      </c>
      <c r="C79" s="331">
        <v>2E-3</v>
      </c>
      <c r="D79" s="331">
        <v>3.6833333333333336E-2</v>
      </c>
      <c r="E79" s="331">
        <v>4.2299999999999997E-2</v>
      </c>
      <c r="F79" s="331">
        <v>0</v>
      </c>
      <c r="H79" s="426">
        <v>50.007775444787377</v>
      </c>
      <c r="I79" s="426">
        <v>214</v>
      </c>
      <c r="J79" s="426">
        <v>9.9676898340542817</v>
      </c>
      <c r="L79" s="413">
        <f t="shared" si="6"/>
        <v>4.9944445766930272</v>
      </c>
      <c r="M79" s="340">
        <f t="shared" si="7"/>
        <v>0.5</v>
      </c>
      <c r="N79" s="340">
        <f t="shared" si="8"/>
        <v>0.32113314704172069</v>
      </c>
    </row>
    <row r="80" spans="1:14" x14ac:dyDescent="0.15">
      <c r="A80" s="398">
        <f t="shared" si="5"/>
        <v>39774</v>
      </c>
      <c r="B80" s="331">
        <v>0.27298880219459531</v>
      </c>
      <c r="C80" s="331">
        <v>2E-3</v>
      </c>
      <c r="D80" s="331">
        <v>3.6833333333333336E-2</v>
      </c>
      <c r="E80" s="331">
        <v>4.2299999999999997E-2</v>
      </c>
      <c r="F80" s="331">
        <v>0</v>
      </c>
      <c r="H80" s="426">
        <v>55.002220021480404</v>
      </c>
      <c r="I80" s="426">
        <v>214.5</v>
      </c>
      <c r="J80" s="426">
        <v>10.288822981096002</v>
      </c>
      <c r="L80" s="413">
        <f t="shared" si="6"/>
        <v>5.2332609612748158</v>
      </c>
      <c r="M80" s="340">
        <f t="shared" si="7"/>
        <v>0.5</v>
      </c>
      <c r="N80" s="340">
        <f t="shared" si="8"/>
        <v>0.3158216190172034</v>
      </c>
    </row>
    <row r="81" spans="1:14" x14ac:dyDescent="0.15">
      <c r="A81" s="398">
        <f t="shared" si="5"/>
        <v>39775</v>
      </c>
      <c r="B81" s="331">
        <v>0.27298880219459531</v>
      </c>
      <c r="C81" s="331">
        <v>2E-3</v>
      </c>
      <c r="D81" s="331">
        <v>3.6833333333333336E-2</v>
      </c>
      <c r="E81" s="331">
        <v>4.2299999999999997E-2</v>
      </c>
      <c r="F81" s="331">
        <v>0</v>
      </c>
      <c r="G81" s="397"/>
      <c r="H81" s="426">
        <v>60.23548098275522</v>
      </c>
      <c r="I81" s="426">
        <v>215</v>
      </c>
      <c r="J81" s="426">
        <v>10.604644600113206</v>
      </c>
      <c r="L81" s="413">
        <f t="shared" si="6"/>
        <v>5.4651645167300842</v>
      </c>
      <c r="M81" s="340">
        <f t="shared" si="7"/>
        <v>0.5</v>
      </c>
      <c r="N81" s="340">
        <f t="shared" si="8"/>
        <v>0.3108336935034135</v>
      </c>
    </row>
    <row r="82" spans="1:14" x14ac:dyDescent="0.15">
      <c r="A82" s="398">
        <f t="shared" si="5"/>
        <v>39776</v>
      </c>
      <c r="B82" s="331">
        <v>0.27298880219459531</v>
      </c>
      <c r="C82" s="331">
        <v>2E-3</v>
      </c>
      <c r="D82" s="331">
        <v>3.6833333333333336E-2</v>
      </c>
      <c r="E82" s="331">
        <v>4.2299999999999997E-2</v>
      </c>
      <c r="F82" s="331">
        <v>0</v>
      </c>
      <c r="H82" s="426">
        <v>65.700645499485304</v>
      </c>
      <c r="I82" s="426">
        <v>215.5</v>
      </c>
      <c r="J82" s="426">
        <v>10.915478293616619</v>
      </c>
      <c r="L82" s="413">
        <f t="shared" si="6"/>
        <v>5.696591525726646</v>
      </c>
      <c r="M82" s="340">
        <f t="shared" si="7"/>
        <v>0.5</v>
      </c>
      <c r="N82" s="340">
        <f t="shared" si="8"/>
        <v>0.44382695147068141</v>
      </c>
    </row>
    <row r="83" spans="1:14" x14ac:dyDescent="0.15">
      <c r="A83" s="398">
        <f t="shared" si="5"/>
        <v>39777</v>
      </c>
      <c r="B83" s="331">
        <v>0.27298880219459531</v>
      </c>
      <c r="C83" s="331">
        <v>2E-3</v>
      </c>
      <c r="D83" s="331">
        <v>3.6833333333333336E-2</v>
      </c>
      <c r="E83" s="331">
        <v>4.2299999999999997E-2</v>
      </c>
      <c r="F83" s="331">
        <v>0</v>
      </c>
      <c r="H83" s="426">
        <v>71.39723702521195</v>
      </c>
      <c r="I83" s="426">
        <v>216</v>
      </c>
      <c r="J83" s="426">
        <v>11.359305245087301</v>
      </c>
      <c r="L83" s="413">
        <f t="shared" si="6"/>
        <v>5.9275632038860948</v>
      </c>
      <c r="M83" s="340">
        <f t="shared" si="7"/>
        <v>0.5</v>
      </c>
      <c r="N83" s="340">
        <f t="shared" si="8"/>
        <v>0.44263407552948664</v>
      </c>
    </row>
    <row r="84" spans="1:14" x14ac:dyDescent="0.15">
      <c r="A84" s="398">
        <f t="shared" si="5"/>
        <v>39778</v>
      </c>
      <c r="B84" s="331">
        <v>0.27298880219459531</v>
      </c>
      <c r="C84" s="331">
        <v>2E-3</v>
      </c>
      <c r="D84" s="331">
        <v>3.6833333333333336E-2</v>
      </c>
      <c r="E84" s="331">
        <v>4.2299999999999997E-2</v>
      </c>
      <c r="F84" s="331">
        <v>0</v>
      </c>
      <c r="H84" s="426">
        <v>77.324800229098045</v>
      </c>
      <c r="I84" s="426">
        <v>216.5</v>
      </c>
      <c r="J84" s="426">
        <v>11.801939320616787</v>
      </c>
      <c r="L84" s="413">
        <f t="shared" si="6"/>
        <v>6.1580989941568873</v>
      </c>
      <c r="M84" s="340">
        <f t="shared" si="7"/>
        <v>0.5</v>
      </c>
      <c r="N84" s="340">
        <f t="shared" si="8"/>
        <v>0.44150952496704043</v>
      </c>
    </row>
    <row r="85" spans="1:14" x14ac:dyDescent="0.15">
      <c r="A85" s="398">
        <f t="shared" si="5"/>
        <v>39779</v>
      </c>
      <c r="B85" s="331">
        <v>0.27298880219459531</v>
      </c>
      <c r="C85" s="331">
        <v>2E-3</v>
      </c>
      <c r="D85" s="331">
        <v>3.6833333333333336E-2</v>
      </c>
      <c r="E85" s="331">
        <v>4.2299999999999997E-2</v>
      </c>
      <c r="F85" s="331">
        <v>0</v>
      </c>
      <c r="H85" s="426">
        <v>83.482899223254933</v>
      </c>
      <c r="I85" s="426">
        <v>217</v>
      </c>
      <c r="J85" s="426">
        <v>12.243448845583828</v>
      </c>
      <c r="L85" s="413">
        <f t="shared" si="6"/>
        <v>6.3882167789073208</v>
      </c>
      <c r="M85" s="340">
        <f t="shared" si="7"/>
        <v>0.5</v>
      </c>
      <c r="N85" s="340">
        <f t="shared" si="8"/>
        <v>0.44043094312731057</v>
      </c>
    </row>
    <row r="86" spans="1:14" x14ac:dyDescent="0.15">
      <c r="A86" s="398">
        <f t="shared" si="5"/>
        <v>39780</v>
      </c>
      <c r="B86" s="331">
        <v>0.27298880219459531</v>
      </c>
      <c r="C86" s="331">
        <v>2E-3</v>
      </c>
      <c r="D86" s="331">
        <v>3.6833333333333336E-2</v>
      </c>
      <c r="E86" s="331">
        <v>4.2299999999999997E-2</v>
      </c>
      <c r="F86" s="331">
        <v>0</v>
      </c>
      <c r="H86" s="426">
        <v>89.871116002162253</v>
      </c>
      <c r="I86" s="426">
        <v>217.5</v>
      </c>
      <c r="J86" s="426">
        <v>12.683879788711138</v>
      </c>
      <c r="L86" s="413">
        <f t="shared" si="6"/>
        <v>6.6179330592517687</v>
      </c>
      <c r="M86" s="340">
        <f t="shared" si="7"/>
        <v>0.5</v>
      </c>
      <c r="N86" s="340">
        <f t="shared" si="8"/>
        <v>0.43939481832976135</v>
      </c>
    </row>
    <row r="87" spans="1:14" x14ac:dyDescent="0.15">
      <c r="A87" s="398">
        <f t="shared" si="5"/>
        <v>39781</v>
      </c>
      <c r="B87" s="331">
        <v>0.27298880219459531</v>
      </c>
      <c r="C87" s="331">
        <v>2E-3</v>
      </c>
      <c r="D87" s="331">
        <v>3.6833333333333336E-2</v>
      </c>
      <c r="E87" s="331">
        <v>4.2299999999999997E-2</v>
      </c>
      <c r="F87" s="331">
        <v>0</v>
      </c>
      <c r="H87" s="426">
        <v>96.489049061414022</v>
      </c>
      <c r="I87" s="426">
        <v>218</v>
      </c>
      <c r="J87" s="426">
        <v>13.1232746070409</v>
      </c>
      <c r="L87" s="413">
        <f t="shared" si="6"/>
        <v>6.847263108330722</v>
      </c>
      <c r="M87" s="340">
        <f t="shared" si="7"/>
        <v>0.5</v>
      </c>
      <c r="N87" s="340">
        <f t="shared" si="8"/>
        <v>0.74756481674879005</v>
      </c>
    </row>
    <row r="88" spans="1:14" x14ac:dyDescent="0.15">
      <c r="A88" s="398">
        <f t="shared" si="5"/>
        <v>39782</v>
      </c>
      <c r="B88" s="331">
        <v>0.27298880219459531</v>
      </c>
      <c r="C88" s="331">
        <v>2E-3</v>
      </c>
      <c r="D88" s="331">
        <v>3.6833333333333336E-2</v>
      </c>
      <c r="E88" s="331">
        <v>4.2299999999999997E-2</v>
      </c>
      <c r="F88" s="331">
        <v>0</v>
      </c>
      <c r="H88" s="426">
        <v>103.33631216974474</v>
      </c>
      <c r="I88" s="426">
        <v>218.5</v>
      </c>
      <c r="J88" s="426">
        <v>13.87083942378969</v>
      </c>
      <c r="L88" s="413">
        <f t="shared" si="6"/>
        <v>7.0762211024314041</v>
      </c>
      <c r="M88" s="340">
        <f t="shared" si="7"/>
        <v>0.5</v>
      </c>
      <c r="N88" s="340">
        <f t="shared" si="8"/>
        <v>0.76264396604780238</v>
      </c>
    </row>
    <row r="89" spans="1:14" x14ac:dyDescent="0.15">
      <c r="A89" s="398">
        <f t="shared" si="5"/>
        <v>39783</v>
      </c>
      <c r="B89" s="331">
        <v>8.7861979126042822E-2</v>
      </c>
      <c r="C89" s="331">
        <v>1.9354838709677419E-3</v>
      </c>
      <c r="D89" s="331">
        <v>3.7258064516129036E-2</v>
      </c>
      <c r="E89" s="331">
        <v>4.2299999999999997E-2</v>
      </c>
      <c r="F89" s="331">
        <v>0</v>
      </c>
      <c r="H89" s="426">
        <v>110.41253327217615</v>
      </c>
      <c r="I89" s="426">
        <v>219</v>
      </c>
      <c r="J89" s="426">
        <v>14.633483389837492</v>
      </c>
      <c r="L89" s="413">
        <f t="shared" si="6"/>
        <v>7.3048202345060957</v>
      </c>
      <c r="M89" s="340">
        <f t="shared" si="7"/>
        <v>0.5</v>
      </c>
      <c r="N89" s="340">
        <f t="shared" si="8"/>
        <v>0.77750256122750905</v>
      </c>
    </row>
    <row r="90" spans="1:14" x14ac:dyDescent="0.15">
      <c r="A90" s="398">
        <f t="shared" si="5"/>
        <v>39784</v>
      </c>
      <c r="B90" s="331">
        <v>8.7861979126042822E-2</v>
      </c>
      <c r="C90" s="331">
        <v>1.9354838709677419E-3</v>
      </c>
      <c r="D90" s="331">
        <v>3.7258064516129036E-2</v>
      </c>
      <c r="E90" s="331">
        <v>4.2299999999999997E-2</v>
      </c>
      <c r="F90" s="331">
        <v>0</v>
      </c>
      <c r="H90" s="426">
        <v>117.71735350668224</v>
      </c>
      <c r="I90" s="426">
        <v>219.5</v>
      </c>
      <c r="J90" s="426">
        <v>15.410985951065001</v>
      </c>
      <c r="L90" s="413">
        <f t="shared" si="6"/>
        <v>7.5330728122063135</v>
      </c>
      <c r="M90" s="340">
        <f t="shared" si="7"/>
        <v>0.5</v>
      </c>
      <c r="N90" s="340">
        <f t="shared" si="8"/>
        <v>0.79215729890954378</v>
      </c>
    </row>
    <row r="91" spans="1:14" x14ac:dyDescent="0.15">
      <c r="A91" s="398">
        <f t="shared" si="5"/>
        <v>39785</v>
      </c>
      <c r="B91" s="331">
        <v>8.7861979126042822E-2</v>
      </c>
      <c r="C91" s="331">
        <v>1.9354838709677419E-3</v>
      </c>
      <c r="D91" s="331">
        <v>3.7258064516129036E-2</v>
      </c>
      <c r="E91" s="331">
        <v>4.2299999999999997E-2</v>
      </c>
      <c r="F91" s="331">
        <v>0</v>
      </c>
      <c r="H91" s="426">
        <v>125.25042631888856</v>
      </c>
      <c r="I91" s="426">
        <v>220</v>
      </c>
      <c r="J91" s="426">
        <v>16.203143249974545</v>
      </c>
      <c r="L91" s="413">
        <f t="shared" si="6"/>
        <v>7.7609903437475651</v>
      </c>
      <c r="M91" s="340">
        <f t="shared" si="7"/>
        <v>0.5</v>
      </c>
      <c r="N91" s="340">
        <f t="shared" si="8"/>
        <v>0.80661732043596146</v>
      </c>
    </row>
    <row r="92" spans="1:14" x14ac:dyDescent="0.15">
      <c r="A92" s="398">
        <f t="shared" si="5"/>
        <v>39786</v>
      </c>
      <c r="B92" s="331">
        <v>8.7861979126042822E-2</v>
      </c>
      <c r="C92" s="331">
        <v>1.9354838709677419E-3</v>
      </c>
      <c r="D92" s="331">
        <v>3.7258064516129036E-2</v>
      </c>
      <c r="E92" s="331">
        <v>4.2299999999999997E-2</v>
      </c>
      <c r="F92" s="331">
        <v>0</v>
      </c>
      <c r="H92" s="426">
        <v>133.01141666263612</v>
      </c>
      <c r="I92" s="426">
        <v>220.5</v>
      </c>
      <c r="J92" s="426">
        <v>17.009760570410506</v>
      </c>
      <c r="L92" s="413">
        <f t="shared" si="6"/>
        <v>7.9885836126499896</v>
      </c>
      <c r="M92" s="340">
        <f t="shared" si="7"/>
        <v>0.5</v>
      </c>
      <c r="N92" s="340">
        <f t="shared" si="8"/>
        <v>1.3275151453641278</v>
      </c>
    </row>
    <row r="93" spans="1:14" x14ac:dyDescent="0.15">
      <c r="A93" s="398">
        <f t="shared" si="5"/>
        <v>39787</v>
      </c>
      <c r="B93" s="331">
        <v>8.7861979126042822E-2</v>
      </c>
      <c r="C93" s="331">
        <v>1.9354838709677419E-3</v>
      </c>
      <c r="D93" s="331">
        <v>3.7258064516129036E-2</v>
      </c>
      <c r="E93" s="331">
        <v>4.2299999999999997E-2</v>
      </c>
      <c r="F93" s="331">
        <v>0</v>
      </c>
      <c r="H93" s="426">
        <v>141.00000027528611</v>
      </c>
      <c r="I93" s="426">
        <v>221</v>
      </c>
      <c r="J93" s="426">
        <v>18.337275715774634</v>
      </c>
      <c r="L93" s="413">
        <f t="shared" si="6"/>
        <v>10.080679835091217</v>
      </c>
      <c r="M93" s="340">
        <f t="shared" si="7"/>
        <v>0.5</v>
      </c>
      <c r="N93" s="340">
        <f t="shared" si="8"/>
        <v>1.3882024680920111</v>
      </c>
    </row>
    <row r="94" spans="1:14" x14ac:dyDescent="0.15">
      <c r="A94" s="398">
        <f t="shared" si="5"/>
        <v>39788</v>
      </c>
      <c r="B94" s="331">
        <v>8.7861979126042822E-2</v>
      </c>
      <c r="C94" s="331">
        <v>1.9354838709677419E-3</v>
      </c>
      <c r="D94" s="331">
        <v>3.7258064516129036E-2</v>
      </c>
      <c r="E94" s="331">
        <v>4.2299999999999997E-2</v>
      </c>
      <c r="F94" s="331">
        <v>0</v>
      </c>
      <c r="H94" s="426">
        <v>151.08068011037733</v>
      </c>
      <c r="I94" s="426">
        <v>221.5</v>
      </c>
      <c r="J94" s="426">
        <v>19.725478183866645</v>
      </c>
      <c r="L94" s="413">
        <f t="shared" si="6"/>
        <v>10.486763438270145</v>
      </c>
      <c r="M94" s="340">
        <f t="shared" si="7"/>
        <v>0.5</v>
      </c>
      <c r="N94" s="340">
        <f t="shared" si="8"/>
        <v>1.4497155624196516</v>
      </c>
    </row>
    <row r="95" spans="1:14" x14ac:dyDescent="0.15">
      <c r="A95" s="398">
        <f t="shared" si="5"/>
        <v>39789</v>
      </c>
      <c r="B95" s="331">
        <v>8.7861979126042822E-2</v>
      </c>
      <c r="C95" s="331">
        <v>1.9354838709677419E-3</v>
      </c>
      <c r="D95" s="331">
        <v>3.7258064516129036E-2</v>
      </c>
      <c r="E95" s="331">
        <v>4.2299999999999997E-2</v>
      </c>
      <c r="F95" s="331">
        <v>0</v>
      </c>
      <c r="H95" s="426">
        <v>161.56744354864747</v>
      </c>
      <c r="I95" s="426">
        <v>222</v>
      </c>
      <c r="J95" s="426">
        <v>21.175193746286297</v>
      </c>
      <c r="L95" s="413">
        <f t="shared" si="6"/>
        <v>10.897242837549356</v>
      </c>
      <c r="M95" s="340">
        <f t="shared" si="7"/>
        <v>0.5</v>
      </c>
      <c r="N95" s="340">
        <f t="shared" si="8"/>
        <v>1.5121319914255906</v>
      </c>
    </row>
    <row r="96" spans="1:14" x14ac:dyDescent="0.15">
      <c r="A96" s="398">
        <f t="shared" si="5"/>
        <v>39790</v>
      </c>
      <c r="B96" s="331">
        <v>8.7861979126042822E-2</v>
      </c>
      <c r="C96" s="331">
        <v>1.9354838709677419E-3</v>
      </c>
      <c r="D96" s="331">
        <v>3.7258064516129036E-2</v>
      </c>
      <c r="E96" s="331">
        <v>4.2299999999999997E-2</v>
      </c>
      <c r="F96" s="331">
        <v>0</v>
      </c>
      <c r="G96" s="397"/>
      <c r="H96" s="426">
        <v>172.46468638619683</v>
      </c>
      <c r="I96" s="426">
        <v>222.5</v>
      </c>
      <c r="J96" s="426">
        <v>22.687325737711888</v>
      </c>
      <c r="L96" s="413">
        <f t="shared" si="6"/>
        <v>11.312043652875957</v>
      </c>
      <c r="M96" s="340">
        <f t="shared" si="7"/>
        <v>0.5</v>
      </c>
      <c r="N96" s="340">
        <f t="shared" si="8"/>
        <v>1.0120547078566133</v>
      </c>
    </row>
    <row r="97" spans="1:14" x14ac:dyDescent="0.15">
      <c r="A97" s="398">
        <f t="shared" si="5"/>
        <v>39791</v>
      </c>
      <c r="B97" s="331">
        <v>8.7861979126042822E-2</v>
      </c>
      <c r="C97" s="331">
        <v>1.9354838709677419E-3</v>
      </c>
      <c r="D97" s="331">
        <v>3.7258064516129036E-2</v>
      </c>
      <c r="E97" s="331">
        <v>4.2299999999999997E-2</v>
      </c>
      <c r="F97" s="331">
        <v>0</v>
      </c>
      <c r="H97" s="426">
        <v>183.77673003907279</v>
      </c>
      <c r="I97" s="426">
        <v>223</v>
      </c>
      <c r="J97" s="426">
        <v>23.699380445568501</v>
      </c>
      <c r="L97" s="413">
        <f t="shared" si="6"/>
        <v>23.885420525682633</v>
      </c>
      <c r="M97" s="340">
        <f t="shared" si="7"/>
        <v>1</v>
      </c>
      <c r="N97" s="340">
        <f t="shared" si="8"/>
        <v>2.0755249446168413</v>
      </c>
    </row>
    <row r="98" spans="1:14" x14ac:dyDescent="0.15">
      <c r="A98" s="398">
        <f t="shared" si="5"/>
        <v>39792</v>
      </c>
      <c r="B98" s="331">
        <v>8.7861979126042822E-2</v>
      </c>
      <c r="C98" s="331">
        <v>1.9354838709677419E-3</v>
      </c>
      <c r="D98" s="331">
        <v>3.7258064516129036E-2</v>
      </c>
      <c r="E98" s="331">
        <v>4.2299999999999997E-2</v>
      </c>
      <c r="F98" s="331">
        <v>0</v>
      </c>
      <c r="H98" s="426">
        <v>207.66215056475542</v>
      </c>
      <c r="I98" s="426">
        <v>224</v>
      </c>
      <c r="J98" s="426">
        <v>25.774905390185342</v>
      </c>
      <c r="L98" s="413">
        <f t="shared" si="6"/>
        <v>25.594747290360317</v>
      </c>
      <c r="M98" s="340">
        <f t="shared" si="7"/>
        <v>1</v>
      </c>
      <c r="N98" s="340">
        <f t="shared" si="8"/>
        <v>1.7561744553575345</v>
      </c>
    </row>
    <row r="99" spans="1:14" x14ac:dyDescent="0.15">
      <c r="A99" s="398">
        <f t="shared" si="5"/>
        <v>39793</v>
      </c>
      <c r="B99" s="331">
        <v>8.7861979126042822E-2</v>
      </c>
      <c r="C99" s="331">
        <v>1.9354838709677419E-3</v>
      </c>
      <c r="D99" s="331">
        <v>3.7258064516129036E-2</v>
      </c>
      <c r="E99" s="331">
        <v>4.2299999999999997E-2</v>
      </c>
      <c r="F99" s="331">
        <v>0</v>
      </c>
      <c r="H99" s="426">
        <v>233.25689785511574</v>
      </c>
      <c r="I99" s="426">
        <v>225</v>
      </c>
      <c r="J99" s="426">
        <v>27.531079845542877</v>
      </c>
      <c r="L99" s="413">
        <f t="shared" si="6"/>
        <v>27.336255919130082</v>
      </c>
      <c r="M99" s="340">
        <f t="shared" si="7"/>
        <v>1</v>
      </c>
      <c r="N99" s="340">
        <f t="shared" si="8"/>
        <v>1.3894756864801856</v>
      </c>
    </row>
    <row r="100" spans="1:14" x14ac:dyDescent="0.15">
      <c r="A100" s="398">
        <f t="shared" si="5"/>
        <v>39794</v>
      </c>
      <c r="B100" s="331">
        <v>8.7861979126042822E-2</v>
      </c>
      <c r="C100" s="331">
        <v>1.9354838709677419E-3</v>
      </c>
      <c r="D100" s="331">
        <v>3.7258064516129036E-2</v>
      </c>
      <c r="E100" s="331">
        <v>4.2299999999999997E-2</v>
      </c>
      <c r="F100" s="331">
        <v>0</v>
      </c>
      <c r="H100" s="426">
        <v>260.59315377424582</v>
      </c>
      <c r="I100" s="426">
        <v>226</v>
      </c>
      <c r="J100" s="426">
        <v>28.920555532023062</v>
      </c>
      <c r="L100" s="413">
        <f t="shared" si="6"/>
        <v>29.10901242344795</v>
      </c>
      <c r="M100" s="340">
        <f t="shared" si="7"/>
        <v>1</v>
      </c>
      <c r="N100" s="340">
        <f t="shared" si="8"/>
        <v>1.3931706301165541</v>
      </c>
    </row>
    <row r="101" spans="1:14" x14ac:dyDescent="0.15">
      <c r="A101" s="398">
        <f t="shared" si="5"/>
        <v>39795</v>
      </c>
      <c r="B101" s="331">
        <v>8.7861979126042822E-2</v>
      </c>
      <c r="C101" s="331">
        <v>1.9354838709677419E-3</v>
      </c>
      <c r="D101" s="331">
        <v>3.7258064516129036E-2</v>
      </c>
      <c r="E101" s="331">
        <v>4.2299999999999997E-2</v>
      </c>
      <c r="F101" s="331">
        <v>0</v>
      </c>
      <c r="H101" s="426">
        <v>289.70216619769377</v>
      </c>
      <c r="I101" s="426">
        <v>227</v>
      </c>
      <c r="J101" s="426">
        <v>30.313726162139616</v>
      </c>
      <c r="L101" s="413">
        <f t="shared" si="6"/>
        <v>30.912150650514548</v>
      </c>
      <c r="M101" s="340">
        <f t="shared" si="7"/>
        <v>1</v>
      </c>
      <c r="N101" s="340">
        <f t="shared" si="8"/>
        <v>1.3967140168636405</v>
      </c>
    </row>
    <row r="102" spans="1:14" x14ac:dyDescent="0.15">
      <c r="A102" s="398">
        <f t="shared" si="5"/>
        <v>39796</v>
      </c>
      <c r="B102" s="331">
        <v>8.7861979126042822E-2</v>
      </c>
      <c r="C102" s="331">
        <v>1.9354838709677419E-3</v>
      </c>
      <c r="D102" s="331">
        <v>3.7258064516129036E-2</v>
      </c>
      <c r="E102" s="331">
        <v>4.2299999999999997E-2</v>
      </c>
      <c r="F102" s="331">
        <v>0</v>
      </c>
      <c r="H102" s="426">
        <v>320.61431684820832</v>
      </c>
      <c r="I102" s="426">
        <v>228</v>
      </c>
      <c r="J102" s="426">
        <v>31.710440179003257</v>
      </c>
      <c r="L102" s="413">
        <f t="shared" si="6"/>
        <v>32.74486464946915</v>
      </c>
      <c r="M102" s="340">
        <f t="shared" si="7"/>
        <v>1</v>
      </c>
      <c r="N102" s="340">
        <f t="shared" si="8"/>
        <v>1.4001181338394133</v>
      </c>
    </row>
    <row r="103" spans="1:14" x14ac:dyDescent="0.15">
      <c r="A103" s="398">
        <f t="shared" si="5"/>
        <v>39797</v>
      </c>
      <c r="B103" s="331">
        <v>8.7861979126042822E-2</v>
      </c>
      <c r="C103" s="331">
        <v>1.9354838709677419E-3</v>
      </c>
      <c r="D103" s="331">
        <v>3.7258064516129036E-2</v>
      </c>
      <c r="E103" s="331">
        <v>4.2299999999999997E-2</v>
      </c>
      <c r="F103" s="331">
        <v>0</v>
      </c>
      <c r="H103" s="426">
        <v>353.35918149767747</v>
      </c>
      <c r="I103" s="426">
        <v>229</v>
      </c>
      <c r="J103" s="426">
        <v>33.11055831284267</v>
      </c>
      <c r="L103" s="413">
        <f t="shared" si="6"/>
        <v>34.606402176419863</v>
      </c>
      <c r="M103" s="340">
        <f t="shared" si="7"/>
        <v>1</v>
      </c>
      <c r="N103" s="340">
        <f t="shared" si="8"/>
        <v>1.4033938190483042</v>
      </c>
    </row>
    <row r="104" spans="1:14" x14ac:dyDescent="0.15">
      <c r="A104" s="398">
        <f t="shared" si="5"/>
        <v>39798</v>
      </c>
      <c r="B104" s="331">
        <v>8.7861979126042822E-2</v>
      </c>
      <c r="C104" s="331">
        <v>1.9354838709677419E-3</v>
      </c>
      <c r="D104" s="331">
        <v>3.7258064516129036E-2</v>
      </c>
      <c r="E104" s="331">
        <v>4.2299999999999997E-2</v>
      </c>
      <c r="F104" s="331">
        <v>0</v>
      </c>
      <c r="H104" s="426">
        <v>387.96558367409733</v>
      </c>
      <c r="I104" s="426">
        <v>230</v>
      </c>
      <c r="J104" s="426">
        <v>34.513952131890974</v>
      </c>
      <c r="L104" s="339">
        <f t="shared" si="6"/>
        <v>-387.96558367409733</v>
      </c>
      <c r="M104" s="340">
        <f t="shared" si="7"/>
        <v>-230</v>
      </c>
      <c r="N104" s="340">
        <f t="shared" si="8"/>
        <v>-34.513952131890974</v>
      </c>
    </row>
    <row r="105" spans="1:14" x14ac:dyDescent="0.15">
      <c r="A105" s="398">
        <f t="shared" si="5"/>
        <v>39799</v>
      </c>
      <c r="B105" s="331">
        <v>8.7861979126042822E-2</v>
      </c>
      <c r="C105" s="331">
        <v>1.9354838709677419E-3</v>
      </c>
      <c r="D105" s="331">
        <v>3.7258064516129036E-2</v>
      </c>
      <c r="E105" s="331">
        <v>4.2299999999999997E-2</v>
      </c>
      <c r="F105" s="331">
        <v>0</v>
      </c>
      <c r="H105" s="377"/>
      <c r="I105" s="377"/>
      <c r="J105" s="377"/>
      <c r="L105" s="339">
        <f t="shared" si="6"/>
        <v>0</v>
      </c>
      <c r="M105" s="340">
        <f t="shared" si="7"/>
        <v>0</v>
      </c>
      <c r="N105" s="340">
        <f t="shared" si="8"/>
        <v>0</v>
      </c>
    </row>
    <row r="106" spans="1:14" x14ac:dyDescent="0.15">
      <c r="A106" s="398">
        <f t="shared" si="5"/>
        <v>39800</v>
      </c>
      <c r="B106" s="331">
        <v>8.7861979126042822E-2</v>
      </c>
      <c r="C106" s="331">
        <v>1.9354838709677419E-3</v>
      </c>
      <c r="D106" s="331">
        <v>3.7258064516129036E-2</v>
      </c>
      <c r="E106" s="331">
        <v>4.2299999999999997E-2</v>
      </c>
      <c r="F106" s="331">
        <v>0</v>
      </c>
      <c r="H106" s="377"/>
      <c r="I106" s="377"/>
      <c r="J106" s="377"/>
      <c r="L106" s="339">
        <f t="shared" si="6"/>
        <v>0</v>
      </c>
      <c r="M106" s="340">
        <f t="shared" si="7"/>
        <v>0</v>
      </c>
      <c r="N106" s="340">
        <f t="shared" si="8"/>
        <v>0</v>
      </c>
    </row>
    <row r="107" spans="1:14" x14ac:dyDescent="0.15">
      <c r="A107" s="398">
        <f t="shared" si="5"/>
        <v>39801</v>
      </c>
      <c r="B107" s="331">
        <v>8.7861979126042822E-2</v>
      </c>
      <c r="C107" s="331">
        <v>1.9354838709677419E-3</v>
      </c>
      <c r="D107" s="331">
        <v>3.7258064516129036E-2</v>
      </c>
      <c r="E107" s="331">
        <v>4.2299999999999997E-2</v>
      </c>
      <c r="F107" s="331">
        <v>0</v>
      </c>
      <c r="H107" s="377"/>
      <c r="I107" s="377"/>
      <c r="J107" s="377"/>
      <c r="L107" s="339">
        <f t="shared" si="6"/>
        <v>0</v>
      </c>
      <c r="M107" s="340">
        <f t="shared" si="7"/>
        <v>0</v>
      </c>
      <c r="N107" s="340">
        <f t="shared" si="8"/>
        <v>0</v>
      </c>
    </row>
    <row r="108" spans="1:14" x14ac:dyDescent="0.15">
      <c r="A108" s="398">
        <f t="shared" si="5"/>
        <v>39802</v>
      </c>
      <c r="B108" s="331">
        <v>8.7861979126042822E-2</v>
      </c>
      <c r="C108" s="331">
        <v>1.9354838709677419E-3</v>
      </c>
      <c r="D108" s="331">
        <v>3.7258064516129036E-2</v>
      </c>
      <c r="E108" s="331">
        <v>4.2299999999999997E-2</v>
      </c>
      <c r="F108" s="331">
        <v>0</v>
      </c>
      <c r="H108" s="377"/>
      <c r="I108" s="377"/>
      <c r="J108" s="377"/>
      <c r="L108" s="339">
        <f t="shared" si="6"/>
        <v>0</v>
      </c>
      <c r="M108" s="340">
        <f t="shared" si="7"/>
        <v>0</v>
      </c>
      <c r="N108" s="340">
        <f t="shared" si="8"/>
        <v>0</v>
      </c>
    </row>
    <row r="109" spans="1:14" x14ac:dyDescent="0.15">
      <c r="A109" s="398">
        <f t="shared" si="5"/>
        <v>39803</v>
      </c>
      <c r="B109" s="331">
        <v>8.7861979126042822E-2</v>
      </c>
      <c r="C109" s="331">
        <v>1.9354838709677419E-3</v>
      </c>
      <c r="D109" s="331">
        <v>3.7258064516129036E-2</v>
      </c>
      <c r="E109" s="331">
        <v>4.2299999999999997E-2</v>
      </c>
      <c r="F109" s="331">
        <v>0</v>
      </c>
      <c r="H109" s="377"/>
      <c r="I109" s="377"/>
      <c r="J109" s="377"/>
      <c r="L109" s="339">
        <f t="shared" si="6"/>
        <v>0</v>
      </c>
      <c r="M109" s="340">
        <f t="shared" si="7"/>
        <v>0</v>
      </c>
      <c r="N109" s="340">
        <f t="shared" si="8"/>
        <v>0</v>
      </c>
    </row>
    <row r="110" spans="1:14" x14ac:dyDescent="0.15">
      <c r="A110" s="398">
        <f t="shared" si="5"/>
        <v>39804</v>
      </c>
      <c r="B110" s="331">
        <v>8.7861979126042822E-2</v>
      </c>
      <c r="C110" s="331">
        <v>1.9354838709677419E-3</v>
      </c>
      <c r="D110" s="331">
        <v>3.7258064516129036E-2</v>
      </c>
      <c r="E110" s="331">
        <v>4.2299999999999997E-2</v>
      </c>
      <c r="F110" s="331">
        <v>0</v>
      </c>
      <c r="H110" s="377"/>
      <c r="I110" s="377"/>
      <c r="J110" s="377"/>
      <c r="L110" s="339">
        <f t="shared" si="6"/>
        <v>0</v>
      </c>
      <c r="M110" s="340">
        <f t="shared" si="7"/>
        <v>0</v>
      </c>
      <c r="N110" s="340">
        <f t="shared" si="8"/>
        <v>0</v>
      </c>
    </row>
    <row r="111" spans="1:14" x14ac:dyDescent="0.15">
      <c r="A111" s="398">
        <f t="shared" si="5"/>
        <v>39805</v>
      </c>
      <c r="B111" s="331">
        <v>8.7861979126042822E-2</v>
      </c>
      <c r="C111" s="331">
        <v>1.9354838709677419E-3</v>
      </c>
      <c r="D111" s="331">
        <v>3.7258064516129036E-2</v>
      </c>
      <c r="E111" s="331">
        <v>4.2299999999999997E-2</v>
      </c>
      <c r="F111" s="331">
        <v>0</v>
      </c>
      <c r="H111" s="377"/>
      <c r="I111" s="377"/>
      <c r="J111" s="377"/>
      <c r="L111" s="339">
        <f t="shared" si="6"/>
        <v>0</v>
      </c>
      <c r="M111" s="340">
        <f t="shared" si="7"/>
        <v>0</v>
      </c>
      <c r="N111" s="340">
        <f t="shared" si="8"/>
        <v>0</v>
      </c>
    </row>
    <row r="112" spans="1:14" x14ac:dyDescent="0.15">
      <c r="A112" s="398">
        <f t="shared" si="5"/>
        <v>39806</v>
      </c>
      <c r="B112" s="331">
        <v>8.7861979126042822E-2</v>
      </c>
      <c r="C112" s="331">
        <v>1.9354838709677419E-3</v>
      </c>
      <c r="D112" s="331">
        <v>3.7258064516129036E-2</v>
      </c>
      <c r="E112" s="331">
        <v>4.2299999999999997E-2</v>
      </c>
      <c r="F112" s="331">
        <v>0</v>
      </c>
      <c r="H112" s="377"/>
      <c r="I112" s="377"/>
      <c r="J112" s="377"/>
      <c r="L112" s="339">
        <f t="shared" si="6"/>
        <v>0</v>
      </c>
      <c r="M112" s="340">
        <f t="shared" si="7"/>
        <v>0</v>
      </c>
      <c r="N112" s="340">
        <f t="shared" si="8"/>
        <v>0</v>
      </c>
    </row>
    <row r="113" spans="1:14" x14ac:dyDescent="0.15">
      <c r="A113" s="398">
        <f t="shared" si="5"/>
        <v>39807</v>
      </c>
      <c r="B113" s="331">
        <v>8.7861979126042822E-2</v>
      </c>
      <c r="C113" s="331">
        <v>1.9354838709677419E-3</v>
      </c>
      <c r="D113" s="331">
        <v>3.7258064516129036E-2</v>
      </c>
      <c r="E113" s="331">
        <v>4.2299999999999997E-2</v>
      </c>
      <c r="F113" s="331">
        <v>0</v>
      </c>
      <c r="H113" s="377"/>
      <c r="I113" s="377"/>
      <c r="J113" s="377"/>
      <c r="L113" s="339">
        <f t="shared" si="6"/>
        <v>0</v>
      </c>
      <c r="M113" s="340">
        <f t="shared" si="7"/>
        <v>0</v>
      </c>
      <c r="N113" s="340">
        <f t="shared" si="8"/>
        <v>0</v>
      </c>
    </row>
    <row r="114" spans="1:14" x14ac:dyDescent="0.15">
      <c r="A114" s="398">
        <f t="shared" si="5"/>
        <v>39808</v>
      </c>
      <c r="B114" s="331">
        <v>8.7861979126042822E-2</v>
      </c>
      <c r="C114" s="331">
        <v>1.9354838709677419E-3</v>
      </c>
      <c r="D114" s="331">
        <v>3.7258064516129036E-2</v>
      </c>
      <c r="E114" s="331">
        <v>4.2299999999999997E-2</v>
      </c>
      <c r="F114" s="331">
        <v>0</v>
      </c>
      <c r="H114" s="377"/>
      <c r="I114" s="377"/>
      <c r="J114" s="377"/>
      <c r="L114" s="339">
        <f t="shared" si="6"/>
        <v>0</v>
      </c>
      <c r="M114" s="340">
        <f t="shared" si="7"/>
        <v>0</v>
      </c>
      <c r="N114" s="340">
        <f t="shared" si="8"/>
        <v>0</v>
      </c>
    </row>
    <row r="115" spans="1:14" x14ac:dyDescent="0.15">
      <c r="A115" s="398">
        <f t="shared" si="5"/>
        <v>39809</v>
      </c>
      <c r="B115" s="331">
        <v>8.7861979126042822E-2</v>
      </c>
      <c r="C115" s="331">
        <v>1.9354838709677419E-3</v>
      </c>
      <c r="D115" s="331">
        <v>3.7258064516129036E-2</v>
      </c>
      <c r="E115" s="331">
        <v>4.2299999999999997E-2</v>
      </c>
      <c r="F115" s="331">
        <v>0</v>
      </c>
      <c r="H115" s="377"/>
      <c r="I115" s="377"/>
      <c r="J115" s="377"/>
      <c r="L115" s="339">
        <f t="shared" si="6"/>
        <v>0</v>
      </c>
      <c r="M115" s="340">
        <f t="shared" si="7"/>
        <v>0</v>
      </c>
      <c r="N115" s="340">
        <f t="shared" si="8"/>
        <v>0</v>
      </c>
    </row>
    <row r="116" spans="1:14" x14ac:dyDescent="0.15">
      <c r="A116" s="398">
        <f t="shared" si="5"/>
        <v>39810</v>
      </c>
      <c r="B116" s="331">
        <v>8.7861979126042822E-2</v>
      </c>
      <c r="C116" s="331">
        <v>1.9354838709677419E-3</v>
      </c>
      <c r="D116" s="331">
        <v>3.7258064516129036E-2</v>
      </c>
      <c r="E116" s="331">
        <v>4.2299999999999997E-2</v>
      </c>
      <c r="F116" s="331">
        <v>0</v>
      </c>
      <c r="H116" s="377"/>
      <c r="I116" s="377"/>
      <c r="J116" s="377"/>
      <c r="L116" s="339">
        <f t="shared" si="6"/>
        <v>0</v>
      </c>
      <c r="M116" s="340">
        <f t="shared" si="7"/>
        <v>0</v>
      </c>
      <c r="N116" s="340">
        <f t="shared" si="8"/>
        <v>0</v>
      </c>
    </row>
    <row r="117" spans="1:14" x14ac:dyDescent="0.15">
      <c r="A117" s="398">
        <f t="shared" si="5"/>
        <v>39811</v>
      </c>
      <c r="B117" s="331">
        <v>8.7861979126042822E-2</v>
      </c>
      <c r="C117" s="331">
        <v>1.9354838709677419E-3</v>
      </c>
      <c r="D117" s="331">
        <v>3.7258064516129036E-2</v>
      </c>
      <c r="E117" s="331">
        <v>4.2299999999999997E-2</v>
      </c>
      <c r="F117" s="331">
        <v>0</v>
      </c>
      <c r="H117" s="377"/>
      <c r="I117" s="377"/>
      <c r="J117" s="377"/>
      <c r="L117" s="339">
        <f t="shared" si="6"/>
        <v>0</v>
      </c>
      <c r="M117" s="340">
        <f t="shared" si="7"/>
        <v>0</v>
      </c>
      <c r="N117" s="340">
        <f t="shared" si="8"/>
        <v>0</v>
      </c>
    </row>
    <row r="118" spans="1:14" x14ac:dyDescent="0.15">
      <c r="A118" s="398">
        <f t="shared" si="5"/>
        <v>39812</v>
      </c>
      <c r="B118" s="331">
        <v>8.7861979126042822E-2</v>
      </c>
      <c r="C118" s="331">
        <v>1.9354838709677419E-3</v>
      </c>
      <c r="D118" s="331">
        <v>3.7258064516129036E-2</v>
      </c>
      <c r="E118" s="331">
        <v>4.2299999999999997E-2</v>
      </c>
      <c r="F118" s="331">
        <v>0</v>
      </c>
      <c r="H118" s="377"/>
      <c r="I118" s="377"/>
      <c r="J118" s="377"/>
      <c r="L118" s="339">
        <f t="shared" si="6"/>
        <v>0</v>
      </c>
      <c r="M118" s="340">
        <f t="shared" si="7"/>
        <v>0</v>
      </c>
      <c r="N118" s="340">
        <f t="shared" si="8"/>
        <v>0</v>
      </c>
    </row>
    <row r="119" spans="1:14" x14ac:dyDescent="0.15">
      <c r="A119" s="398">
        <f t="shared" si="5"/>
        <v>39813</v>
      </c>
      <c r="B119" s="331">
        <v>8.7861979126042822E-2</v>
      </c>
      <c r="C119" s="331">
        <v>1.9354838709677419E-3</v>
      </c>
      <c r="D119" s="331">
        <v>3.7258064516129036E-2</v>
      </c>
      <c r="E119" s="331">
        <v>4.2299999999999997E-2</v>
      </c>
      <c r="F119" s="331">
        <v>0</v>
      </c>
      <c r="H119" s="377"/>
      <c r="I119" s="377"/>
      <c r="J119" s="377"/>
      <c r="L119" s="339">
        <f t="shared" si="6"/>
        <v>0</v>
      </c>
      <c r="M119" s="340">
        <f t="shared" si="7"/>
        <v>0</v>
      </c>
      <c r="N119" s="340">
        <f t="shared" si="8"/>
        <v>0</v>
      </c>
    </row>
    <row r="120" spans="1:14" x14ac:dyDescent="0.15">
      <c r="A120" s="398">
        <f t="shared" si="5"/>
        <v>39814</v>
      </c>
      <c r="B120" s="331">
        <v>5.5448690133525186E-2</v>
      </c>
      <c r="C120" s="331">
        <v>4.193548387096774E-3</v>
      </c>
      <c r="D120" s="331">
        <v>3.8548387096774196E-2</v>
      </c>
      <c r="E120" s="331">
        <v>8.1870967741935474E-2</v>
      </c>
      <c r="F120" s="331">
        <v>0</v>
      </c>
      <c r="H120" s="377"/>
      <c r="I120" s="377"/>
      <c r="J120" s="377"/>
      <c r="L120" s="339">
        <f t="shared" si="6"/>
        <v>0</v>
      </c>
      <c r="M120" s="340">
        <f t="shared" si="7"/>
        <v>0</v>
      </c>
      <c r="N120" s="340">
        <f t="shared" si="8"/>
        <v>0</v>
      </c>
    </row>
    <row r="121" spans="1:14" x14ac:dyDescent="0.15">
      <c r="A121" s="398">
        <f t="shared" si="5"/>
        <v>39815</v>
      </c>
      <c r="B121" s="331">
        <v>5.5448690133525186E-2</v>
      </c>
      <c r="C121" s="331">
        <v>4.193548387096774E-3</v>
      </c>
      <c r="D121" s="331">
        <v>3.8548387096774196E-2</v>
      </c>
      <c r="E121" s="331">
        <v>8.1870967741935474E-2</v>
      </c>
      <c r="F121" s="331">
        <v>0</v>
      </c>
      <c r="H121" s="377"/>
      <c r="I121" s="377"/>
      <c r="J121" s="377"/>
      <c r="L121" s="339">
        <f t="shared" si="6"/>
        <v>0</v>
      </c>
      <c r="M121" s="340">
        <f t="shared" si="7"/>
        <v>0</v>
      </c>
      <c r="N121" s="340">
        <f t="shared" si="8"/>
        <v>0</v>
      </c>
    </row>
    <row r="122" spans="1:14" x14ac:dyDescent="0.15">
      <c r="A122" s="398">
        <f t="shared" si="5"/>
        <v>39816</v>
      </c>
      <c r="B122" s="331">
        <v>5.5448690133525186E-2</v>
      </c>
      <c r="C122" s="331">
        <v>4.193548387096774E-3</v>
      </c>
      <c r="D122" s="331">
        <v>3.8548387096774196E-2</v>
      </c>
      <c r="E122" s="331">
        <v>8.1870967741935474E-2</v>
      </c>
      <c r="F122" s="331">
        <v>0</v>
      </c>
      <c r="H122" s="377"/>
      <c r="I122" s="377"/>
      <c r="J122" s="377"/>
      <c r="L122" s="339">
        <f t="shared" si="6"/>
        <v>0</v>
      </c>
      <c r="M122" s="340">
        <f t="shared" si="7"/>
        <v>0</v>
      </c>
      <c r="N122" s="340">
        <f t="shared" si="8"/>
        <v>0</v>
      </c>
    </row>
    <row r="123" spans="1:14" x14ac:dyDescent="0.15">
      <c r="A123" s="398">
        <f t="shared" si="5"/>
        <v>39817</v>
      </c>
      <c r="B123" s="331">
        <v>5.5448690133525186E-2</v>
      </c>
      <c r="C123" s="331">
        <v>4.193548387096774E-3</v>
      </c>
      <c r="D123" s="331">
        <v>3.8548387096774196E-2</v>
      </c>
      <c r="E123" s="331">
        <v>8.1870967741935474E-2</v>
      </c>
      <c r="F123" s="331">
        <v>0</v>
      </c>
      <c r="H123" s="377"/>
      <c r="I123" s="377"/>
      <c r="J123" s="377"/>
      <c r="L123" s="339">
        <f t="shared" si="6"/>
        <v>0</v>
      </c>
      <c r="M123" s="340">
        <f t="shared" si="7"/>
        <v>0</v>
      </c>
      <c r="N123" s="340">
        <f t="shared" si="8"/>
        <v>0</v>
      </c>
    </row>
    <row r="124" spans="1:14" x14ac:dyDescent="0.15">
      <c r="A124" s="398">
        <f t="shared" ref="A124:A187" si="9">+A123+1</f>
        <v>39818</v>
      </c>
      <c r="B124" s="331">
        <v>5.5448690133525186E-2</v>
      </c>
      <c r="C124" s="331">
        <v>4.193548387096774E-3</v>
      </c>
      <c r="D124" s="331">
        <v>3.8548387096774196E-2</v>
      </c>
      <c r="E124" s="331">
        <v>8.1870967741935474E-2</v>
      </c>
      <c r="F124" s="331">
        <v>0</v>
      </c>
      <c r="H124" s="377"/>
      <c r="I124" s="377"/>
      <c r="J124" s="377"/>
      <c r="L124" s="339">
        <f t="shared" ref="L124:L187" si="10">+H125-H124</f>
        <v>0</v>
      </c>
      <c r="M124" s="340">
        <f t="shared" ref="M124:M187" si="11">+I125-I124</f>
        <v>0</v>
      </c>
      <c r="N124" s="340">
        <f t="shared" ref="N124:N187" si="12">+J125-J124</f>
        <v>0</v>
      </c>
    </row>
    <row r="125" spans="1:14" x14ac:dyDescent="0.15">
      <c r="A125" s="398">
        <f t="shared" si="9"/>
        <v>39819</v>
      </c>
      <c r="B125" s="331">
        <v>5.5448690133525186E-2</v>
      </c>
      <c r="C125" s="331">
        <v>4.193548387096774E-3</v>
      </c>
      <c r="D125" s="331">
        <v>3.8548387096774196E-2</v>
      </c>
      <c r="E125" s="331">
        <v>8.1870967741935474E-2</v>
      </c>
      <c r="F125" s="331">
        <v>0</v>
      </c>
      <c r="H125" s="377"/>
      <c r="I125" s="377"/>
      <c r="J125" s="377"/>
      <c r="L125" s="339">
        <f t="shared" si="10"/>
        <v>0</v>
      </c>
      <c r="M125" s="340">
        <f t="shared" si="11"/>
        <v>0</v>
      </c>
      <c r="N125" s="340">
        <f t="shared" si="12"/>
        <v>0</v>
      </c>
    </row>
    <row r="126" spans="1:14" x14ac:dyDescent="0.15">
      <c r="A126" s="398">
        <f t="shared" si="9"/>
        <v>39820</v>
      </c>
      <c r="B126" s="331">
        <v>5.5448690133525186E-2</v>
      </c>
      <c r="C126" s="331">
        <v>4.193548387096774E-3</v>
      </c>
      <c r="D126" s="331">
        <v>3.8548387096774196E-2</v>
      </c>
      <c r="E126" s="331">
        <v>8.1870967741935474E-2</v>
      </c>
      <c r="F126" s="331">
        <v>0</v>
      </c>
      <c r="H126" s="377"/>
      <c r="I126" s="377"/>
      <c r="J126" s="377"/>
      <c r="L126" s="339">
        <f t="shared" si="10"/>
        <v>0</v>
      </c>
      <c r="M126" s="340">
        <f t="shared" si="11"/>
        <v>0</v>
      </c>
      <c r="N126" s="340">
        <f t="shared" si="12"/>
        <v>0</v>
      </c>
    </row>
    <row r="127" spans="1:14" x14ac:dyDescent="0.15">
      <c r="A127" s="398">
        <f t="shared" si="9"/>
        <v>39821</v>
      </c>
      <c r="B127" s="331">
        <v>5.5448690133525186E-2</v>
      </c>
      <c r="C127" s="331">
        <v>4.193548387096774E-3</v>
      </c>
      <c r="D127" s="331">
        <v>3.8548387096774196E-2</v>
      </c>
      <c r="E127" s="331">
        <v>8.1870967741935474E-2</v>
      </c>
      <c r="F127" s="331">
        <v>0</v>
      </c>
      <c r="H127" s="377"/>
      <c r="I127" s="377"/>
      <c r="J127" s="377"/>
      <c r="L127" s="339">
        <f t="shared" si="10"/>
        <v>0</v>
      </c>
      <c r="M127" s="340">
        <f t="shared" si="11"/>
        <v>0</v>
      </c>
      <c r="N127" s="340">
        <f t="shared" si="12"/>
        <v>0</v>
      </c>
    </row>
    <row r="128" spans="1:14" x14ac:dyDescent="0.15">
      <c r="A128" s="398">
        <f t="shared" si="9"/>
        <v>39822</v>
      </c>
      <c r="B128" s="331">
        <v>5.5448690133525186E-2</v>
      </c>
      <c r="C128" s="331">
        <v>4.193548387096774E-3</v>
      </c>
      <c r="D128" s="331">
        <v>3.8548387096774196E-2</v>
      </c>
      <c r="E128" s="331">
        <v>8.1870967741935474E-2</v>
      </c>
      <c r="F128" s="331">
        <v>0</v>
      </c>
      <c r="H128" s="377"/>
      <c r="I128" s="377"/>
      <c r="J128" s="377"/>
      <c r="L128" s="339">
        <f t="shared" si="10"/>
        <v>0</v>
      </c>
      <c r="M128" s="340">
        <f t="shared" si="11"/>
        <v>0</v>
      </c>
      <c r="N128" s="340">
        <f t="shared" si="12"/>
        <v>0</v>
      </c>
    </row>
    <row r="129" spans="1:14" x14ac:dyDescent="0.15">
      <c r="A129" s="398">
        <f t="shared" si="9"/>
        <v>39823</v>
      </c>
      <c r="B129" s="331">
        <v>5.5448690133525186E-2</v>
      </c>
      <c r="C129" s="331">
        <v>4.193548387096774E-3</v>
      </c>
      <c r="D129" s="331">
        <v>3.8548387096774196E-2</v>
      </c>
      <c r="E129" s="331">
        <v>8.1870967741935474E-2</v>
      </c>
      <c r="F129" s="331">
        <v>0</v>
      </c>
      <c r="H129" s="377"/>
      <c r="I129" s="377"/>
      <c r="J129" s="377"/>
      <c r="L129" s="339">
        <f t="shared" si="10"/>
        <v>0</v>
      </c>
      <c r="M129" s="340">
        <f t="shared" si="11"/>
        <v>0</v>
      </c>
      <c r="N129" s="340">
        <f t="shared" si="12"/>
        <v>0</v>
      </c>
    </row>
    <row r="130" spans="1:14" x14ac:dyDescent="0.15">
      <c r="A130" s="398">
        <f t="shared" si="9"/>
        <v>39824</v>
      </c>
      <c r="B130" s="331">
        <v>5.5448690133525186E-2</v>
      </c>
      <c r="C130" s="331">
        <v>4.193548387096774E-3</v>
      </c>
      <c r="D130" s="331">
        <v>3.8548387096774196E-2</v>
      </c>
      <c r="E130" s="331">
        <v>8.1870967741935474E-2</v>
      </c>
      <c r="F130" s="331">
        <v>0</v>
      </c>
      <c r="H130" s="377"/>
      <c r="I130" s="377"/>
      <c r="J130" s="377"/>
      <c r="L130" s="339">
        <f t="shared" si="10"/>
        <v>0</v>
      </c>
      <c r="M130" s="340">
        <f t="shared" si="11"/>
        <v>0</v>
      </c>
      <c r="N130" s="340">
        <f t="shared" si="12"/>
        <v>0</v>
      </c>
    </row>
    <row r="131" spans="1:14" x14ac:dyDescent="0.15">
      <c r="A131" s="398">
        <f t="shared" si="9"/>
        <v>39825</v>
      </c>
      <c r="B131" s="331">
        <v>5.5448690133525186E-2</v>
      </c>
      <c r="C131" s="331">
        <v>4.193548387096774E-3</v>
      </c>
      <c r="D131" s="331">
        <v>3.8548387096774196E-2</v>
      </c>
      <c r="E131" s="331">
        <v>8.1870967741935474E-2</v>
      </c>
      <c r="F131" s="331">
        <v>0</v>
      </c>
      <c r="H131" s="377"/>
      <c r="I131" s="377"/>
      <c r="J131" s="377"/>
      <c r="L131" s="339">
        <f t="shared" si="10"/>
        <v>0</v>
      </c>
      <c r="M131" s="340">
        <f t="shared" si="11"/>
        <v>0</v>
      </c>
      <c r="N131" s="340">
        <f t="shared" si="12"/>
        <v>0</v>
      </c>
    </row>
    <row r="132" spans="1:14" x14ac:dyDescent="0.15">
      <c r="A132" s="398">
        <f t="shared" si="9"/>
        <v>39826</v>
      </c>
      <c r="B132" s="331">
        <v>5.5448690133525186E-2</v>
      </c>
      <c r="C132" s="331">
        <v>4.193548387096774E-3</v>
      </c>
      <c r="D132" s="331">
        <v>3.8548387096774196E-2</v>
      </c>
      <c r="E132" s="331">
        <v>8.1870967741935474E-2</v>
      </c>
      <c r="F132" s="331">
        <v>0</v>
      </c>
      <c r="H132" s="377"/>
      <c r="I132" s="377"/>
      <c r="J132" s="377"/>
      <c r="L132" s="339">
        <f t="shared" si="10"/>
        <v>0</v>
      </c>
      <c r="M132" s="340">
        <f t="shared" si="11"/>
        <v>0</v>
      </c>
      <c r="N132" s="340">
        <f t="shared" si="12"/>
        <v>0</v>
      </c>
    </row>
    <row r="133" spans="1:14" x14ac:dyDescent="0.15">
      <c r="A133" s="398">
        <f t="shared" si="9"/>
        <v>39827</v>
      </c>
      <c r="B133" s="331">
        <v>5.5448690133525186E-2</v>
      </c>
      <c r="C133" s="331">
        <v>4.193548387096774E-3</v>
      </c>
      <c r="D133" s="331">
        <v>3.8548387096774196E-2</v>
      </c>
      <c r="E133" s="331">
        <v>8.1870967741935474E-2</v>
      </c>
      <c r="F133" s="331">
        <v>0</v>
      </c>
      <c r="H133" s="377"/>
      <c r="I133" s="377"/>
      <c r="J133" s="377"/>
      <c r="L133" s="339">
        <f t="shared" si="10"/>
        <v>0</v>
      </c>
      <c r="M133" s="340">
        <f t="shared" si="11"/>
        <v>0</v>
      </c>
      <c r="N133" s="340">
        <f t="shared" si="12"/>
        <v>0</v>
      </c>
    </row>
    <row r="134" spans="1:14" x14ac:dyDescent="0.15">
      <c r="A134" s="398">
        <f t="shared" si="9"/>
        <v>39828</v>
      </c>
      <c r="B134" s="331">
        <v>5.5448690133525186E-2</v>
      </c>
      <c r="C134" s="331">
        <v>4.193548387096774E-3</v>
      </c>
      <c r="D134" s="331">
        <v>3.8548387096774196E-2</v>
      </c>
      <c r="E134" s="331">
        <v>8.1870967741935474E-2</v>
      </c>
      <c r="F134" s="331">
        <v>0</v>
      </c>
      <c r="H134" s="377"/>
      <c r="I134" s="377"/>
      <c r="J134" s="377"/>
      <c r="L134" s="339">
        <f t="shared" si="10"/>
        <v>0</v>
      </c>
      <c r="M134" s="340">
        <f t="shared" si="11"/>
        <v>0</v>
      </c>
      <c r="N134" s="340">
        <f t="shared" si="12"/>
        <v>0</v>
      </c>
    </row>
    <row r="135" spans="1:14" x14ac:dyDescent="0.15">
      <c r="A135" s="398">
        <f t="shared" si="9"/>
        <v>39829</v>
      </c>
      <c r="B135" s="331">
        <v>5.5448690133525186E-2</v>
      </c>
      <c r="C135" s="331">
        <v>4.193548387096774E-3</v>
      </c>
      <c r="D135" s="331">
        <v>3.8548387096774196E-2</v>
      </c>
      <c r="E135" s="331">
        <v>8.1870967741935474E-2</v>
      </c>
      <c r="F135" s="331">
        <v>0</v>
      </c>
      <c r="H135" s="377"/>
      <c r="I135" s="377"/>
      <c r="J135" s="377"/>
      <c r="L135" s="339">
        <f t="shared" si="10"/>
        <v>0</v>
      </c>
      <c r="M135" s="340">
        <f t="shared" si="11"/>
        <v>0</v>
      </c>
      <c r="N135" s="340">
        <f t="shared" si="12"/>
        <v>0</v>
      </c>
    </row>
    <row r="136" spans="1:14" x14ac:dyDescent="0.15">
      <c r="A136" s="398">
        <f t="shared" si="9"/>
        <v>39830</v>
      </c>
      <c r="B136" s="331">
        <v>5.5448690133525186E-2</v>
      </c>
      <c r="C136" s="331">
        <v>4.193548387096774E-3</v>
      </c>
      <c r="D136" s="331">
        <v>3.8548387096774196E-2</v>
      </c>
      <c r="E136" s="331">
        <v>8.1870967741935474E-2</v>
      </c>
      <c r="F136" s="331">
        <v>0</v>
      </c>
      <c r="H136" s="377"/>
      <c r="I136" s="377"/>
      <c r="J136" s="377"/>
      <c r="L136" s="339">
        <f t="shared" si="10"/>
        <v>0</v>
      </c>
      <c r="M136" s="340">
        <f t="shared" si="11"/>
        <v>0</v>
      </c>
      <c r="N136" s="340">
        <f t="shared" si="12"/>
        <v>0</v>
      </c>
    </row>
    <row r="137" spans="1:14" x14ac:dyDescent="0.15">
      <c r="A137" s="398">
        <f t="shared" si="9"/>
        <v>39831</v>
      </c>
      <c r="B137" s="331">
        <v>5.5448690133525186E-2</v>
      </c>
      <c r="C137" s="331">
        <v>4.193548387096774E-3</v>
      </c>
      <c r="D137" s="331">
        <v>3.8548387096774196E-2</v>
      </c>
      <c r="E137" s="331">
        <v>8.1870967741935474E-2</v>
      </c>
      <c r="F137" s="331">
        <v>0</v>
      </c>
      <c r="H137" s="377"/>
      <c r="I137" s="377"/>
      <c r="J137" s="377"/>
      <c r="L137" s="339">
        <f t="shared" si="10"/>
        <v>0</v>
      </c>
      <c r="M137" s="340">
        <f t="shared" si="11"/>
        <v>0</v>
      </c>
      <c r="N137" s="340">
        <f t="shared" si="12"/>
        <v>0</v>
      </c>
    </row>
    <row r="138" spans="1:14" x14ac:dyDescent="0.15">
      <c r="A138" s="398">
        <f t="shared" si="9"/>
        <v>39832</v>
      </c>
      <c r="B138" s="331">
        <v>5.5448690133525186E-2</v>
      </c>
      <c r="C138" s="331">
        <v>4.193548387096774E-3</v>
      </c>
      <c r="D138" s="331">
        <v>3.8548387096774196E-2</v>
      </c>
      <c r="E138" s="331">
        <v>8.1870967741935474E-2</v>
      </c>
      <c r="F138" s="331">
        <v>0</v>
      </c>
      <c r="H138" s="377"/>
      <c r="I138" s="377"/>
      <c r="J138" s="377"/>
      <c r="L138" s="339">
        <f t="shared" si="10"/>
        <v>0</v>
      </c>
      <c r="M138" s="340">
        <f t="shared" si="11"/>
        <v>0</v>
      </c>
      <c r="N138" s="340">
        <f t="shared" si="12"/>
        <v>0</v>
      </c>
    </row>
    <row r="139" spans="1:14" x14ac:dyDescent="0.15">
      <c r="A139" s="398">
        <f t="shared" si="9"/>
        <v>39833</v>
      </c>
      <c r="B139" s="331">
        <v>5.5448690133525186E-2</v>
      </c>
      <c r="C139" s="331">
        <v>4.193548387096774E-3</v>
      </c>
      <c r="D139" s="331">
        <v>3.8548387096774196E-2</v>
      </c>
      <c r="E139" s="331">
        <v>8.1870967741935474E-2</v>
      </c>
      <c r="F139" s="331">
        <v>0</v>
      </c>
      <c r="H139" s="377"/>
      <c r="I139" s="377"/>
      <c r="J139" s="377"/>
      <c r="L139" s="339">
        <f t="shared" si="10"/>
        <v>0</v>
      </c>
      <c r="M139" s="340">
        <f t="shared" si="11"/>
        <v>0</v>
      </c>
      <c r="N139" s="340">
        <f t="shared" si="12"/>
        <v>0</v>
      </c>
    </row>
    <row r="140" spans="1:14" x14ac:dyDescent="0.15">
      <c r="A140" s="398">
        <f t="shared" si="9"/>
        <v>39834</v>
      </c>
      <c r="B140" s="331">
        <v>5.5448690133525186E-2</v>
      </c>
      <c r="C140" s="331">
        <v>4.193548387096774E-3</v>
      </c>
      <c r="D140" s="331">
        <v>3.8548387096774196E-2</v>
      </c>
      <c r="E140" s="331">
        <v>8.1870967741935474E-2</v>
      </c>
      <c r="F140" s="331">
        <v>0</v>
      </c>
      <c r="H140" s="377"/>
      <c r="I140" s="377"/>
      <c r="J140" s="377"/>
      <c r="L140" s="339">
        <f t="shared" si="10"/>
        <v>0</v>
      </c>
      <c r="M140" s="340">
        <f t="shared" si="11"/>
        <v>0</v>
      </c>
      <c r="N140" s="340">
        <f t="shared" si="12"/>
        <v>0</v>
      </c>
    </row>
    <row r="141" spans="1:14" x14ac:dyDescent="0.15">
      <c r="A141" s="398">
        <f t="shared" si="9"/>
        <v>39835</v>
      </c>
      <c r="B141" s="331">
        <v>5.5448690133525186E-2</v>
      </c>
      <c r="C141" s="331">
        <v>4.193548387096774E-3</v>
      </c>
      <c r="D141" s="331">
        <v>3.8548387096774196E-2</v>
      </c>
      <c r="E141" s="331">
        <v>8.1870967741935474E-2</v>
      </c>
      <c r="F141" s="331">
        <v>0</v>
      </c>
      <c r="H141" s="377"/>
      <c r="I141" s="377"/>
      <c r="J141" s="377"/>
      <c r="L141" s="339">
        <f t="shared" si="10"/>
        <v>0</v>
      </c>
      <c r="M141" s="340">
        <f t="shared" si="11"/>
        <v>0</v>
      </c>
      <c r="N141" s="340">
        <f t="shared" si="12"/>
        <v>0</v>
      </c>
    </row>
    <row r="142" spans="1:14" x14ac:dyDescent="0.15">
      <c r="A142" s="398">
        <f t="shared" si="9"/>
        <v>39836</v>
      </c>
      <c r="B142" s="331">
        <v>5.5448690133525186E-2</v>
      </c>
      <c r="C142" s="331">
        <v>4.193548387096774E-3</v>
      </c>
      <c r="D142" s="331">
        <v>3.8548387096774196E-2</v>
      </c>
      <c r="E142" s="331">
        <v>8.1870967741935474E-2</v>
      </c>
      <c r="F142" s="331">
        <v>0</v>
      </c>
      <c r="H142" s="377"/>
      <c r="I142" s="377"/>
      <c r="J142" s="377"/>
      <c r="L142" s="339">
        <f t="shared" si="10"/>
        <v>0</v>
      </c>
      <c r="M142" s="340">
        <f t="shared" si="11"/>
        <v>0</v>
      </c>
      <c r="N142" s="340">
        <f t="shared" si="12"/>
        <v>0</v>
      </c>
    </row>
    <row r="143" spans="1:14" x14ac:dyDescent="0.15">
      <c r="A143" s="398">
        <f t="shared" si="9"/>
        <v>39837</v>
      </c>
      <c r="B143" s="331">
        <v>5.5448690133525186E-2</v>
      </c>
      <c r="C143" s="331">
        <v>4.193548387096774E-3</v>
      </c>
      <c r="D143" s="331">
        <v>3.8548387096774196E-2</v>
      </c>
      <c r="E143" s="331">
        <v>8.1870967741935474E-2</v>
      </c>
      <c r="F143" s="331">
        <v>0</v>
      </c>
      <c r="H143" s="377"/>
      <c r="I143" s="377"/>
      <c r="J143" s="377"/>
      <c r="L143" s="339">
        <f t="shared" si="10"/>
        <v>0</v>
      </c>
      <c r="M143" s="340">
        <f t="shared" si="11"/>
        <v>0</v>
      </c>
      <c r="N143" s="340">
        <f t="shared" si="12"/>
        <v>0</v>
      </c>
    </row>
    <row r="144" spans="1:14" x14ac:dyDescent="0.15">
      <c r="A144" s="398">
        <f t="shared" si="9"/>
        <v>39838</v>
      </c>
      <c r="B144" s="331">
        <v>5.5448690133525186E-2</v>
      </c>
      <c r="C144" s="331">
        <v>4.193548387096774E-3</v>
      </c>
      <c r="D144" s="331">
        <v>3.8548387096774196E-2</v>
      </c>
      <c r="E144" s="331">
        <v>8.1870967741935474E-2</v>
      </c>
      <c r="F144" s="331">
        <v>0</v>
      </c>
      <c r="H144" s="377"/>
      <c r="I144" s="377"/>
      <c r="J144" s="377"/>
      <c r="L144" s="339">
        <f t="shared" si="10"/>
        <v>0</v>
      </c>
      <c r="M144" s="340">
        <f t="shared" si="11"/>
        <v>0</v>
      </c>
      <c r="N144" s="340">
        <f t="shared" si="12"/>
        <v>0</v>
      </c>
    </row>
    <row r="145" spans="1:14" x14ac:dyDescent="0.15">
      <c r="A145" s="398">
        <f t="shared" si="9"/>
        <v>39839</v>
      </c>
      <c r="B145" s="331">
        <v>5.5448690133525186E-2</v>
      </c>
      <c r="C145" s="331">
        <v>4.193548387096774E-3</v>
      </c>
      <c r="D145" s="331">
        <v>3.8548387096774196E-2</v>
      </c>
      <c r="E145" s="331">
        <v>8.1870967741935474E-2</v>
      </c>
      <c r="F145" s="331">
        <v>0</v>
      </c>
      <c r="H145" s="377"/>
      <c r="I145" s="377"/>
      <c r="J145" s="377"/>
      <c r="L145" s="339">
        <f t="shared" si="10"/>
        <v>0</v>
      </c>
      <c r="M145" s="340">
        <f t="shared" si="11"/>
        <v>0</v>
      </c>
      <c r="N145" s="340">
        <f t="shared" si="12"/>
        <v>0</v>
      </c>
    </row>
    <row r="146" spans="1:14" x14ac:dyDescent="0.15">
      <c r="A146" s="398">
        <f t="shared" si="9"/>
        <v>39840</v>
      </c>
      <c r="B146" s="331">
        <v>5.5448690133525186E-2</v>
      </c>
      <c r="C146" s="331">
        <v>4.193548387096774E-3</v>
      </c>
      <c r="D146" s="331">
        <v>3.8548387096774196E-2</v>
      </c>
      <c r="E146" s="331">
        <v>8.1870967741935474E-2</v>
      </c>
      <c r="F146" s="331">
        <v>0</v>
      </c>
      <c r="H146" s="377"/>
      <c r="I146" s="377"/>
      <c r="J146" s="377"/>
      <c r="L146" s="339">
        <f t="shared" si="10"/>
        <v>0</v>
      </c>
      <c r="M146" s="340">
        <f t="shared" si="11"/>
        <v>0</v>
      </c>
      <c r="N146" s="340">
        <f t="shared" si="12"/>
        <v>0</v>
      </c>
    </row>
    <row r="147" spans="1:14" x14ac:dyDescent="0.15">
      <c r="A147" s="398">
        <f t="shared" si="9"/>
        <v>39841</v>
      </c>
      <c r="B147" s="331">
        <v>5.5448690133525186E-2</v>
      </c>
      <c r="C147" s="331">
        <v>4.193548387096774E-3</v>
      </c>
      <c r="D147" s="331">
        <v>3.8548387096774196E-2</v>
      </c>
      <c r="E147" s="331">
        <v>8.1870967741935474E-2</v>
      </c>
      <c r="F147" s="331">
        <v>0</v>
      </c>
      <c r="H147" s="377"/>
      <c r="I147" s="377"/>
      <c r="J147" s="377"/>
      <c r="L147" s="339">
        <f t="shared" si="10"/>
        <v>0</v>
      </c>
      <c r="M147" s="340">
        <f t="shared" si="11"/>
        <v>0</v>
      </c>
      <c r="N147" s="340">
        <f t="shared" si="12"/>
        <v>0</v>
      </c>
    </row>
    <row r="148" spans="1:14" x14ac:dyDescent="0.15">
      <c r="A148" s="398">
        <f t="shared" si="9"/>
        <v>39842</v>
      </c>
      <c r="B148" s="331">
        <v>5.5448690133525186E-2</v>
      </c>
      <c r="C148" s="331">
        <v>4.193548387096774E-3</v>
      </c>
      <c r="D148" s="331">
        <v>3.8548387096774196E-2</v>
      </c>
      <c r="E148" s="331">
        <v>8.1870967741935474E-2</v>
      </c>
      <c r="F148" s="331">
        <v>0</v>
      </c>
      <c r="H148" s="377"/>
      <c r="I148" s="377"/>
      <c r="J148" s="377"/>
      <c r="L148" s="339">
        <f t="shared" si="10"/>
        <v>0</v>
      </c>
      <c r="M148" s="340">
        <f t="shared" si="11"/>
        <v>0</v>
      </c>
      <c r="N148" s="340">
        <f t="shared" si="12"/>
        <v>0</v>
      </c>
    </row>
    <row r="149" spans="1:14" x14ac:dyDescent="0.15">
      <c r="A149" s="398">
        <f t="shared" si="9"/>
        <v>39843</v>
      </c>
      <c r="B149" s="331">
        <v>5.5448690133525186E-2</v>
      </c>
      <c r="C149" s="331">
        <v>4.193548387096774E-3</v>
      </c>
      <c r="D149" s="331">
        <v>3.8548387096774196E-2</v>
      </c>
      <c r="E149" s="331">
        <v>8.1870967741935474E-2</v>
      </c>
      <c r="F149" s="331">
        <v>0</v>
      </c>
      <c r="H149" s="377"/>
      <c r="I149" s="377"/>
      <c r="J149" s="377"/>
      <c r="L149" s="339">
        <f t="shared" si="10"/>
        <v>0</v>
      </c>
      <c r="M149" s="340">
        <f t="shared" si="11"/>
        <v>0</v>
      </c>
      <c r="N149" s="340">
        <f t="shared" si="12"/>
        <v>0</v>
      </c>
    </row>
    <row r="150" spans="1:14" x14ac:dyDescent="0.15">
      <c r="A150" s="398">
        <f t="shared" si="9"/>
        <v>39844</v>
      </c>
      <c r="B150" s="331">
        <v>5.5448690133525186E-2</v>
      </c>
      <c r="C150" s="331">
        <v>4.193548387096774E-3</v>
      </c>
      <c r="D150" s="331">
        <v>3.8548387096774196E-2</v>
      </c>
      <c r="E150" s="331">
        <v>8.1870967741935474E-2</v>
      </c>
      <c r="F150" s="331">
        <v>0</v>
      </c>
      <c r="H150" s="377"/>
      <c r="I150" s="377"/>
      <c r="J150" s="377"/>
      <c r="L150" s="339">
        <f t="shared" si="10"/>
        <v>0</v>
      </c>
      <c r="M150" s="340">
        <f t="shared" si="11"/>
        <v>0</v>
      </c>
      <c r="N150" s="340">
        <f t="shared" si="12"/>
        <v>0</v>
      </c>
    </row>
    <row r="151" spans="1:14" x14ac:dyDescent="0.15">
      <c r="A151" s="398">
        <f t="shared" si="9"/>
        <v>39845</v>
      </c>
      <c r="B151" s="331">
        <v>5.6852685963059521E-2</v>
      </c>
      <c r="C151" s="331">
        <v>4.642857142857143E-3</v>
      </c>
      <c r="D151" s="331">
        <v>4.446428571428572E-2</v>
      </c>
      <c r="E151" s="331">
        <v>8.7621428571428558E-2</v>
      </c>
      <c r="F151" s="331">
        <v>0</v>
      </c>
      <c r="H151" s="377"/>
      <c r="I151" s="377"/>
      <c r="J151" s="377"/>
      <c r="L151" s="339">
        <f t="shared" si="10"/>
        <v>0</v>
      </c>
      <c r="M151" s="340">
        <f t="shared" si="11"/>
        <v>0</v>
      </c>
      <c r="N151" s="340">
        <f t="shared" si="12"/>
        <v>0</v>
      </c>
    </row>
    <row r="152" spans="1:14" x14ac:dyDescent="0.15">
      <c r="A152" s="398">
        <f t="shared" si="9"/>
        <v>39846</v>
      </c>
      <c r="B152" s="331">
        <v>5.6852685963059521E-2</v>
      </c>
      <c r="C152" s="331">
        <v>4.642857142857143E-3</v>
      </c>
      <c r="D152" s="331">
        <v>4.446428571428572E-2</v>
      </c>
      <c r="E152" s="331">
        <v>8.7621428571428558E-2</v>
      </c>
      <c r="F152" s="331">
        <v>0</v>
      </c>
      <c r="H152" s="377"/>
      <c r="I152" s="377"/>
      <c r="J152" s="377"/>
      <c r="L152" s="339">
        <f t="shared" si="10"/>
        <v>0</v>
      </c>
      <c r="M152" s="340">
        <f t="shared" si="11"/>
        <v>0</v>
      </c>
      <c r="N152" s="340">
        <f t="shared" si="12"/>
        <v>0</v>
      </c>
    </row>
    <row r="153" spans="1:14" x14ac:dyDescent="0.15">
      <c r="A153" s="398">
        <f t="shared" si="9"/>
        <v>39847</v>
      </c>
      <c r="B153" s="331">
        <v>5.6852685963059521E-2</v>
      </c>
      <c r="C153" s="331">
        <v>4.642857142857143E-3</v>
      </c>
      <c r="D153" s="331">
        <v>4.446428571428572E-2</v>
      </c>
      <c r="E153" s="331">
        <v>8.7621428571428558E-2</v>
      </c>
      <c r="F153" s="331">
        <v>0</v>
      </c>
      <c r="H153" s="377"/>
      <c r="I153" s="377"/>
      <c r="J153" s="377"/>
      <c r="L153" s="339">
        <f t="shared" si="10"/>
        <v>0</v>
      </c>
      <c r="M153" s="340">
        <f t="shared" si="11"/>
        <v>0</v>
      </c>
      <c r="N153" s="340">
        <f t="shared" si="12"/>
        <v>0</v>
      </c>
    </row>
    <row r="154" spans="1:14" x14ac:dyDescent="0.15">
      <c r="A154" s="398">
        <f t="shared" si="9"/>
        <v>39848</v>
      </c>
      <c r="B154" s="331">
        <v>5.6852685963059521E-2</v>
      </c>
      <c r="C154" s="331">
        <v>4.642857142857143E-3</v>
      </c>
      <c r="D154" s="331">
        <v>4.446428571428572E-2</v>
      </c>
      <c r="E154" s="331">
        <v>8.7621428571428558E-2</v>
      </c>
      <c r="F154" s="331">
        <v>0</v>
      </c>
      <c r="H154" s="377"/>
      <c r="I154" s="377"/>
      <c r="J154" s="377"/>
      <c r="L154" s="339">
        <f t="shared" si="10"/>
        <v>0</v>
      </c>
      <c r="M154" s="340">
        <f t="shared" si="11"/>
        <v>0</v>
      </c>
      <c r="N154" s="340">
        <f t="shared" si="12"/>
        <v>0</v>
      </c>
    </row>
    <row r="155" spans="1:14" x14ac:dyDescent="0.15">
      <c r="A155" s="398">
        <f t="shared" si="9"/>
        <v>39849</v>
      </c>
      <c r="B155" s="331">
        <v>5.6852685963059521E-2</v>
      </c>
      <c r="C155" s="331">
        <v>4.642857142857143E-3</v>
      </c>
      <c r="D155" s="331">
        <v>4.446428571428572E-2</v>
      </c>
      <c r="E155" s="331">
        <v>8.7621428571428558E-2</v>
      </c>
      <c r="F155" s="331">
        <v>0</v>
      </c>
      <c r="H155" s="377"/>
      <c r="I155" s="377"/>
      <c r="J155" s="377"/>
      <c r="L155" s="339">
        <f t="shared" si="10"/>
        <v>0</v>
      </c>
      <c r="M155" s="340">
        <f t="shared" si="11"/>
        <v>0</v>
      </c>
      <c r="N155" s="340">
        <f t="shared" si="12"/>
        <v>0</v>
      </c>
    </row>
    <row r="156" spans="1:14" x14ac:dyDescent="0.15">
      <c r="A156" s="398">
        <f t="shared" si="9"/>
        <v>39850</v>
      </c>
      <c r="B156" s="331">
        <v>5.6852685963059521E-2</v>
      </c>
      <c r="C156" s="331">
        <v>4.642857142857143E-3</v>
      </c>
      <c r="D156" s="331">
        <v>4.446428571428572E-2</v>
      </c>
      <c r="E156" s="331">
        <v>8.7621428571428558E-2</v>
      </c>
      <c r="F156" s="331">
        <v>0</v>
      </c>
      <c r="H156" s="377"/>
      <c r="I156" s="377"/>
      <c r="J156" s="377"/>
      <c r="L156" s="339">
        <f t="shared" si="10"/>
        <v>0</v>
      </c>
      <c r="M156" s="340">
        <f t="shared" si="11"/>
        <v>0</v>
      </c>
      <c r="N156" s="340">
        <f t="shared" si="12"/>
        <v>0</v>
      </c>
    </row>
    <row r="157" spans="1:14" x14ac:dyDescent="0.15">
      <c r="A157" s="398">
        <f t="shared" si="9"/>
        <v>39851</v>
      </c>
      <c r="B157" s="331">
        <v>5.6852685963059521E-2</v>
      </c>
      <c r="C157" s="331">
        <v>4.642857142857143E-3</v>
      </c>
      <c r="D157" s="331">
        <v>4.446428571428572E-2</v>
      </c>
      <c r="E157" s="331">
        <v>8.7621428571428558E-2</v>
      </c>
      <c r="F157" s="331">
        <v>0</v>
      </c>
      <c r="H157" s="377"/>
      <c r="I157" s="377"/>
      <c r="J157" s="377"/>
      <c r="L157" s="339">
        <f t="shared" si="10"/>
        <v>0</v>
      </c>
      <c r="M157" s="340">
        <f t="shared" si="11"/>
        <v>0</v>
      </c>
      <c r="N157" s="340">
        <f t="shared" si="12"/>
        <v>0</v>
      </c>
    </row>
    <row r="158" spans="1:14" x14ac:dyDescent="0.15">
      <c r="A158" s="398">
        <f t="shared" si="9"/>
        <v>39852</v>
      </c>
      <c r="B158" s="331">
        <v>5.6852685963059521E-2</v>
      </c>
      <c r="C158" s="331">
        <v>4.642857142857143E-3</v>
      </c>
      <c r="D158" s="331">
        <v>4.446428571428572E-2</v>
      </c>
      <c r="E158" s="331">
        <v>8.7621428571428558E-2</v>
      </c>
      <c r="F158" s="331">
        <v>0</v>
      </c>
      <c r="H158" s="377"/>
      <c r="I158" s="377"/>
      <c r="J158" s="377"/>
      <c r="L158" s="339">
        <f t="shared" si="10"/>
        <v>0</v>
      </c>
      <c r="M158" s="340">
        <f t="shared" si="11"/>
        <v>0</v>
      </c>
      <c r="N158" s="340">
        <f t="shared" si="12"/>
        <v>0</v>
      </c>
    </row>
    <row r="159" spans="1:14" x14ac:dyDescent="0.15">
      <c r="A159" s="398">
        <f t="shared" si="9"/>
        <v>39853</v>
      </c>
      <c r="B159" s="331">
        <v>5.6852685963059521E-2</v>
      </c>
      <c r="C159" s="331">
        <v>4.642857142857143E-3</v>
      </c>
      <c r="D159" s="331">
        <v>4.446428571428572E-2</v>
      </c>
      <c r="E159" s="331">
        <v>8.7621428571428558E-2</v>
      </c>
      <c r="F159" s="331">
        <v>0</v>
      </c>
      <c r="H159" s="377"/>
      <c r="I159" s="377"/>
      <c r="J159" s="377"/>
      <c r="L159" s="339">
        <f t="shared" si="10"/>
        <v>0</v>
      </c>
      <c r="M159" s="340">
        <f t="shared" si="11"/>
        <v>0</v>
      </c>
      <c r="N159" s="340">
        <f t="shared" si="12"/>
        <v>0</v>
      </c>
    </row>
    <row r="160" spans="1:14" x14ac:dyDescent="0.15">
      <c r="A160" s="398">
        <f t="shared" si="9"/>
        <v>39854</v>
      </c>
      <c r="B160" s="331">
        <v>5.6852685963059521E-2</v>
      </c>
      <c r="C160" s="331">
        <v>4.642857142857143E-3</v>
      </c>
      <c r="D160" s="331">
        <v>4.446428571428572E-2</v>
      </c>
      <c r="E160" s="331">
        <v>8.7621428571428558E-2</v>
      </c>
      <c r="F160" s="331">
        <v>0</v>
      </c>
      <c r="H160" s="377"/>
      <c r="I160" s="377"/>
      <c r="J160" s="377"/>
      <c r="L160" s="339">
        <f t="shared" si="10"/>
        <v>0</v>
      </c>
      <c r="M160" s="340">
        <f t="shared" si="11"/>
        <v>0</v>
      </c>
      <c r="N160" s="340">
        <f t="shared" si="12"/>
        <v>0</v>
      </c>
    </row>
    <row r="161" spans="1:14" x14ac:dyDescent="0.15">
      <c r="A161" s="398">
        <f t="shared" si="9"/>
        <v>39855</v>
      </c>
      <c r="B161" s="331">
        <v>5.6852685963059521E-2</v>
      </c>
      <c r="C161" s="331">
        <v>4.642857142857143E-3</v>
      </c>
      <c r="D161" s="331">
        <v>4.446428571428572E-2</v>
      </c>
      <c r="E161" s="331">
        <v>8.7621428571428558E-2</v>
      </c>
      <c r="F161" s="331">
        <v>0</v>
      </c>
      <c r="H161" s="377"/>
      <c r="I161" s="377"/>
      <c r="J161" s="377"/>
      <c r="L161" s="339">
        <f t="shared" si="10"/>
        <v>0</v>
      </c>
      <c r="M161" s="340">
        <f t="shared" si="11"/>
        <v>0</v>
      </c>
      <c r="N161" s="340">
        <f t="shared" si="12"/>
        <v>0</v>
      </c>
    </row>
    <row r="162" spans="1:14" x14ac:dyDescent="0.15">
      <c r="A162" s="398">
        <f t="shared" si="9"/>
        <v>39856</v>
      </c>
      <c r="B162" s="331">
        <v>5.6852685963059521E-2</v>
      </c>
      <c r="C162" s="331">
        <v>4.642857142857143E-3</v>
      </c>
      <c r="D162" s="331">
        <v>4.446428571428572E-2</v>
      </c>
      <c r="E162" s="331">
        <v>8.7621428571428558E-2</v>
      </c>
      <c r="F162" s="331">
        <v>0</v>
      </c>
      <c r="H162" s="377"/>
      <c r="I162" s="377"/>
      <c r="J162" s="377"/>
      <c r="L162" s="339">
        <f t="shared" si="10"/>
        <v>0</v>
      </c>
      <c r="M162" s="340">
        <f t="shared" si="11"/>
        <v>0</v>
      </c>
      <c r="N162" s="340">
        <f t="shared" si="12"/>
        <v>0</v>
      </c>
    </row>
    <row r="163" spans="1:14" x14ac:dyDescent="0.15">
      <c r="A163" s="398">
        <f t="shared" si="9"/>
        <v>39857</v>
      </c>
      <c r="B163" s="331">
        <v>5.6852685963059521E-2</v>
      </c>
      <c r="C163" s="331">
        <v>4.642857142857143E-3</v>
      </c>
      <c r="D163" s="331">
        <v>4.446428571428572E-2</v>
      </c>
      <c r="E163" s="331">
        <v>8.7621428571428558E-2</v>
      </c>
      <c r="F163" s="331">
        <v>0</v>
      </c>
      <c r="H163" s="377"/>
      <c r="I163" s="377"/>
      <c r="J163" s="377"/>
      <c r="L163" s="339">
        <f t="shared" si="10"/>
        <v>0</v>
      </c>
      <c r="M163" s="340">
        <f t="shared" si="11"/>
        <v>0</v>
      </c>
      <c r="N163" s="340">
        <f t="shared" si="12"/>
        <v>0</v>
      </c>
    </row>
    <row r="164" spans="1:14" x14ac:dyDescent="0.15">
      <c r="A164" s="398">
        <f t="shared" si="9"/>
        <v>39858</v>
      </c>
      <c r="B164" s="331">
        <v>5.6852685963059521E-2</v>
      </c>
      <c r="C164" s="331">
        <v>4.642857142857143E-3</v>
      </c>
      <c r="D164" s="331">
        <v>4.446428571428572E-2</v>
      </c>
      <c r="E164" s="331">
        <v>8.7621428571428558E-2</v>
      </c>
      <c r="F164" s="331">
        <v>0</v>
      </c>
      <c r="H164" s="377"/>
      <c r="I164" s="377"/>
      <c r="J164" s="377"/>
      <c r="L164" s="339">
        <f t="shared" si="10"/>
        <v>0</v>
      </c>
      <c r="M164" s="340">
        <f t="shared" si="11"/>
        <v>0</v>
      </c>
      <c r="N164" s="340">
        <f t="shared" si="12"/>
        <v>0</v>
      </c>
    </row>
    <row r="165" spans="1:14" x14ac:dyDescent="0.15">
      <c r="A165" s="398">
        <f t="shared" si="9"/>
        <v>39859</v>
      </c>
      <c r="B165" s="331">
        <v>5.6852685963059521E-2</v>
      </c>
      <c r="C165" s="331">
        <v>4.642857142857143E-3</v>
      </c>
      <c r="D165" s="331">
        <v>4.446428571428572E-2</v>
      </c>
      <c r="E165" s="331">
        <v>8.7621428571428558E-2</v>
      </c>
      <c r="F165" s="331">
        <v>0</v>
      </c>
      <c r="H165" s="377"/>
      <c r="I165" s="377"/>
      <c r="J165" s="377"/>
      <c r="L165" s="339">
        <f t="shared" si="10"/>
        <v>0</v>
      </c>
      <c r="M165" s="340">
        <f t="shared" si="11"/>
        <v>0</v>
      </c>
      <c r="N165" s="340">
        <f t="shared" si="12"/>
        <v>0</v>
      </c>
    </row>
    <row r="166" spans="1:14" x14ac:dyDescent="0.15">
      <c r="A166" s="398">
        <f t="shared" si="9"/>
        <v>39860</v>
      </c>
      <c r="B166" s="331">
        <v>5.6852685963059521E-2</v>
      </c>
      <c r="C166" s="331">
        <v>4.642857142857143E-3</v>
      </c>
      <c r="D166" s="331">
        <v>4.446428571428572E-2</v>
      </c>
      <c r="E166" s="331">
        <v>8.7621428571428558E-2</v>
      </c>
      <c r="F166" s="331">
        <v>0</v>
      </c>
      <c r="G166" s="397"/>
      <c r="H166" s="377"/>
      <c r="I166" s="377"/>
      <c r="J166" s="377"/>
      <c r="L166" s="339">
        <f t="shared" si="10"/>
        <v>0</v>
      </c>
      <c r="M166" s="340">
        <f t="shared" si="11"/>
        <v>0</v>
      </c>
      <c r="N166" s="340">
        <f t="shared" si="12"/>
        <v>0</v>
      </c>
    </row>
    <row r="167" spans="1:14" x14ac:dyDescent="0.15">
      <c r="A167" s="398">
        <f t="shared" si="9"/>
        <v>39861</v>
      </c>
      <c r="B167" s="331">
        <v>5.6852685963059521E-2</v>
      </c>
      <c r="C167" s="331">
        <v>4.642857142857143E-3</v>
      </c>
      <c r="D167" s="331">
        <v>4.446428571428572E-2</v>
      </c>
      <c r="E167" s="331">
        <v>8.7621428571428558E-2</v>
      </c>
      <c r="F167" s="331">
        <v>0</v>
      </c>
      <c r="H167" s="377"/>
      <c r="I167" s="377"/>
      <c r="J167" s="377"/>
      <c r="L167" s="339">
        <f t="shared" si="10"/>
        <v>0</v>
      </c>
      <c r="M167" s="340">
        <f t="shared" si="11"/>
        <v>0</v>
      </c>
      <c r="N167" s="340">
        <f t="shared" si="12"/>
        <v>0</v>
      </c>
    </row>
    <row r="168" spans="1:14" x14ac:dyDescent="0.15">
      <c r="A168" s="398">
        <f t="shared" si="9"/>
        <v>39862</v>
      </c>
      <c r="B168" s="331">
        <v>5.6852685963059521E-2</v>
      </c>
      <c r="C168" s="331">
        <v>4.642857142857143E-3</v>
      </c>
      <c r="D168" s="331">
        <v>4.446428571428572E-2</v>
      </c>
      <c r="E168" s="331">
        <v>8.7621428571428558E-2</v>
      </c>
      <c r="F168" s="331">
        <v>0</v>
      </c>
      <c r="H168" s="377"/>
      <c r="I168" s="377"/>
      <c r="J168" s="377"/>
      <c r="L168" s="339">
        <f t="shared" si="10"/>
        <v>0</v>
      </c>
      <c r="M168" s="340">
        <f t="shared" si="11"/>
        <v>0</v>
      </c>
      <c r="N168" s="340">
        <f t="shared" si="12"/>
        <v>0</v>
      </c>
    </row>
    <row r="169" spans="1:14" x14ac:dyDescent="0.15">
      <c r="A169" s="398">
        <f t="shared" si="9"/>
        <v>39863</v>
      </c>
      <c r="B169" s="331">
        <v>5.6852685963059521E-2</v>
      </c>
      <c r="C169" s="331">
        <v>4.642857142857143E-3</v>
      </c>
      <c r="D169" s="331">
        <v>4.446428571428572E-2</v>
      </c>
      <c r="E169" s="331">
        <v>8.7621428571428558E-2</v>
      </c>
      <c r="F169" s="331">
        <v>0</v>
      </c>
      <c r="H169" s="377"/>
      <c r="I169" s="377"/>
      <c r="J169" s="377"/>
      <c r="L169" s="339">
        <f t="shared" si="10"/>
        <v>0</v>
      </c>
      <c r="M169" s="340">
        <f t="shared" si="11"/>
        <v>0</v>
      </c>
      <c r="N169" s="340">
        <f t="shared" si="12"/>
        <v>0</v>
      </c>
    </row>
    <row r="170" spans="1:14" x14ac:dyDescent="0.15">
      <c r="A170" s="398">
        <f t="shared" si="9"/>
        <v>39864</v>
      </c>
      <c r="B170" s="331">
        <v>5.6852685963059521E-2</v>
      </c>
      <c r="C170" s="331">
        <v>4.642857142857143E-3</v>
      </c>
      <c r="D170" s="331">
        <v>4.446428571428572E-2</v>
      </c>
      <c r="E170" s="331">
        <v>8.7621428571428558E-2</v>
      </c>
      <c r="F170" s="331">
        <v>0</v>
      </c>
      <c r="H170" s="377"/>
      <c r="I170" s="377"/>
      <c r="J170" s="377"/>
      <c r="L170" s="339">
        <f t="shared" si="10"/>
        <v>0</v>
      </c>
      <c r="M170" s="340">
        <f t="shared" si="11"/>
        <v>0</v>
      </c>
      <c r="N170" s="340">
        <f t="shared" si="12"/>
        <v>0</v>
      </c>
    </row>
    <row r="171" spans="1:14" x14ac:dyDescent="0.15">
      <c r="A171" s="398">
        <f t="shared" si="9"/>
        <v>39865</v>
      </c>
      <c r="B171" s="331">
        <v>5.6852685963059521E-2</v>
      </c>
      <c r="C171" s="331">
        <v>4.642857142857143E-3</v>
      </c>
      <c r="D171" s="331">
        <v>4.446428571428572E-2</v>
      </c>
      <c r="E171" s="331">
        <v>8.7621428571428558E-2</v>
      </c>
      <c r="F171" s="331">
        <v>0</v>
      </c>
      <c r="H171" s="377"/>
      <c r="I171" s="377"/>
      <c r="J171" s="377"/>
      <c r="L171" s="339">
        <f t="shared" si="10"/>
        <v>0</v>
      </c>
      <c r="M171" s="340">
        <f t="shared" si="11"/>
        <v>0</v>
      </c>
      <c r="N171" s="340">
        <f t="shared" si="12"/>
        <v>0</v>
      </c>
    </row>
    <row r="172" spans="1:14" x14ac:dyDescent="0.15">
      <c r="A172" s="398">
        <f t="shared" si="9"/>
        <v>39866</v>
      </c>
      <c r="B172" s="331">
        <v>5.6852685963059521E-2</v>
      </c>
      <c r="C172" s="331">
        <v>4.642857142857143E-3</v>
      </c>
      <c r="D172" s="331">
        <v>4.446428571428572E-2</v>
      </c>
      <c r="E172" s="331">
        <v>8.7621428571428558E-2</v>
      </c>
      <c r="F172" s="331">
        <v>0</v>
      </c>
      <c r="H172" s="377"/>
      <c r="I172" s="377"/>
      <c r="J172" s="377"/>
      <c r="L172" s="339">
        <f t="shared" si="10"/>
        <v>0</v>
      </c>
      <c r="M172" s="340">
        <f t="shared" si="11"/>
        <v>0</v>
      </c>
      <c r="N172" s="340">
        <f t="shared" si="12"/>
        <v>0</v>
      </c>
    </row>
    <row r="173" spans="1:14" x14ac:dyDescent="0.15">
      <c r="A173" s="398">
        <f t="shared" si="9"/>
        <v>39867</v>
      </c>
      <c r="B173" s="331">
        <v>5.6852685963059521E-2</v>
      </c>
      <c r="C173" s="331">
        <v>4.642857142857143E-3</v>
      </c>
      <c r="D173" s="331">
        <v>4.446428571428572E-2</v>
      </c>
      <c r="E173" s="331">
        <v>8.7621428571428558E-2</v>
      </c>
      <c r="F173" s="331">
        <v>0</v>
      </c>
      <c r="H173" s="377"/>
      <c r="I173" s="377"/>
      <c r="J173" s="377"/>
      <c r="L173" s="339">
        <f t="shared" si="10"/>
        <v>0</v>
      </c>
      <c r="M173" s="340">
        <f t="shared" si="11"/>
        <v>0</v>
      </c>
      <c r="N173" s="340">
        <f t="shared" si="12"/>
        <v>0</v>
      </c>
    </row>
    <row r="174" spans="1:14" x14ac:dyDescent="0.15">
      <c r="A174" s="398">
        <f t="shared" si="9"/>
        <v>39868</v>
      </c>
      <c r="B174" s="331">
        <v>5.6852685963059521E-2</v>
      </c>
      <c r="C174" s="331">
        <v>4.642857142857143E-3</v>
      </c>
      <c r="D174" s="331">
        <v>4.446428571428572E-2</v>
      </c>
      <c r="E174" s="331">
        <v>8.7621428571428558E-2</v>
      </c>
      <c r="F174" s="331">
        <v>0</v>
      </c>
      <c r="H174" s="377"/>
      <c r="I174" s="377"/>
      <c r="J174" s="377"/>
      <c r="L174" s="339">
        <f t="shared" si="10"/>
        <v>0</v>
      </c>
      <c r="M174" s="340">
        <f t="shared" si="11"/>
        <v>0</v>
      </c>
      <c r="N174" s="340">
        <f t="shared" si="12"/>
        <v>0</v>
      </c>
    </row>
    <row r="175" spans="1:14" x14ac:dyDescent="0.15">
      <c r="A175" s="398">
        <f t="shared" si="9"/>
        <v>39869</v>
      </c>
      <c r="B175" s="331">
        <v>5.6852685963059521E-2</v>
      </c>
      <c r="C175" s="331">
        <v>4.642857142857143E-3</v>
      </c>
      <c r="D175" s="331">
        <v>4.446428571428572E-2</v>
      </c>
      <c r="E175" s="331">
        <v>8.7621428571428558E-2</v>
      </c>
      <c r="F175" s="331">
        <v>0</v>
      </c>
      <c r="H175" s="377"/>
      <c r="I175" s="377"/>
      <c r="J175" s="377"/>
      <c r="L175" s="339">
        <f t="shared" si="10"/>
        <v>0</v>
      </c>
      <c r="M175" s="340">
        <f t="shared" si="11"/>
        <v>0</v>
      </c>
      <c r="N175" s="340">
        <f t="shared" si="12"/>
        <v>0</v>
      </c>
    </row>
    <row r="176" spans="1:14" x14ac:dyDescent="0.15">
      <c r="A176" s="398">
        <f t="shared" si="9"/>
        <v>39870</v>
      </c>
      <c r="B176" s="331">
        <v>5.6852685963059521E-2</v>
      </c>
      <c r="C176" s="331">
        <v>4.642857142857143E-3</v>
      </c>
      <c r="D176" s="331">
        <v>4.446428571428572E-2</v>
      </c>
      <c r="E176" s="331">
        <v>8.7621428571428558E-2</v>
      </c>
      <c r="F176" s="331">
        <v>0</v>
      </c>
      <c r="H176" s="377"/>
      <c r="I176" s="377"/>
      <c r="J176" s="377"/>
      <c r="L176" s="339">
        <f t="shared" si="10"/>
        <v>0</v>
      </c>
      <c r="M176" s="340">
        <f t="shared" si="11"/>
        <v>0</v>
      </c>
      <c r="N176" s="340">
        <f t="shared" si="12"/>
        <v>0</v>
      </c>
    </row>
    <row r="177" spans="1:14" x14ac:dyDescent="0.15">
      <c r="A177" s="398">
        <f t="shared" si="9"/>
        <v>39871</v>
      </c>
      <c r="B177" s="331">
        <v>5.6852685963059521E-2</v>
      </c>
      <c r="C177" s="331">
        <v>4.642857142857143E-3</v>
      </c>
      <c r="D177" s="331">
        <v>4.446428571428572E-2</v>
      </c>
      <c r="E177" s="331">
        <v>8.7621428571428558E-2</v>
      </c>
      <c r="F177" s="331">
        <v>0</v>
      </c>
      <c r="H177" s="377"/>
      <c r="I177" s="377"/>
      <c r="J177" s="377"/>
      <c r="L177" s="339">
        <f t="shared" si="10"/>
        <v>0</v>
      </c>
      <c r="M177" s="340">
        <f t="shared" si="11"/>
        <v>0</v>
      </c>
      <c r="N177" s="340">
        <f t="shared" si="12"/>
        <v>0</v>
      </c>
    </row>
    <row r="178" spans="1:14" x14ac:dyDescent="0.15">
      <c r="A178" s="398">
        <f t="shared" si="9"/>
        <v>39872</v>
      </c>
      <c r="B178" s="331">
        <v>5.6852685963059521E-2</v>
      </c>
      <c r="C178" s="331">
        <v>4.642857142857143E-3</v>
      </c>
      <c r="D178" s="331">
        <v>4.446428571428572E-2</v>
      </c>
      <c r="E178" s="331">
        <v>8.7621428571428558E-2</v>
      </c>
      <c r="F178" s="331">
        <v>0</v>
      </c>
      <c r="H178" s="377"/>
      <c r="I178" s="377"/>
      <c r="J178" s="377"/>
      <c r="L178" s="339">
        <f t="shared" si="10"/>
        <v>0</v>
      </c>
      <c r="M178" s="340">
        <f t="shared" si="11"/>
        <v>0</v>
      </c>
      <c r="N178" s="340">
        <f t="shared" si="12"/>
        <v>0</v>
      </c>
    </row>
    <row r="179" spans="1:14" x14ac:dyDescent="0.15">
      <c r="A179" s="398">
        <f t="shared" si="9"/>
        <v>39873</v>
      </c>
      <c r="B179" s="331">
        <v>5.6470450873558335E-2</v>
      </c>
      <c r="C179" s="331">
        <v>4.193548387096774E-3</v>
      </c>
      <c r="D179" s="331">
        <v>4.0161290322580652E-2</v>
      </c>
      <c r="E179" s="331">
        <v>8.4599999999999995E-2</v>
      </c>
      <c r="F179" s="331">
        <v>0</v>
      </c>
      <c r="H179" s="377"/>
      <c r="I179" s="377"/>
      <c r="J179" s="377"/>
      <c r="L179" s="339">
        <f t="shared" si="10"/>
        <v>0</v>
      </c>
      <c r="M179" s="340">
        <f t="shared" si="11"/>
        <v>0</v>
      </c>
      <c r="N179" s="340">
        <f t="shared" si="12"/>
        <v>0</v>
      </c>
    </row>
    <row r="180" spans="1:14" x14ac:dyDescent="0.15">
      <c r="A180" s="398">
        <f t="shared" si="9"/>
        <v>39874</v>
      </c>
      <c r="B180" s="331">
        <v>5.6470450873558335E-2</v>
      </c>
      <c r="C180" s="331">
        <v>4.193548387096774E-3</v>
      </c>
      <c r="D180" s="331">
        <v>4.0161290322580652E-2</v>
      </c>
      <c r="E180" s="331">
        <v>8.4599999999999995E-2</v>
      </c>
      <c r="F180" s="331">
        <v>0</v>
      </c>
      <c r="H180" s="377"/>
      <c r="I180" s="377"/>
      <c r="J180" s="377"/>
      <c r="L180" s="339">
        <f t="shared" si="10"/>
        <v>0</v>
      </c>
      <c r="M180" s="340">
        <f t="shared" si="11"/>
        <v>0</v>
      </c>
      <c r="N180" s="340">
        <f t="shared" si="12"/>
        <v>0</v>
      </c>
    </row>
    <row r="181" spans="1:14" x14ac:dyDescent="0.15">
      <c r="A181" s="398">
        <f t="shared" si="9"/>
        <v>39875</v>
      </c>
      <c r="B181" s="331">
        <v>5.6470450873558335E-2</v>
      </c>
      <c r="C181" s="331">
        <v>4.193548387096774E-3</v>
      </c>
      <c r="D181" s="331">
        <v>4.0161290322580652E-2</v>
      </c>
      <c r="E181" s="331">
        <v>8.4599999999999995E-2</v>
      </c>
      <c r="F181" s="331">
        <v>0</v>
      </c>
      <c r="H181" s="377"/>
      <c r="I181" s="377"/>
      <c r="J181" s="377"/>
      <c r="L181" s="339">
        <f t="shared" si="10"/>
        <v>0</v>
      </c>
      <c r="M181" s="340">
        <f t="shared" si="11"/>
        <v>0</v>
      </c>
      <c r="N181" s="340">
        <f t="shared" si="12"/>
        <v>0</v>
      </c>
    </row>
    <row r="182" spans="1:14" x14ac:dyDescent="0.15">
      <c r="A182" s="398">
        <f t="shared" si="9"/>
        <v>39876</v>
      </c>
      <c r="B182" s="331">
        <v>5.6470450873558335E-2</v>
      </c>
      <c r="C182" s="331">
        <v>4.193548387096774E-3</v>
      </c>
      <c r="D182" s="331">
        <v>4.0161290322580652E-2</v>
      </c>
      <c r="E182" s="331">
        <v>8.4599999999999995E-2</v>
      </c>
      <c r="F182" s="331">
        <v>0</v>
      </c>
      <c r="H182" s="377"/>
      <c r="I182" s="377"/>
      <c r="J182" s="377"/>
      <c r="L182" s="339">
        <f t="shared" si="10"/>
        <v>0</v>
      </c>
      <c r="M182" s="340">
        <f t="shared" si="11"/>
        <v>0</v>
      </c>
      <c r="N182" s="340">
        <f t="shared" si="12"/>
        <v>0</v>
      </c>
    </row>
    <row r="183" spans="1:14" x14ac:dyDescent="0.15">
      <c r="A183" s="398">
        <f t="shared" si="9"/>
        <v>39877</v>
      </c>
      <c r="B183" s="331">
        <v>5.6470450873558335E-2</v>
      </c>
      <c r="C183" s="331">
        <v>4.193548387096774E-3</v>
      </c>
      <c r="D183" s="331">
        <v>4.0161290322580652E-2</v>
      </c>
      <c r="E183" s="331">
        <v>8.4599999999999995E-2</v>
      </c>
      <c r="F183" s="331">
        <v>0</v>
      </c>
      <c r="H183" s="377"/>
      <c r="I183" s="377"/>
      <c r="J183" s="377"/>
      <c r="L183" s="339">
        <f t="shared" si="10"/>
        <v>0</v>
      </c>
      <c r="M183" s="340">
        <f t="shared" si="11"/>
        <v>0</v>
      </c>
      <c r="N183" s="340">
        <f t="shared" si="12"/>
        <v>0</v>
      </c>
    </row>
    <row r="184" spans="1:14" x14ac:dyDescent="0.15">
      <c r="A184" s="398">
        <f t="shared" si="9"/>
        <v>39878</v>
      </c>
      <c r="B184" s="331">
        <v>5.6470450873558335E-2</v>
      </c>
      <c r="C184" s="331">
        <v>4.193548387096774E-3</v>
      </c>
      <c r="D184" s="331">
        <v>4.0161290322580652E-2</v>
      </c>
      <c r="E184" s="331">
        <v>8.4599999999999995E-2</v>
      </c>
      <c r="F184" s="331">
        <v>0</v>
      </c>
      <c r="H184" s="377"/>
      <c r="I184" s="377"/>
      <c r="J184" s="377"/>
      <c r="L184" s="339">
        <f t="shared" si="10"/>
        <v>0</v>
      </c>
      <c r="M184" s="340">
        <f t="shared" si="11"/>
        <v>0</v>
      </c>
      <c r="N184" s="340">
        <f t="shared" si="12"/>
        <v>0</v>
      </c>
    </row>
    <row r="185" spans="1:14" x14ac:dyDescent="0.15">
      <c r="A185" s="398">
        <f t="shared" si="9"/>
        <v>39879</v>
      </c>
      <c r="B185" s="331">
        <v>5.6470450873558335E-2</v>
      </c>
      <c r="C185" s="331">
        <v>4.193548387096774E-3</v>
      </c>
      <c r="D185" s="331">
        <v>4.0161290322580652E-2</v>
      </c>
      <c r="E185" s="331">
        <v>8.4599999999999995E-2</v>
      </c>
      <c r="F185" s="331">
        <v>0</v>
      </c>
      <c r="H185" s="377"/>
      <c r="I185" s="377"/>
      <c r="J185" s="377"/>
      <c r="L185" s="339">
        <f t="shared" si="10"/>
        <v>0</v>
      </c>
      <c r="M185" s="340">
        <f t="shared" si="11"/>
        <v>0</v>
      </c>
      <c r="N185" s="340">
        <f t="shared" si="12"/>
        <v>0</v>
      </c>
    </row>
    <row r="186" spans="1:14" x14ac:dyDescent="0.15">
      <c r="A186" s="398">
        <f t="shared" si="9"/>
        <v>39880</v>
      </c>
      <c r="B186" s="331">
        <v>5.6470450873558335E-2</v>
      </c>
      <c r="C186" s="331">
        <v>4.193548387096774E-3</v>
      </c>
      <c r="D186" s="331">
        <v>4.0161290322580652E-2</v>
      </c>
      <c r="E186" s="331">
        <v>8.4599999999999995E-2</v>
      </c>
      <c r="F186" s="331">
        <v>0</v>
      </c>
      <c r="H186" s="377"/>
      <c r="I186" s="377"/>
      <c r="J186" s="377"/>
      <c r="L186" s="339">
        <f t="shared" si="10"/>
        <v>0</v>
      </c>
      <c r="M186" s="340">
        <f t="shared" si="11"/>
        <v>0</v>
      </c>
      <c r="N186" s="340">
        <f t="shared" si="12"/>
        <v>0</v>
      </c>
    </row>
    <row r="187" spans="1:14" x14ac:dyDescent="0.15">
      <c r="A187" s="398">
        <f t="shared" si="9"/>
        <v>39881</v>
      </c>
      <c r="B187" s="331">
        <v>5.6470450873558335E-2</v>
      </c>
      <c r="C187" s="331">
        <v>4.193548387096774E-3</v>
      </c>
      <c r="D187" s="331">
        <v>4.0161290322580652E-2</v>
      </c>
      <c r="E187" s="331">
        <v>8.4599999999999995E-2</v>
      </c>
      <c r="F187" s="331">
        <v>0</v>
      </c>
      <c r="H187" s="377"/>
      <c r="I187" s="377"/>
      <c r="J187" s="377"/>
      <c r="L187" s="339">
        <f t="shared" si="10"/>
        <v>0</v>
      </c>
      <c r="M187" s="340">
        <f t="shared" si="11"/>
        <v>0</v>
      </c>
      <c r="N187" s="340">
        <f t="shared" si="12"/>
        <v>0</v>
      </c>
    </row>
    <row r="188" spans="1:14" x14ac:dyDescent="0.15">
      <c r="A188" s="398">
        <f t="shared" ref="A188:A251" si="13">+A187+1</f>
        <v>39882</v>
      </c>
      <c r="B188" s="331">
        <v>5.6470450873558335E-2</v>
      </c>
      <c r="C188" s="331">
        <v>4.193548387096774E-3</v>
      </c>
      <c r="D188" s="331">
        <v>4.0161290322580652E-2</v>
      </c>
      <c r="E188" s="331">
        <v>8.4599999999999995E-2</v>
      </c>
      <c r="F188" s="331">
        <v>0</v>
      </c>
      <c r="H188" s="377"/>
      <c r="I188" s="377"/>
      <c r="J188" s="377"/>
      <c r="L188" s="339">
        <f t="shared" ref="L188:L251" si="14">+H189-H188</f>
        <v>0</v>
      </c>
      <c r="M188" s="340">
        <f t="shared" ref="M188:M251" si="15">+I189-I188</f>
        <v>0</v>
      </c>
      <c r="N188" s="340">
        <f t="shared" ref="N188:N251" si="16">+J189-J188</f>
        <v>0</v>
      </c>
    </row>
    <row r="189" spans="1:14" x14ac:dyDescent="0.15">
      <c r="A189" s="398">
        <f t="shared" si="13"/>
        <v>39883</v>
      </c>
      <c r="B189" s="331">
        <v>5.6470450873558335E-2</v>
      </c>
      <c r="C189" s="331">
        <v>4.193548387096774E-3</v>
      </c>
      <c r="D189" s="331">
        <v>4.0161290322580652E-2</v>
      </c>
      <c r="E189" s="331">
        <v>8.4599999999999995E-2</v>
      </c>
      <c r="F189" s="331">
        <v>0</v>
      </c>
      <c r="H189" s="377"/>
      <c r="I189" s="377"/>
      <c r="J189" s="377"/>
      <c r="L189" s="339">
        <f t="shared" si="14"/>
        <v>0</v>
      </c>
      <c r="M189" s="340">
        <f t="shared" si="15"/>
        <v>0</v>
      </c>
      <c r="N189" s="340">
        <f t="shared" si="16"/>
        <v>0</v>
      </c>
    </row>
    <row r="190" spans="1:14" x14ac:dyDescent="0.15">
      <c r="A190" s="398">
        <f t="shared" si="13"/>
        <v>39884</v>
      </c>
      <c r="B190" s="331">
        <v>5.6470450873558335E-2</v>
      </c>
      <c r="C190" s="331">
        <v>4.193548387096774E-3</v>
      </c>
      <c r="D190" s="331">
        <v>4.0161290322580652E-2</v>
      </c>
      <c r="E190" s="331">
        <v>8.4599999999999995E-2</v>
      </c>
      <c r="F190" s="331">
        <v>0</v>
      </c>
      <c r="H190" s="377"/>
      <c r="I190" s="377"/>
      <c r="J190" s="377"/>
      <c r="L190" s="339">
        <f t="shared" si="14"/>
        <v>0</v>
      </c>
      <c r="M190" s="340">
        <f t="shared" si="15"/>
        <v>0</v>
      </c>
      <c r="N190" s="340">
        <f t="shared" si="16"/>
        <v>0</v>
      </c>
    </row>
    <row r="191" spans="1:14" x14ac:dyDescent="0.15">
      <c r="A191" s="398">
        <f t="shared" si="13"/>
        <v>39885</v>
      </c>
      <c r="B191" s="331">
        <v>5.6470450873558335E-2</v>
      </c>
      <c r="C191" s="331">
        <v>4.193548387096774E-3</v>
      </c>
      <c r="D191" s="331">
        <v>4.0161290322580652E-2</v>
      </c>
      <c r="E191" s="331">
        <v>8.4599999999999995E-2</v>
      </c>
      <c r="F191" s="331">
        <v>0</v>
      </c>
      <c r="H191" s="377"/>
      <c r="I191" s="377"/>
      <c r="J191" s="377"/>
      <c r="L191" s="339">
        <f t="shared" si="14"/>
        <v>0</v>
      </c>
      <c r="M191" s="340">
        <f t="shared" si="15"/>
        <v>0</v>
      </c>
      <c r="N191" s="340">
        <f t="shared" si="16"/>
        <v>0</v>
      </c>
    </row>
    <row r="192" spans="1:14" x14ac:dyDescent="0.15">
      <c r="A192" s="398">
        <f t="shared" si="13"/>
        <v>39886</v>
      </c>
      <c r="B192" s="331">
        <v>5.6470450873558335E-2</v>
      </c>
      <c r="C192" s="331">
        <v>4.193548387096774E-3</v>
      </c>
      <c r="D192" s="331">
        <v>4.0161290322580652E-2</v>
      </c>
      <c r="E192" s="331">
        <v>8.4599999999999995E-2</v>
      </c>
      <c r="F192" s="331">
        <v>0</v>
      </c>
      <c r="H192" s="377"/>
      <c r="I192" s="377"/>
      <c r="J192" s="377"/>
      <c r="L192" s="339">
        <f t="shared" si="14"/>
        <v>0</v>
      </c>
      <c r="M192" s="340">
        <f t="shared" si="15"/>
        <v>0</v>
      </c>
      <c r="N192" s="340">
        <f t="shared" si="16"/>
        <v>0</v>
      </c>
    </row>
    <row r="193" spans="1:14" x14ac:dyDescent="0.15">
      <c r="A193" s="398">
        <f t="shared" si="13"/>
        <v>39887</v>
      </c>
      <c r="B193" s="331">
        <v>5.6470450873558335E-2</v>
      </c>
      <c r="C193" s="331">
        <v>4.193548387096774E-3</v>
      </c>
      <c r="D193" s="331">
        <v>4.0161290322580652E-2</v>
      </c>
      <c r="E193" s="331">
        <v>8.4599999999999995E-2</v>
      </c>
      <c r="F193" s="331">
        <v>0</v>
      </c>
      <c r="H193" s="377"/>
      <c r="I193" s="377"/>
      <c r="J193" s="377"/>
      <c r="L193" s="339">
        <f t="shared" si="14"/>
        <v>0</v>
      </c>
      <c r="M193" s="340">
        <f t="shared" si="15"/>
        <v>0</v>
      </c>
      <c r="N193" s="340">
        <f t="shared" si="16"/>
        <v>0</v>
      </c>
    </row>
    <row r="194" spans="1:14" x14ac:dyDescent="0.15">
      <c r="A194" s="398">
        <f t="shared" si="13"/>
        <v>39888</v>
      </c>
      <c r="B194" s="331">
        <v>5.6470450873558335E-2</v>
      </c>
      <c r="C194" s="331">
        <v>4.193548387096774E-3</v>
      </c>
      <c r="D194" s="331">
        <v>4.0161290322580652E-2</v>
      </c>
      <c r="E194" s="331">
        <v>8.4599999999999995E-2</v>
      </c>
      <c r="F194" s="331">
        <v>0</v>
      </c>
      <c r="H194" s="377"/>
      <c r="I194" s="377"/>
      <c r="J194" s="377"/>
      <c r="L194" s="339">
        <f t="shared" si="14"/>
        <v>0</v>
      </c>
      <c r="M194" s="340">
        <f t="shared" si="15"/>
        <v>0</v>
      </c>
      <c r="N194" s="340">
        <f t="shared" si="16"/>
        <v>0</v>
      </c>
    </row>
    <row r="195" spans="1:14" x14ac:dyDescent="0.15">
      <c r="A195" s="398">
        <f t="shared" si="13"/>
        <v>39889</v>
      </c>
      <c r="B195" s="331">
        <v>5.6470450873558335E-2</v>
      </c>
      <c r="C195" s="331">
        <v>4.193548387096774E-3</v>
      </c>
      <c r="D195" s="331">
        <v>4.0161290322580652E-2</v>
      </c>
      <c r="E195" s="331">
        <v>8.4599999999999995E-2</v>
      </c>
      <c r="F195" s="331">
        <v>0</v>
      </c>
      <c r="H195" s="377"/>
      <c r="I195" s="377"/>
      <c r="J195" s="377"/>
      <c r="L195" s="339">
        <f t="shared" si="14"/>
        <v>0</v>
      </c>
      <c r="M195" s="340">
        <f t="shared" si="15"/>
        <v>0</v>
      </c>
      <c r="N195" s="340">
        <f t="shared" si="16"/>
        <v>0</v>
      </c>
    </row>
    <row r="196" spans="1:14" x14ac:dyDescent="0.15">
      <c r="A196" s="398">
        <f t="shared" si="13"/>
        <v>39890</v>
      </c>
      <c r="B196" s="331">
        <v>5.6470450873558335E-2</v>
      </c>
      <c r="C196" s="331">
        <v>4.193548387096774E-3</v>
      </c>
      <c r="D196" s="331">
        <v>4.0161290322580652E-2</v>
      </c>
      <c r="E196" s="331">
        <v>8.4599999999999995E-2</v>
      </c>
      <c r="F196" s="331">
        <v>0</v>
      </c>
      <c r="H196" s="377"/>
      <c r="I196" s="377"/>
      <c r="J196" s="377"/>
      <c r="L196" s="339">
        <f t="shared" si="14"/>
        <v>0</v>
      </c>
      <c r="M196" s="340">
        <f t="shared" si="15"/>
        <v>0</v>
      </c>
      <c r="N196" s="340">
        <f t="shared" si="16"/>
        <v>0</v>
      </c>
    </row>
    <row r="197" spans="1:14" x14ac:dyDescent="0.15">
      <c r="A197" s="398">
        <f t="shared" si="13"/>
        <v>39891</v>
      </c>
      <c r="B197" s="331">
        <v>5.6470450873558335E-2</v>
      </c>
      <c r="C197" s="331">
        <v>4.193548387096774E-3</v>
      </c>
      <c r="D197" s="331">
        <v>4.0161290322580652E-2</v>
      </c>
      <c r="E197" s="331">
        <v>8.4599999999999995E-2</v>
      </c>
      <c r="F197" s="331">
        <v>0</v>
      </c>
      <c r="H197" s="377"/>
      <c r="I197" s="377"/>
      <c r="J197" s="377"/>
      <c r="L197" s="339">
        <f t="shared" si="14"/>
        <v>0</v>
      </c>
      <c r="M197" s="340">
        <f t="shared" si="15"/>
        <v>0</v>
      </c>
      <c r="N197" s="340">
        <f t="shared" si="16"/>
        <v>0</v>
      </c>
    </row>
    <row r="198" spans="1:14" x14ac:dyDescent="0.15">
      <c r="A198" s="398">
        <f t="shared" si="13"/>
        <v>39892</v>
      </c>
      <c r="B198" s="331">
        <v>5.6470450873558335E-2</v>
      </c>
      <c r="C198" s="331">
        <v>4.193548387096774E-3</v>
      </c>
      <c r="D198" s="331">
        <v>4.0161290322580652E-2</v>
      </c>
      <c r="E198" s="331">
        <v>8.4599999999999995E-2</v>
      </c>
      <c r="F198" s="331">
        <v>0</v>
      </c>
      <c r="G198" s="397"/>
      <c r="H198" s="377"/>
      <c r="I198" s="377"/>
      <c r="J198" s="377"/>
      <c r="L198" s="339">
        <f t="shared" si="14"/>
        <v>0</v>
      </c>
      <c r="M198" s="340">
        <f t="shared" si="15"/>
        <v>0</v>
      </c>
      <c r="N198" s="340">
        <f t="shared" si="16"/>
        <v>0</v>
      </c>
    </row>
    <row r="199" spans="1:14" x14ac:dyDescent="0.15">
      <c r="A199" s="398">
        <f t="shared" si="13"/>
        <v>39893</v>
      </c>
      <c r="B199" s="331">
        <v>5.6470450873558335E-2</v>
      </c>
      <c r="C199" s="331">
        <v>4.193548387096774E-3</v>
      </c>
      <c r="D199" s="331">
        <v>4.0161290322580652E-2</v>
      </c>
      <c r="E199" s="331">
        <v>8.4599999999999995E-2</v>
      </c>
      <c r="F199" s="331">
        <v>0</v>
      </c>
      <c r="H199" s="377"/>
      <c r="I199" s="377"/>
      <c r="J199" s="377"/>
      <c r="L199" s="339">
        <f t="shared" si="14"/>
        <v>0</v>
      </c>
      <c r="M199" s="340">
        <f t="shared" si="15"/>
        <v>0</v>
      </c>
      <c r="N199" s="340">
        <f t="shared" si="16"/>
        <v>0</v>
      </c>
    </row>
    <row r="200" spans="1:14" x14ac:dyDescent="0.15">
      <c r="A200" s="398">
        <f t="shared" si="13"/>
        <v>39894</v>
      </c>
      <c r="B200" s="331">
        <v>5.6470450873558335E-2</v>
      </c>
      <c r="C200" s="331">
        <v>4.193548387096774E-3</v>
      </c>
      <c r="D200" s="331">
        <v>4.0161290322580652E-2</v>
      </c>
      <c r="E200" s="331">
        <v>8.4599999999999995E-2</v>
      </c>
      <c r="F200" s="331">
        <v>0</v>
      </c>
      <c r="H200" s="377"/>
      <c r="I200" s="377"/>
      <c r="J200" s="377"/>
      <c r="L200" s="339">
        <f t="shared" si="14"/>
        <v>0</v>
      </c>
      <c r="M200" s="340">
        <f t="shared" si="15"/>
        <v>0</v>
      </c>
      <c r="N200" s="340">
        <f t="shared" si="16"/>
        <v>0</v>
      </c>
    </row>
    <row r="201" spans="1:14" x14ac:dyDescent="0.15">
      <c r="A201" s="398">
        <f t="shared" si="13"/>
        <v>39895</v>
      </c>
      <c r="B201" s="331">
        <v>5.6470450873558335E-2</v>
      </c>
      <c r="C201" s="331">
        <v>4.193548387096774E-3</v>
      </c>
      <c r="D201" s="331">
        <v>4.0161290322580652E-2</v>
      </c>
      <c r="E201" s="331">
        <v>8.4599999999999995E-2</v>
      </c>
      <c r="F201" s="331">
        <v>0</v>
      </c>
      <c r="H201" s="377"/>
      <c r="I201" s="377"/>
      <c r="J201" s="377"/>
      <c r="L201" s="339">
        <f t="shared" si="14"/>
        <v>0</v>
      </c>
      <c r="M201" s="340">
        <f t="shared" si="15"/>
        <v>0</v>
      </c>
      <c r="N201" s="340">
        <f t="shared" si="16"/>
        <v>0</v>
      </c>
    </row>
    <row r="202" spans="1:14" x14ac:dyDescent="0.15">
      <c r="A202" s="398">
        <f t="shared" si="13"/>
        <v>39896</v>
      </c>
      <c r="B202" s="331">
        <v>5.6470450873558335E-2</v>
      </c>
      <c r="C202" s="331">
        <v>4.193548387096774E-3</v>
      </c>
      <c r="D202" s="331">
        <v>4.0161290322580652E-2</v>
      </c>
      <c r="E202" s="331">
        <v>8.4599999999999995E-2</v>
      </c>
      <c r="F202" s="331">
        <v>0</v>
      </c>
      <c r="H202" s="377"/>
      <c r="I202" s="377"/>
      <c r="J202" s="377"/>
      <c r="L202" s="339">
        <f t="shared" si="14"/>
        <v>0</v>
      </c>
      <c r="M202" s="340">
        <f t="shared" si="15"/>
        <v>0</v>
      </c>
      <c r="N202" s="340">
        <f t="shared" si="16"/>
        <v>0</v>
      </c>
    </row>
    <row r="203" spans="1:14" x14ac:dyDescent="0.15">
      <c r="A203" s="398">
        <f t="shared" si="13"/>
        <v>39897</v>
      </c>
      <c r="B203" s="331">
        <v>5.6470450873558335E-2</v>
      </c>
      <c r="C203" s="331">
        <v>4.193548387096774E-3</v>
      </c>
      <c r="D203" s="331">
        <v>4.0161290322580652E-2</v>
      </c>
      <c r="E203" s="331">
        <v>8.4599999999999995E-2</v>
      </c>
      <c r="F203" s="331">
        <v>0</v>
      </c>
      <c r="H203" s="377"/>
      <c r="I203" s="377"/>
      <c r="J203" s="377"/>
      <c r="L203" s="339">
        <f t="shared" si="14"/>
        <v>0</v>
      </c>
      <c r="M203" s="340">
        <f t="shared" si="15"/>
        <v>0</v>
      </c>
      <c r="N203" s="340">
        <f t="shared" si="16"/>
        <v>0</v>
      </c>
    </row>
    <row r="204" spans="1:14" x14ac:dyDescent="0.15">
      <c r="A204" s="398">
        <f t="shared" si="13"/>
        <v>39898</v>
      </c>
      <c r="B204" s="331">
        <v>5.6470450873558335E-2</v>
      </c>
      <c r="C204" s="331">
        <v>4.193548387096774E-3</v>
      </c>
      <c r="D204" s="331">
        <v>4.0161290322580652E-2</v>
      </c>
      <c r="E204" s="331">
        <v>8.4599999999999995E-2</v>
      </c>
      <c r="F204" s="331">
        <v>0</v>
      </c>
      <c r="H204" s="377"/>
      <c r="I204" s="377"/>
      <c r="J204" s="377"/>
      <c r="L204" s="339">
        <f t="shared" si="14"/>
        <v>0</v>
      </c>
      <c r="M204" s="340">
        <f t="shared" si="15"/>
        <v>0</v>
      </c>
      <c r="N204" s="340">
        <f t="shared" si="16"/>
        <v>0</v>
      </c>
    </row>
    <row r="205" spans="1:14" x14ac:dyDescent="0.15">
      <c r="A205" s="398">
        <f t="shared" si="13"/>
        <v>39899</v>
      </c>
      <c r="B205" s="331">
        <v>5.6470450873558335E-2</v>
      </c>
      <c r="C205" s="331">
        <v>4.193548387096774E-3</v>
      </c>
      <c r="D205" s="331">
        <v>4.0161290322580652E-2</v>
      </c>
      <c r="E205" s="331">
        <v>8.4599999999999995E-2</v>
      </c>
      <c r="F205" s="331">
        <v>0</v>
      </c>
      <c r="H205" s="377"/>
      <c r="I205" s="377"/>
      <c r="J205" s="377"/>
      <c r="L205" s="339">
        <f t="shared" si="14"/>
        <v>0</v>
      </c>
      <c r="M205" s="340">
        <f t="shared" si="15"/>
        <v>0</v>
      </c>
      <c r="N205" s="340">
        <f t="shared" si="16"/>
        <v>0</v>
      </c>
    </row>
    <row r="206" spans="1:14" x14ac:dyDescent="0.15">
      <c r="A206" s="398">
        <f t="shared" si="13"/>
        <v>39900</v>
      </c>
      <c r="B206" s="331">
        <v>5.6470450873558335E-2</v>
      </c>
      <c r="C206" s="331">
        <v>4.193548387096774E-3</v>
      </c>
      <c r="D206" s="331">
        <v>4.0161290322580652E-2</v>
      </c>
      <c r="E206" s="331">
        <v>8.4599999999999995E-2</v>
      </c>
      <c r="F206" s="331">
        <v>0</v>
      </c>
      <c r="H206" s="377"/>
      <c r="I206" s="377"/>
      <c r="J206" s="377"/>
      <c r="L206" s="339">
        <f t="shared" si="14"/>
        <v>0</v>
      </c>
      <c r="M206" s="340">
        <f t="shared" si="15"/>
        <v>0</v>
      </c>
      <c r="N206" s="340">
        <f t="shared" si="16"/>
        <v>0</v>
      </c>
    </row>
    <row r="207" spans="1:14" x14ac:dyDescent="0.15">
      <c r="A207" s="398">
        <f t="shared" si="13"/>
        <v>39901</v>
      </c>
      <c r="B207" s="331">
        <v>5.6470450873558335E-2</v>
      </c>
      <c r="C207" s="331">
        <v>4.193548387096774E-3</v>
      </c>
      <c r="D207" s="331">
        <v>4.0161290322580652E-2</v>
      </c>
      <c r="E207" s="331">
        <v>8.4599999999999995E-2</v>
      </c>
      <c r="F207" s="331">
        <v>0</v>
      </c>
      <c r="H207" s="377"/>
      <c r="I207" s="377"/>
      <c r="J207" s="377"/>
      <c r="L207" s="339">
        <f t="shared" si="14"/>
        <v>0</v>
      </c>
      <c r="M207" s="340">
        <f t="shared" si="15"/>
        <v>0</v>
      </c>
      <c r="N207" s="340">
        <f t="shared" si="16"/>
        <v>0</v>
      </c>
    </row>
    <row r="208" spans="1:14" x14ac:dyDescent="0.15">
      <c r="A208" s="398">
        <f t="shared" si="13"/>
        <v>39902</v>
      </c>
      <c r="B208" s="331">
        <v>5.6470450873558335E-2</v>
      </c>
      <c r="C208" s="331">
        <v>4.193548387096774E-3</v>
      </c>
      <c r="D208" s="331">
        <v>4.0161290322580652E-2</v>
      </c>
      <c r="E208" s="331">
        <v>8.4599999999999995E-2</v>
      </c>
      <c r="F208" s="331">
        <v>0</v>
      </c>
      <c r="H208" s="377"/>
      <c r="I208" s="377"/>
      <c r="J208" s="377"/>
      <c r="L208" s="339">
        <f t="shared" si="14"/>
        <v>0</v>
      </c>
      <c r="M208" s="340">
        <f t="shared" si="15"/>
        <v>0</v>
      </c>
      <c r="N208" s="340">
        <f t="shared" si="16"/>
        <v>0</v>
      </c>
    </row>
    <row r="209" spans="1:14" x14ac:dyDescent="0.15">
      <c r="A209" s="398">
        <f t="shared" si="13"/>
        <v>39903</v>
      </c>
      <c r="B209" s="331">
        <v>5.6470450873558335E-2</v>
      </c>
      <c r="C209" s="331">
        <v>4.193548387096774E-3</v>
      </c>
      <c r="D209" s="331">
        <v>4.0161290322580652E-2</v>
      </c>
      <c r="E209" s="331">
        <v>8.4599999999999995E-2</v>
      </c>
      <c r="F209" s="331">
        <v>0</v>
      </c>
      <c r="H209" s="377"/>
      <c r="I209" s="377"/>
      <c r="J209" s="377"/>
      <c r="L209" s="339">
        <f t="shared" si="14"/>
        <v>0</v>
      </c>
      <c r="M209" s="340">
        <f t="shared" si="15"/>
        <v>0</v>
      </c>
      <c r="N209" s="340">
        <f t="shared" si="16"/>
        <v>0</v>
      </c>
    </row>
    <row r="210" spans="1:14" x14ac:dyDescent="0.15">
      <c r="A210" s="398">
        <f t="shared" si="13"/>
        <v>39904</v>
      </c>
      <c r="B210" s="331">
        <v>6.9330923096873817E-2</v>
      </c>
      <c r="C210" s="331">
        <v>4.3333333333333331E-3</v>
      </c>
      <c r="D210" s="331">
        <v>3.8166666666666668E-2</v>
      </c>
      <c r="E210" s="331">
        <v>8.4599999999999995E-2</v>
      </c>
      <c r="F210" s="331">
        <v>0</v>
      </c>
      <c r="H210" s="377"/>
      <c r="I210" s="377"/>
      <c r="J210" s="377"/>
      <c r="L210" s="339">
        <f t="shared" si="14"/>
        <v>0</v>
      </c>
      <c r="M210" s="340">
        <f t="shared" si="15"/>
        <v>0</v>
      </c>
      <c r="N210" s="340">
        <f t="shared" si="16"/>
        <v>0</v>
      </c>
    </row>
    <row r="211" spans="1:14" x14ac:dyDescent="0.15">
      <c r="A211" s="398">
        <f t="shared" si="13"/>
        <v>39905</v>
      </c>
      <c r="B211" s="331">
        <v>6.9330923096873817E-2</v>
      </c>
      <c r="C211" s="331">
        <v>4.3333333333333331E-3</v>
      </c>
      <c r="D211" s="331">
        <v>3.8166666666666668E-2</v>
      </c>
      <c r="E211" s="331">
        <v>8.4599999999999995E-2</v>
      </c>
      <c r="F211" s="331">
        <v>0</v>
      </c>
      <c r="H211" s="377"/>
      <c r="I211" s="377"/>
      <c r="J211" s="377"/>
      <c r="L211" s="339">
        <f t="shared" si="14"/>
        <v>0</v>
      </c>
      <c r="M211" s="340">
        <f t="shared" si="15"/>
        <v>0</v>
      </c>
      <c r="N211" s="340">
        <f t="shared" si="16"/>
        <v>0</v>
      </c>
    </row>
    <row r="212" spans="1:14" x14ac:dyDescent="0.15">
      <c r="A212" s="398">
        <f t="shared" si="13"/>
        <v>39906</v>
      </c>
      <c r="B212" s="331">
        <v>6.9330923096873817E-2</v>
      </c>
      <c r="C212" s="331">
        <v>4.3333333333333331E-3</v>
      </c>
      <c r="D212" s="331">
        <v>3.8166666666666668E-2</v>
      </c>
      <c r="E212" s="331">
        <v>8.4599999999999995E-2</v>
      </c>
      <c r="F212" s="331">
        <v>0</v>
      </c>
      <c r="H212" s="377"/>
      <c r="I212" s="377"/>
      <c r="J212" s="377"/>
      <c r="L212" s="339">
        <f t="shared" si="14"/>
        <v>0</v>
      </c>
      <c r="M212" s="340">
        <f t="shared" si="15"/>
        <v>0</v>
      </c>
      <c r="N212" s="340">
        <f t="shared" si="16"/>
        <v>0</v>
      </c>
    </row>
    <row r="213" spans="1:14" x14ac:dyDescent="0.15">
      <c r="A213" s="398">
        <f t="shared" si="13"/>
        <v>39907</v>
      </c>
      <c r="B213" s="331">
        <v>6.9330923096873817E-2</v>
      </c>
      <c r="C213" s="331">
        <v>4.3333333333333331E-3</v>
      </c>
      <c r="D213" s="331">
        <v>3.8166666666666668E-2</v>
      </c>
      <c r="E213" s="331">
        <v>8.4599999999999995E-2</v>
      </c>
      <c r="F213" s="331">
        <v>0</v>
      </c>
      <c r="H213" s="377"/>
      <c r="I213" s="377"/>
      <c r="J213" s="377"/>
      <c r="L213" s="339">
        <f t="shared" si="14"/>
        <v>0</v>
      </c>
      <c r="M213" s="340">
        <f t="shared" si="15"/>
        <v>0</v>
      </c>
      <c r="N213" s="340">
        <f t="shared" si="16"/>
        <v>0</v>
      </c>
    </row>
    <row r="214" spans="1:14" x14ac:dyDescent="0.15">
      <c r="A214" s="398">
        <f t="shared" si="13"/>
        <v>39908</v>
      </c>
      <c r="B214" s="331">
        <v>6.9330923096873817E-2</v>
      </c>
      <c r="C214" s="331">
        <v>4.3333333333333331E-3</v>
      </c>
      <c r="D214" s="331">
        <v>3.8166666666666668E-2</v>
      </c>
      <c r="E214" s="331">
        <v>8.4599999999999995E-2</v>
      </c>
      <c r="F214" s="331">
        <v>0</v>
      </c>
      <c r="H214" s="377"/>
      <c r="I214" s="377"/>
      <c r="J214" s="377"/>
      <c r="L214" s="339">
        <f t="shared" si="14"/>
        <v>0</v>
      </c>
      <c r="M214" s="340">
        <f t="shared" si="15"/>
        <v>0</v>
      </c>
      <c r="N214" s="340">
        <f t="shared" si="16"/>
        <v>0</v>
      </c>
    </row>
    <row r="215" spans="1:14" x14ac:dyDescent="0.15">
      <c r="A215" s="398">
        <f t="shared" si="13"/>
        <v>39909</v>
      </c>
      <c r="B215" s="331">
        <v>6.9330923096873817E-2</v>
      </c>
      <c r="C215" s="331">
        <v>4.3333333333333331E-3</v>
      </c>
      <c r="D215" s="331">
        <v>3.8166666666666668E-2</v>
      </c>
      <c r="E215" s="331">
        <v>8.4599999999999995E-2</v>
      </c>
      <c r="F215" s="331">
        <v>0</v>
      </c>
      <c r="H215" s="377"/>
      <c r="I215" s="377"/>
      <c r="J215" s="377"/>
      <c r="L215" s="339">
        <f t="shared" si="14"/>
        <v>0</v>
      </c>
      <c r="M215" s="340">
        <f t="shared" si="15"/>
        <v>0</v>
      </c>
      <c r="N215" s="340">
        <f t="shared" si="16"/>
        <v>0</v>
      </c>
    </row>
    <row r="216" spans="1:14" x14ac:dyDescent="0.15">
      <c r="A216" s="398">
        <f t="shared" si="13"/>
        <v>39910</v>
      </c>
      <c r="B216" s="331">
        <v>6.9330923096873817E-2</v>
      </c>
      <c r="C216" s="331">
        <v>4.3333333333333331E-3</v>
      </c>
      <c r="D216" s="331">
        <v>3.8166666666666668E-2</v>
      </c>
      <c r="E216" s="331">
        <v>8.4599999999999995E-2</v>
      </c>
      <c r="F216" s="331">
        <v>0</v>
      </c>
      <c r="H216" s="377"/>
      <c r="I216" s="377"/>
      <c r="J216" s="377"/>
      <c r="L216" s="339">
        <f t="shared" si="14"/>
        <v>0</v>
      </c>
      <c r="M216" s="340">
        <f t="shared" si="15"/>
        <v>0</v>
      </c>
      <c r="N216" s="340">
        <f t="shared" si="16"/>
        <v>0</v>
      </c>
    </row>
    <row r="217" spans="1:14" x14ac:dyDescent="0.15">
      <c r="A217" s="398">
        <f t="shared" si="13"/>
        <v>39911</v>
      </c>
      <c r="B217" s="331">
        <v>6.9330923096873817E-2</v>
      </c>
      <c r="C217" s="331">
        <v>4.3333333333333331E-3</v>
      </c>
      <c r="D217" s="331">
        <v>3.8166666666666668E-2</v>
      </c>
      <c r="E217" s="331">
        <v>8.4599999999999995E-2</v>
      </c>
      <c r="F217" s="331">
        <v>0</v>
      </c>
      <c r="H217" s="377"/>
      <c r="I217" s="377"/>
      <c r="J217" s="377"/>
      <c r="L217" s="339">
        <f t="shared" si="14"/>
        <v>0</v>
      </c>
      <c r="M217" s="340">
        <f t="shared" si="15"/>
        <v>0</v>
      </c>
      <c r="N217" s="340">
        <f t="shared" si="16"/>
        <v>0</v>
      </c>
    </row>
    <row r="218" spans="1:14" x14ac:dyDescent="0.15">
      <c r="A218" s="398">
        <f t="shared" si="13"/>
        <v>39912</v>
      </c>
      <c r="B218" s="331">
        <v>6.9330923096873817E-2</v>
      </c>
      <c r="C218" s="331">
        <v>4.3333333333333331E-3</v>
      </c>
      <c r="D218" s="331">
        <v>3.8166666666666668E-2</v>
      </c>
      <c r="E218" s="331">
        <v>8.4599999999999995E-2</v>
      </c>
      <c r="F218" s="331">
        <v>0</v>
      </c>
      <c r="H218" s="377"/>
      <c r="I218" s="377"/>
      <c r="J218" s="377"/>
      <c r="L218" s="339">
        <f t="shared" si="14"/>
        <v>0</v>
      </c>
      <c r="M218" s="340">
        <f t="shared" si="15"/>
        <v>0</v>
      </c>
      <c r="N218" s="340">
        <f t="shared" si="16"/>
        <v>0</v>
      </c>
    </row>
    <row r="219" spans="1:14" x14ac:dyDescent="0.15">
      <c r="A219" s="398">
        <f t="shared" si="13"/>
        <v>39913</v>
      </c>
      <c r="B219" s="331">
        <v>6.9330923096873817E-2</v>
      </c>
      <c r="C219" s="331">
        <v>4.3333333333333331E-3</v>
      </c>
      <c r="D219" s="331">
        <v>3.8166666666666668E-2</v>
      </c>
      <c r="E219" s="331">
        <v>8.4599999999999995E-2</v>
      </c>
      <c r="F219" s="331">
        <v>0</v>
      </c>
      <c r="H219" s="377"/>
      <c r="I219" s="377"/>
      <c r="J219" s="377"/>
      <c r="L219" s="339">
        <f t="shared" si="14"/>
        <v>0</v>
      </c>
      <c r="M219" s="340">
        <f t="shared" si="15"/>
        <v>0</v>
      </c>
      <c r="N219" s="340">
        <f t="shared" si="16"/>
        <v>0</v>
      </c>
    </row>
    <row r="220" spans="1:14" x14ac:dyDescent="0.15">
      <c r="A220" s="398">
        <f t="shared" si="13"/>
        <v>39914</v>
      </c>
      <c r="B220" s="331">
        <v>6.9330923096873817E-2</v>
      </c>
      <c r="C220" s="331">
        <v>4.3333333333333331E-3</v>
      </c>
      <c r="D220" s="331">
        <v>3.8166666666666668E-2</v>
      </c>
      <c r="E220" s="331">
        <v>8.4599999999999995E-2</v>
      </c>
      <c r="F220" s="331">
        <v>0</v>
      </c>
      <c r="H220" s="377"/>
      <c r="I220" s="377"/>
      <c r="J220" s="377"/>
      <c r="L220" s="339">
        <f t="shared" si="14"/>
        <v>0</v>
      </c>
      <c r="M220" s="340">
        <f t="shared" si="15"/>
        <v>0</v>
      </c>
      <c r="N220" s="340">
        <f t="shared" si="16"/>
        <v>0</v>
      </c>
    </row>
    <row r="221" spans="1:14" x14ac:dyDescent="0.15">
      <c r="A221" s="398">
        <f t="shared" si="13"/>
        <v>39915</v>
      </c>
      <c r="B221" s="331">
        <v>6.9330923096873817E-2</v>
      </c>
      <c r="C221" s="331">
        <v>4.3333333333333331E-3</v>
      </c>
      <c r="D221" s="331">
        <v>3.8166666666666668E-2</v>
      </c>
      <c r="E221" s="331">
        <v>8.4599999999999995E-2</v>
      </c>
      <c r="F221" s="331">
        <v>0</v>
      </c>
      <c r="H221" s="377"/>
      <c r="I221" s="377"/>
      <c r="J221" s="377"/>
      <c r="L221" s="339">
        <f t="shared" si="14"/>
        <v>0</v>
      </c>
      <c r="M221" s="340">
        <f t="shared" si="15"/>
        <v>0</v>
      </c>
      <c r="N221" s="340">
        <f t="shared" si="16"/>
        <v>0</v>
      </c>
    </row>
    <row r="222" spans="1:14" x14ac:dyDescent="0.15">
      <c r="A222" s="398">
        <f t="shared" si="13"/>
        <v>39916</v>
      </c>
      <c r="B222" s="331">
        <v>6.9330923096873817E-2</v>
      </c>
      <c r="C222" s="331">
        <v>4.3333333333333331E-3</v>
      </c>
      <c r="D222" s="331">
        <v>3.8166666666666668E-2</v>
      </c>
      <c r="E222" s="331">
        <v>8.4599999999999995E-2</v>
      </c>
      <c r="F222" s="331">
        <v>0</v>
      </c>
      <c r="H222" s="377"/>
      <c r="I222" s="377"/>
      <c r="J222" s="377"/>
      <c r="L222" s="339">
        <f t="shared" si="14"/>
        <v>0</v>
      </c>
      <c r="M222" s="340">
        <f t="shared" si="15"/>
        <v>0</v>
      </c>
      <c r="N222" s="340">
        <f t="shared" si="16"/>
        <v>0</v>
      </c>
    </row>
    <row r="223" spans="1:14" x14ac:dyDescent="0.15">
      <c r="A223" s="398">
        <f t="shared" si="13"/>
        <v>39917</v>
      </c>
      <c r="B223" s="331">
        <v>6.9330923096873817E-2</v>
      </c>
      <c r="C223" s="331">
        <v>4.3333333333333331E-3</v>
      </c>
      <c r="D223" s="331">
        <v>3.8166666666666668E-2</v>
      </c>
      <c r="E223" s="331">
        <v>8.4599999999999995E-2</v>
      </c>
      <c r="F223" s="331">
        <v>0</v>
      </c>
      <c r="H223" s="377"/>
      <c r="I223" s="377"/>
      <c r="J223" s="377"/>
      <c r="L223" s="339">
        <f t="shared" si="14"/>
        <v>0</v>
      </c>
      <c r="M223" s="340">
        <f t="shared" si="15"/>
        <v>0</v>
      </c>
      <c r="N223" s="340">
        <f t="shared" si="16"/>
        <v>0</v>
      </c>
    </row>
    <row r="224" spans="1:14" x14ac:dyDescent="0.15">
      <c r="A224" s="398">
        <f t="shared" si="13"/>
        <v>39918</v>
      </c>
      <c r="B224" s="331">
        <v>6.9330923096873817E-2</v>
      </c>
      <c r="C224" s="331">
        <v>4.3333333333333331E-3</v>
      </c>
      <c r="D224" s="331">
        <v>3.8166666666666668E-2</v>
      </c>
      <c r="E224" s="331">
        <v>8.4599999999999995E-2</v>
      </c>
      <c r="F224" s="331">
        <v>0</v>
      </c>
      <c r="G224" s="397"/>
      <c r="H224" s="377"/>
      <c r="I224" s="377"/>
      <c r="J224" s="377"/>
      <c r="L224" s="339">
        <f t="shared" si="14"/>
        <v>0</v>
      </c>
      <c r="M224" s="340">
        <f t="shared" si="15"/>
        <v>0</v>
      </c>
      <c r="N224" s="340">
        <f t="shared" si="16"/>
        <v>0</v>
      </c>
    </row>
    <row r="225" spans="1:14" x14ac:dyDescent="0.15">
      <c r="A225" s="398">
        <f t="shared" si="13"/>
        <v>39919</v>
      </c>
      <c r="B225" s="331">
        <v>6.9330923096873817E-2</v>
      </c>
      <c r="C225" s="331">
        <v>4.3333333333333331E-3</v>
      </c>
      <c r="D225" s="331">
        <v>3.8166666666666668E-2</v>
      </c>
      <c r="E225" s="331">
        <v>8.4599999999999995E-2</v>
      </c>
      <c r="F225" s="331">
        <v>0</v>
      </c>
      <c r="H225" s="377"/>
      <c r="I225" s="377"/>
      <c r="J225" s="377"/>
      <c r="L225" s="339">
        <f t="shared" si="14"/>
        <v>0</v>
      </c>
      <c r="M225" s="340">
        <f t="shared" si="15"/>
        <v>0</v>
      </c>
      <c r="N225" s="340">
        <f t="shared" si="16"/>
        <v>0</v>
      </c>
    </row>
    <row r="226" spans="1:14" x14ac:dyDescent="0.15">
      <c r="A226" s="398">
        <f t="shared" si="13"/>
        <v>39920</v>
      </c>
      <c r="B226" s="331">
        <v>6.9330923096873817E-2</v>
      </c>
      <c r="C226" s="331">
        <v>4.3333333333333331E-3</v>
      </c>
      <c r="D226" s="331">
        <v>3.8166666666666668E-2</v>
      </c>
      <c r="E226" s="331">
        <v>8.4599999999999995E-2</v>
      </c>
      <c r="F226" s="331">
        <v>0</v>
      </c>
      <c r="H226" s="377"/>
      <c r="I226" s="377"/>
      <c r="J226" s="377"/>
      <c r="L226" s="339">
        <f t="shared" si="14"/>
        <v>0</v>
      </c>
      <c r="M226" s="340">
        <f t="shared" si="15"/>
        <v>0</v>
      </c>
      <c r="N226" s="340">
        <f t="shared" si="16"/>
        <v>0</v>
      </c>
    </row>
    <row r="227" spans="1:14" x14ac:dyDescent="0.15">
      <c r="A227" s="398">
        <f t="shared" si="13"/>
        <v>39921</v>
      </c>
      <c r="B227" s="331">
        <v>6.9330923096873817E-2</v>
      </c>
      <c r="C227" s="331">
        <v>4.3333333333333331E-3</v>
      </c>
      <c r="D227" s="331">
        <v>3.8166666666666668E-2</v>
      </c>
      <c r="E227" s="331">
        <v>8.4599999999999995E-2</v>
      </c>
      <c r="F227" s="331">
        <v>0</v>
      </c>
      <c r="H227" s="377"/>
      <c r="I227" s="377"/>
      <c r="J227" s="377"/>
      <c r="L227" s="339">
        <f t="shared" si="14"/>
        <v>0</v>
      </c>
      <c r="M227" s="340">
        <f t="shared" si="15"/>
        <v>0</v>
      </c>
      <c r="N227" s="340">
        <f t="shared" si="16"/>
        <v>0</v>
      </c>
    </row>
    <row r="228" spans="1:14" x14ac:dyDescent="0.15">
      <c r="A228" s="398">
        <f t="shared" si="13"/>
        <v>39922</v>
      </c>
      <c r="B228" s="331">
        <v>6.9330923096873817E-2</v>
      </c>
      <c r="C228" s="331">
        <v>4.3333333333333331E-3</v>
      </c>
      <c r="D228" s="331">
        <v>3.8166666666666668E-2</v>
      </c>
      <c r="E228" s="331">
        <v>8.4599999999999995E-2</v>
      </c>
      <c r="F228" s="331">
        <v>0</v>
      </c>
      <c r="H228" s="377"/>
      <c r="I228" s="377"/>
      <c r="J228" s="377"/>
      <c r="L228" s="339">
        <f t="shared" si="14"/>
        <v>0</v>
      </c>
      <c r="M228" s="340">
        <f t="shared" si="15"/>
        <v>0</v>
      </c>
      <c r="N228" s="340">
        <f t="shared" si="16"/>
        <v>0</v>
      </c>
    </row>
    <row r="229" spans="1:14" x14ac:dyDescent="0.15">
      <c r="A229" s="398">
        <f t="shared" si="13"/>
        <v>39923</v>
      </c>
      <c r="B229" s="331">
        <v>6.9330923096873817E-2</v>
      </c>
      <c r="C229" s="331">
        <v>4.3333333333333331E-3</v>
      </c>
      <c r="D229" s="331">
        <v>3.8166666666666668E-2</v>
      </c>
      <c r="E229" s="331">
        <v>8.4599999999999995E-2</v>
      </c>
      <c r="F229" s="331">
        <v>0</v>
      </c>
      <c r="H229" s="377"/>
      <c r="I229" s="377"/>
      <c r="J229" s="377"/>
      <c r="L229" s="339">
        <f t="shared" si="14"/>
        <v>0</v>
      </c>
      <c r="M229" s="340">
        <f t="shared" si="15"/>
        <v>0</v>
      </c>
      <c r="N229" s="340">
        <f t="shared" si="16"/>
        <v>0</v>
      </c>
    </row>
    <row r="230" spans="1:14" x14ac:dyDescent="0.15">
      <c r="A230" s="398">
        <f t="shared" si="13"/>
        <v>39924</v>
      </c>
      <c r="B230" s="331">
        <v>6.9330923096873817E-2</v>
      </c>
      <c r="C230" s="331">
        <v>4.3333333333333331E-3</v>
      </c>
      <c r="D230" s="331">
        <v>3.8166666666666668E-2</v>
      </c>
      <c r="E230" s="331">
        <v>8.4599999999999995E-2</v>
      </c>
      <c r="F230" s="331">
        <v>0</v>
      </c>
      <c r="H230" s="377"/>
      <c r="I230" s="377"/>
      <c r="J230" s="377"/>
      <c r="L230" s="339">
        <f t="shared" si="14"/>
        <v>0</v>
      </c>
      <c r="M230" s="340">
        <f t="shared" si="15"/>
        <v>0</v>
      </c>
      <c r="N230" s="340">
        <f t="shared" si="16"/>
        <v>0</v>
      </c>
    </row>
    <row r="231" spans="1:14" x14ac:dyDescent="0.15">
      <c r="A231" s="398">
        <f t="shared" si="13"/>
        <v>39925</v>
      </c>
      <c r="B231" s="331">
        <v>6.9330923096873817E-2</v>
      </c>
      <c r="C231" s="331">
        <v>4.3333333333333331E-3</v>
      </c>
      <c r="D231" s="331">
        <v>3.8166666666666668E-2</v>
      </c>
      <c r="E231" s="331">
        <v>8.4599999999999995E-2</v>
      </c>
      <c r="F231" s="331">
        <v>0</v>
      </c>
      <c r="H231" s="377"/>
      <c r="I231" s="377"/>
      <c r="J231" s="377"/>
      <c r="L231" s="339">
        <f t="shared" si="14"/>
        <v>0</v>
      </c>
      <c r="M231" s="340">
        <f t="shared" si="15"/>
        <v>0</v>
      </c>
      <c r="N231" s="340">
        <f t="shared" si="16"/>
        <v>0</v>
      </c>
    </row>
    <row r="232" spans="1:14" x14ac:dyDescent="0.15">
      <c r="A232" s="398">
        <f t="shared" si="13"/>
        <v>39926</v>
      </c>
      <c r="B232" s="331">
        <v>6.9330923096873817E-2</v>
      </c>
      <c r="C232" s="331">
        <v>4.3333333333333331E-3</v>
      </c>
      <c r="D232" s="331">
        <v>3.8166666666666668E-2</v>
      </c>
      <c r="E232" s="331">
        <v>8.4599999999999995E-2</v>
      </c>
      <c r="F232" s="331">
        <v>0</v>
      </c>
      <c r="H232" s="377"/>
      <c r="I232" s="377"/>
      <c r="J232" s="377"/>
      <c r="L232" s="339">
        <f t="shared" si="14"/>
        <v>0</v>
      </c>
      <c r="M232" s="340">
        <f t="shared" si="15"/>
        <v>0</v>
      </c>
      <c r="N232" s="340">
        <f t="shared" si="16"/>
        <v>0</v>
      </c>
    </row>
    <row r="233" spans="1:14" x14ac:dyDescent="0.15">
      <c r="A233" s="398">
        <f t="shared" si="13"/>
        <v>39927</v>
      </c>
      <c r="B233" s="331">
        <v>6.9330923096873817E-2</v>
      </c>
      <c r="C233" s="331">
        <v>4.3333333333333331E-3</v>
      </c>
      <c r="D233" s="331">
        <v>3.8166666666666668E-2</v>
      </c>
      <c r="E233" s="331">
        <v>8.4599999999999995E-2</v>
      </c>
      <c r="F233" s="331">
        <v>0</v>
      </c>
      <c r="H233" s="377"/>
      <c r="I233" s="377"/>
      <c r="J233" s="377"/>
      <c r="L233" s="339">
        <f t="shared" si="14"/>
        <v>0</v>
      </c>
      <c r="M233" s="340">
        <f t="shared" si="15"/>
        <v>0</v>
      </c>
      <c r="N233" s="340">
        <f t="shared" si="16"/>
        <v>0</v>
      </c>
    </row>
    <row r="234" spans="1:14" x14ac:dyDescent="0.15">
      <c r="A234" s="398">
        <f t="shared" si="13"/>
        <v>39928</v>
      </c>
      <c r="B234" s="331">
        <v>6.9330923096873817E-2</v>
      </c>
      <c r="C234" s="331">
        <v>4.3333333333333331E-3</v>
      </c>
      <c r="D234" s="331">
        <v>3.8166666666666668E-2</v>
      </c>
      <c r="E234" s="331">
        <v>8.4599999999999995E-2</v>
      </c>
      <c r="F234" s="331">
        <v>0</v>
      </c>
      <c r="H234" s="377"/>
      <c r="I234" s="377"/>
      <c r="J234" s="377"/>
      <c r="L234" s="339">
        <f t="shared" si="14"/>
        <v>0</v>
      </c>
      <c r="M234" s="340">
        <f t="shared" si="15"/>
        <v>0</v>
      </c>
      <c r="N234" s="340">
        <f t="shared" si="16"/>
        <v>0</v>
      </c>
    </row>
    <row r="235" spans="1:14" x14ac:dyDescent="0.15">
      <c r="A235" s="398">
        <f t="shared" si="13"/>
        <v>39929</v>
      </c>
      <c r="B235" s="331">
        <v>6.9330923096873817E-2</v>
      </c>
      <c r="C235" s="331">
        <v>4.3333333333333331E-3</v>
      </c>
      <c r="D235" s="331">
        <v>3.8166666666666668E-2</v>
      </c>
      <c r="E235" s="331">
        <v>8.4599999999999995E-2</v>
      </c>
      <c r="F235" s="331">
        <v>0</v>
      </c>
      <c r="H235" s="377"/>
      <c r="I235" s="377"/>
      <c r="J235" s="377"/>
      <c r="L235" s="339">
        <f t="shared" si="14"/>
        <v>0</v>
      </c>
      <c r="M235" s="340">
        <f t="shared" si="15"/>
        <v>0</v>
      </c>
      <c r="N235" s="340">
        <f t="shared" si="16"/>
        <v>0</v>
      </c>
    </row>
    <row r="236" spans="1:14" x14ac:dyDescent="0.15">
      <c r="A236" s="398">
        <f t="shared" si="13"/>
        <v>39930</v>
      </c>
      <c r="B236" s="331">
        <v>6.9330923096873817E-2</v>
      </c>
      <c r="C236" s="331">
        <v>4.3333333333333331E-3</v>
      </c>
      <c r="D236" s="331">
        <v>3.8166666666666668E-2</v>
      </c>
      <c r="E236" s="331">
        <v>8.4599999999999995E-2</v>
      </c>
      <c r="F236" s="331">
        <v>0</v>
      </c>
      <c r="H236" s="377"/>
      <c r="I236" s="377"/>
      <c r="J236" s="377"/>
      <c r="L236" s="339">
        <f t="shared" si="14"/>
        <v>0</v>
      </c>
      <c r="M236" s="340">
        <f t="shared" si="15"/>
        <v>0</v>
      </c>
      <c r="N236" s="340">
        <f t="shared" si="16"/>
        <v>0</v>
      </c>
    </row>
    <row r="237" spans="1:14" x14ac:dyDescent="0.15">
      <c r="A237" s="398">
        <f t="shared" si="13"/>
        <v>39931</v>
      </c>
      <c r="B237" s="331">
        <v>6.9330923096873817E-2</v>
      </c>
      <c r="C237" s="331">
        <v>4.3333333333333331E-3</v>
      </c>
      <c r="D237" s="331">
        <v>3.8166666666666668E-2</v>
      </c>
      <c r="E237" s="331">
        <v>8.4599999999999995E-2</v>
      </c>
      <c r="F237" s="331">
        <v>0</v>
      </c>
      <c r="H237" s="377"/>
      <c r="I237" s="377"/>
      <c r="J237" s="377"/>
      <c r="L237" s="339">
        <f t="shared" si="14"/>
        <v>0</v>
      </c>
      <c r="M237" s="340">
        <f t="shared" si="15"/>
        <v>0</v>
      </c>
      <c r="N237" s="340">
        <f t="shared" si="16"/>
        <v>0</v>
      </c>
    </row>
    <row r="238" spans="1:14" x14ac:dyDescent="0.15">
      <c r="A238" s="398">
        <f t="shared" si="13"/>
        <v>39932</v>
      </c>
      <c r="B238" s="331">
        <v>6.9330923096873817E-2</v>
      </c>
      <c r="C238" s="331">
        <v>4.3333333333333331E-3</v>
      </c>
      <c r="D238" s="331">
        <v>3.8166666666666668E-2</v>
      </c>
      <c r="E238" s="331">
        <v>8.4599999999999995E-2</v>
      </c>
      <c r="F238" s="331">
        <v>0</v>
      </c>
      <c r="H238" s="377"/>
      <c r="I238" s="377"/>
      <c r="J238" s="377"/>
      <c r="L238" s="339">
        <f t="shared" si="14"/>
        <v>0</v>
      </c>
      <c r="M238" s="340">
        <f t="shared" si="15"/>
        <v>0</v>
      </c>
      <c r="N238" s="340">
        <f t="shared" si="16"/>
        <v>0</v>
      </c>
    </row>
    <row r="239" spans="1:14" x14ac:dyDescent="0.15">
      <c r="A239" s="398">
        <f t="shared" si="13"/>
        <v>39933</v>
      </c>
      <c r="B239" s="331">
        <v>6.9330923096873817E-2</v>
      </c>
      <c r="C239" s="331">
        <v>4.3333333333333331E-3</v>
      </c>
      <c r="D239" s="331">
        <v>3.8166666666666668E-2</v>
      </c>
      <c r="E239" s="331">
        <v>8.4599999999999995E-2</v>
      </c>
      <c r="F239" s="331">
        <v>0</v>
      </c>
      <c r="H239" s="377"/>
      <c r="I239" s="377"/>
      <c r="J239" s="377"/>
      <c r="L239" s="339">
        <f t="shared" si="14"/>
        <v>0</v>
      </c>
      <c r="M239" s="340">
        <f t="shared" si="15"/>
        <v>0</v>
      </c>
      <c r="N239" s="340">
        <f t="shared" si="16"/>
        <v>0</v>
      </c>
    </row>
    <row r="240" spans="1:14" x14ac:dyDescent="0.15">
      <c r="A240" s="398">
        <f t="shared" si="13"/>
        <v>39934</v>
      </c>
      <c r="B240" s="331">
        <v>0.11592562278506183</v>
      </c>
      <c r="C240" s="331">
        <v>4.193548387096774E-3</v>
      </c>
      <c r="D240" s="331">
        <v>3.693548387096774E-2</v>
      </c>
      <c r="E240" s="331">
        <v>8.4599999999999995E-2</v>
      </c>
      <c r="F240" s="331">
        <v>0</v>
      </c>
      <c r="H240" s="377"/>
      <c r="I240" s="377"/>
      <c r="J240" s="377"/>
      <c r="L240" s="339">
        <f t="shared" si="14"/>
        <v>0</v>
      </c>
      <c r="M240" s="340">
        <f t="shared" si="15"/>
        <v>0</v>
      </c>
      <c r="N240" s="340">
        <f t="shared" si="16"/>
        <v>0</v>
      </c>
    </row>
    <row r="241" spans="1:14" x14ac:dyDescent="0.15">
      <c r="A241" s="398">
        <f t="shared" si="13"/>
        <v>39935</v>
      </c>
      <c r="B241" s="331">
        <v>0.11592562278506183</v>
      </c>
      <c r="C241" s="331">
        <v>4.193548387096774E-3</v>
      </c>
      <c r="D241" s="331">
        <v>3.693548387096774E-2</v>
      </c>
      <c r="E241" s="331">
        <v>8.4599999999999995E-2</v>
      </c>
      <c r="F241" s="331">
        <v>0</v>
      </c>
      <c r="H241" s="377"/>
      <c r="I241" s="377"/>
      <c r="J241" s="377"/>
      <c r="L241" s="339">
        <f t="shared" si="14"/>
        <v>0</v>
      </c>
      <c r="M241" s="340">
        <f t="shared" si="15"/>
        <v>0</v>
      </c>
      <c r="N241" s="340">
        <f t="shared" si="16"/>
        <v>0</v>
      </c>
    </row>
    <row r="242" spans="1:14" x14ac:dyDescent="0.15">
      <c r="A242" s="398">
        <f t="shared" si="13"/>
        <v>39936</v>
      </c>
      <c r="B242" s="331">
        <v>0.11592562278506183</v>
      </c>
      <c r="C242" s="331">
        <v>4.193548387096774E-3</v>
      </c>
      <c r="D242" s="331">
        <v>3.693548387096774E-2</v>
      </c>
      <c r="E242" s="331">
        <v>8.4599999999999995E-2</v>
      </c>
      <c r="F242" s="331">
        <v>0</v>
      </c>
      <c r="H242" s="377"/>
      <c r="I242" s="377"/>
      <c r="J242" s="377"/>
      <c r="L242" s="339">
        <f t="shared" si="14"/>
        <v>0</v>
      </c>
      <c r="M242" s="340">
        <f t="shared" si="15"/>
        <v>0</v>
      </c>
      <c r="N242" s="340">
        <f t="shared" si="16"/>
        <v>0</v>
      </c>
    </row>
    <row r="243" spans="1:14" x14ac:dyDescent="0.15">
      <c r="A243" s="398">
        <f t="shared" si="13"/>
        <v>39937</v>
      </c>
      <c r="B243" s="331">
        <v>0.11592562278506183</v>
      </c>
      <c r="C243" s="331">
        <v>4.193548387096774E-3</v>
      </c>
      <c r="D243" s="331">
        <v>3.693548387096774E-2</v>
      </c>
      <c r="E243" s="331">
        <v>8.4599999999999995E-2</v>
      </c>
      <c r="F243" s="331">
        <v>0</v>
      </c>
      <c r="H243" s="377"/>
      <c r="I243" s="377"/>
      <c r="J243" s="377"/>
      <c r="L243" s="339">
        <f t="shared" si="14"/>
        <v>0</v>
      </c>
      <c r="M243" s="340">
        <f t="shared" si="15"/>
        <v>0</v>
      </c>
      <c r="N243" s="340">
        <f t="shared" si="16"/>
        <v>0</v>
      </c>
    </row>
    <row r="244" spans="1:14" x14ac:dyDescent="0.15">
      <c r="A244" s="398">
        <f t="shared" si="13"/>
        <v>39938</v>
      </c>
      <c r="B244" s="331">
        <v>0.11592562278506183</v>
      </c>
      <c r="C244" s="331">
        <v>4.193548387096774E-3</v>
      </c>
      <c r="D244" s="331">
        <v>3.693548387096774E-2</v>
      </c>
      <c r="E244" s="331">
        <v>8.4599999999999995E-2</v>
      </c>
      <c r="F244" s="331">
        <v>0</v>
      </c>
      <c r="H244" s="377"/>
      <c r="I244" s="377"/>
      <c r="J244" s="377"/>
      <c r="L244" s="339">
        <f t="shared" si="14"/>
        <v>0</v>
      </c>
      <c r="M244" s="340">
        <f t="shared" si="15"/>
        <v>0</v>
      </c>
      <c r="N244" s="340">
        <f t="shared" si="16"/>
        <v>0</v>
      </c>
    </row>
    <row r="245" spans="1:14" x14ac:dyDescent="0.15">
      <c r="A245" s="398">
        <f t="shared" si="13"/>
        <v>39939</v>
      </c>
      <c r="B245" s="331">
        <v>0.11592562278506183</v>
      </c>
      <c r="C245" s="331">
        <v>4.193548387096774E-3</v>
      </c>
      <c r="D245" s="331">
        <v>3.693548387096774E-2</v>
      </c>
      <c r="E245" s="331">
        <v>8.4599999999999995E-2</v>
      </c>
      <c r="F245" s="331">
        <v>0</v>
      </c>
      <c r="H245" s="377"/>
      <c r="I245" s="377"/>
      <c r="J245" s="377"/>
      <c r="L245" s="339">
        <f t="shared" si="14"/>
        <v>0</v>
      </c>
      <c r="M245" s="340">
        <f t="shared" si="15"/>
        <v>0</v>
      </c>
      <c r="N245" s="340">
        <f t="shared" si="16"/>
        <v>0</v>
      </c>
    </row>
    <row r="246" spans="1:14" x14ac:dyDescent="0.15">
      <c r="A246" s="398">
        <f t="shared" si="13"/>
        <v>39940</v>
      </c>
      <c r="B246" s="331">
        <v>0.11592562278506183</v>
      </c>
      <c r="C246" s="331">
        <v>4.193548387096774E-3</v>
      </c>
      <c r="D246" s="331">
        <v>3.693548387096774E-2</v>
      </c>
      <c r="E246" s="331">
        <v>8.4599999999999995E-2</v>
      </c>
      <c r="F246" s="331">
        <v>0</v>
      </c>
      <c r="H246" s="377"/>
      <c r="I246" s="377"/>
      <c r="J246" s="377"/>
      <c r="L246" s="339">
        <f t="shared" si="14"/>
        <v>0</v>
      </c>
      <c r="M246" s="340">
        <f t="shared" si="15"/>
        <v>0</v>
      </c>
      <c r="N246" s="340">
        <f t="shared" si="16"/>
        <v>0</v>
      </c>
    </row>
    <row r="247" spans="1:14" x14ac:dyDescent="0.15">
      <c r="A247" s="398">
        <f t="shared" si="13"/>
        <v>39941</v>
      </c>
      <c r="B247" s="331">
        <v>0.11592562278506183</v>
      </c>
      <c r="C247" s="331">
        <v>4.193548387096774E-3</v>
      </c>
      <c r="D247" s="331">
        <v>3.693548387096774E-2</v>
      </c>
      <c r="E247" s="331">
        <v>8.4599999999999995E-2</v>
      </c>
      <c r="F247" s="331">
        <v>0</v>
      </c>
      <c r="H247" s="377"/>
      <c r="I247" s="377"/>
      <c r="J247" s="377"/>
      <c r="L247" s="339">
        <f t="shared" si="14"/>
        <v>0</v>
      </c>
      <c r="M247" s="340">
        <f t="shared" si="15"/>
        <v>0</v>
      </c>
      <c r="N247" s="340">
        <f t="shared" si="16"/>
        <v>0</v>
      </c>
    </row>
    <row r="248" spans="1:14" x14ac:dyDescent="0.15">
      <c r="A248" s="398">
        <f t="shared" si="13"/>
        <v>39942</v>
      </c>
      <c r="B248" s="331">
        <v>0.11592562278506183</v>
      </c>
      <c r="C248" s="331">
        <v>4.193548387096774E-3</v>
      </c>
      <c r="D248" s="331">
        <v>3.693548387096774E-2</v>
      </c>
      <c r="E248" s="331">
        <v>8.4599999999999995E-2</v>
      </c>
      <c r="F248" s="331">
        <v>0</v>
      </c>
      <c r="H248" s="377"/>
      <c r="I248" s="377"/>
      <c r="J248" s="377"/>
      <c r="L248" s="339">
        <f t="shared" si="14"/>
        <v>0</v>
      </c>
      <c r="M248" s="340">
        <f t="shared" si="15"/>
        <v>0</v>
      </c>
      <c r="N248" s="340">
        <f t="shared" si="16"/>
        <v>0</v>
      </c>
    </row>
    <row r="249" spans="1:14" x14ac:dyDescent="0.15">
      <c r="A249" s="398">
        <f t="shared" si="13"/>
        <v>39943</v>
      </c>
      <c r="B249" s="331">
        <v>0.11592562278506183</v>
      </c>
      <c r="C249" s="331">
        <v>4.193548387096774E-3</v>
      </c>
      <c r="D249" s="331">
        <v>3.693548387096774E-2</v>
      </c>
      <c r="E249" s="331">
        <v>8.4599999999999995E-2</v>
      </c>
      <c r="F249" s="331">
        <v>0</v>
      </c>
      <c r="H249" s="377"/>
      <c r="I249" s="377"/>
      <c r="J249" s="377"/>
      <c r="L249" s="339">
        <f t="shared" si="14"/>
        <v>0</v>
      </c>
      <c r="M249" s="340">
        <f t="shared" si="15"/>
        <v>0</v>
      </c>
      <c r="N249" s="340">
        <f t="shared" si="16"/>
        <v>0</v>
      </c>
    </row>
    <row r="250" spans="1:14" x14ac:dyDescent="0.15">
      <c r="A250" s="398">
        <f t="shared" si="13"/>
        <v>39944</v>
      </c>
      <c r="B250" s="331">
        <v>0.11592562278506183</v>
      </c>
      <c r="C250" s="331">
        <v>4.193548387096774E-3</v>
      </c>
      <c r="D250" s="331">
        <v>3.693548387096774E-2</v>
      </c>
      <c r="E250" s="331">
        <v>8.4599999999999995E-2</v>
      </c>
      <c r="F250" s="331">
        <v>0</v>
      </c>
      <c r="H250" s="377"/>
      <c r="I250" s="377"/>
      <c r="J250" s="377"/>
      <c r="L250" s="339">
        <f t="shared" si="14"/>
        <v>0</v>
      </c>
      <c r="M250" s="340">
        <f t="shared" si="15"/>
        <v>0</v>
      </c>
      <c r="N250" s="340">
        <f t="shared" si="16"/>
        <v>0</v>
      </c>
    </row>
    <row r="251" spans="1:14" x14ac:dyDescent="0.15">
      <c r="A251" s="398">
        <f t="shared" si="13"/>
        <v>39945</v>
      </c>
      <c r="B251" s="331">
        <v>0.11592562278506183</v>
      </c>
      <c r="C251" s="331">
        <v>4.193548387096774E-3</v>
      </c>
      <c r="D251" s="331">
        <v>3.693548387096774E-2</v>
      </c>
      <c r="E251" s="331">
        <v>8.4599999999999995E-2</v>
      </c>
      <c r="F251" s="331">
        <v>0</v>
      </c>
      <c r="H251" s="377"/>
      <c r="I251" s="377"/>
      <c r="J251" s="377"/>
      <c r="L251" s="339">
        <f t="shared" si="14"/>
        <v>0</v>
      </c>
      <c r="M251" s="340">
        <f t="shared" si="15"/>
        <v>0</v>
      </c>
      <c r="N251" s="340">
        <f t="shared" si="16"/>
        <v>0</v>
      </c>
    </row>
    <row r="252" spans="1:14" x14ac:dyDescent="0.15">
      <c r="A252" s="398">
        <f t="shared" ref="A252:A315" si="17">+A251+1</f>
        <v>39946</v>
      </c>
      <c r="B252" s="331">
        <v>0.11592562278506183</v>
      </c>
      <c r="C252" s="331">
        <v>4.193548387096774E-3</v>
      </c>
      <c r="D252" s="331">
        <v>3.693548387096774E-2</v>
      </c>
      <c r="E252" s="331">
        <v>8.4599999999999995E-2</v>
      </c>
      <c r="F252" s="331">
        <v>0</v>
      </c>
      <c r="H252" s="377"/>
      <c r="I252" s="377"/>
      <c r="J252" s="377"/>
      <c r="L252" s="339">
        <f t="shared" ref="L252:L315" si="18">+H253-H252</f>
        <v>0</v>
      </c>
      <c r="M252" s="340">
        <f t="shared" ref="M252:M315" si="19">+I253-I252</f>
        <v>0</v>
      </c>
      <c r="N252" s="340">
        <f t="shared" ref="N252:N315" si="20">+J253-J252</f>
        <v>0</v>
      </c>
    </row>
    <row r="253" spans="1:14" x14ac:dyDescent="0.15">
      <c r="A253" s="398">
        <f t="shared" si="17"/>
        <v>39947</v>
      </c>
      <c r="B253" s="331">
        <v>0.11592562278506183</v>
      </c>
      <c r="C253" s="331">
        <v>4.193548387096774E-3</v>
      </c>
      <c r="D253" s="331">
        <v>3.693548387096774E-2</v>
      </c>
      <c r="E253" s="331">
        <v>8.4599999999999995E-2</v>
      </c>
      <c r="F253" s="331">
        <v>0</v>
      </c>
      <c r="H253" s="377"/>
      <c r="I253" s="377"/>
      <c r="J253" s="377"/>
      <c r="L253" s="339">
        <f t="shared" si="18"/>
        <v>0</v>
      </c>
      <c r="M253" s="340">
        <f t="shared" si="19"/>
        <v>0</v>
      </c>
      <c r="N253" s="340">
        <f t="shared" si="20"/>
        <v>0</v>
      </c>
    </row>
    <row r="254" spans="1:14" x14ac:dyDescent="0.15">
      <c r="A254" s="398">
        <f t="shared" si="17"/>
        <v>39948</v>
      </c>
      <c r="B254" s="331">
        <v>0.11592562278506183</v>
      </c>
      <c r="C254" s="331">
        <v>4.193548387096774E-3</v>
      </c>
      <c r="D254" s="331">
        <v>3.693548387096774E-2</v>
      </c>
      <c r="E254" s="331">
        <v>8.4599999999999995E-2</v>
      </c>
      <c r="F254" s="331">
        <v>0</v>
      </c>
      <c r="G254" s="397"/>
      <c r="H254" s="377"/>
      <c r="I254" s="377"/>
      <c r="J254" s="377"/>
      <c r="L254" s="339">
        <f t="shared" si="18"/>
        <v>0</v>
      </c>
      <c r="M254" s="340">
        <f t="shared" si="19"/>
        <v>0</v>
      </c>
      <c r="N254" s="340">
        <f t="shared" si="20"/>
        <v>0</v>
      </c>
    </row>
    <row r="255" spans="1:14" x14ac:dyDescent="0.15">
      <c r="A255" s="398">
        <f t="shared" si="17"/>
        <v>39949</v>
      </c>
      <c r="B255" s="331">
        <v>0.11592562278506183</v>
      </c>
      <c r="C255" s="331">
        <v>4.193548387096774E-3</v>
      </c>
      <c r="D255" s="331">
        <v>3.693548387096774E-2</v>
      </c>
      <c r="E255" s="331">
        <v>8.4599999999999995E-2</v>
      </c>
      <c r="F255" s="331">
        <v>0</v>
      </c>
      <c r="H255" s="377"/>
      <c r="I255" s="377"/>
      <c r="J255" s="377"/>
      <c r="L255" s="339">
        <f t="shared" si="18"/>
        <v>0</v>
      </c>
      <c r="M255" s="340">
        <f t="shared" si="19"/>
        <v>0</v>
      </c>
      <c r="N255" s="340">
        <f t="shared" si="20"/>
        <v>0</v>
      </c>
    </row>
    <row r="256" spans="1:14" x14ac:dyDescent="0.15">
      <c r="A256" s="398">
        <f t="shared" si="17"/>
        <v>39950</v>
      </c>
      <c r="B256" s="331">
        <v>0.11592562278506183</v>
      </c>
      <c r="C256" s="331">
        <v>4.193548387096774E-3</v>
      </c>
      <c r="D256" s="331">
        <v>3.693548387096774E-2</v>
      </c>
      <c r="E256" s="331">
        <v>8.4599999999999995E-2</v>
      </c>
      <c r="F256" s="331">
        <v>0</v>
      </c>
      <c r="H256" s="377"/>
      <c r="I256" s="377"/>
      <c r="J256" s="377"/>
      <c r="L256" s="339">
        <f t="shared" si="18"/>
        <v>0</v>
      </c>
      <c r="M256" s="340">
        <f t="shared" si="19"/>
        <v>0</v>
      </c>
      <c r="N256" s="340">
        <f t="shared" si="20"/>
        <v>0</v>
      </c>
    </row>
    <row r="257" spans="1:14" x14ac:dyDescent="0.15">
      <c r="A257" s="398">
        <f t="shared" si="17"/>
        <v>39951</v>
      </c>
      <c r="B257" s="331">
        <v>0.11592562278506183</v>
      </c>
      <c r="C257" s="331">
        <v>4.193548387096774E-3</v>
      </c>
      <c r="D257" s="331">
        <v>3.693548387096774E-2</v>
      </c>
      <c r="E257" s="331">
        <v>8.4599999999999995E-2</v>
      </c>
      <c r="F257" s="331">
        <v>0</v>
      </c>
      <c r="H257" s="377"/>
      <c r="I257" s="377"/>
      <c r="J257" s="377"/>
      <c r="L257" s="339">
        <f t="shared" si="18"/>
        <v>0</v>
      </c>
      <c r="M257" s="340">
        <f t="shared" si="19"/>
        <v>0</v>
      </c>
      <c r="N257" s="340">
        <f t="shared" si="20"/>
        <v>0</v>
      </c>
    </row>
    <row r="258" spans="1:14" x14ac:dyDescent="0.15">
      <c r="A258" s="398">
        <f t="shared" si="17"/>
        <v>39952</v>
      </c>
      <c r="B258" s="331">
        <v>0.11592562278506183</v>
      </c>
      <c r="C258" s="331">
        <v>4.193548387096774E-3</v>
      </c>
      <c r="D258" s="331">
        <v>3.693548387096774E-2</v>
      </c>
      <c r="E258" s="331">
        <v>8.4599999999999995E-2</v>
      </c>
      <c r="F258" s="331">
        <v>0</v>
      </c>
      <c r="H258" s="377"/>
      <c r="I258" s="377"/>
      <c r="J258" s="377"/>
      <c r="L258" s="339">
        <f t="shared" si="18"/>
        <v>0</v>
      </c>
      <c r="M258" s="340">
        <f t="shared" si="19"/>
        <v>0</v>
      </c>
      <c r="N258" s="340">
        <f t="shared" si="20"/>
        <v>0</v>
      </c>
    </row>
    <row r="259" spans="1:14" x14ac:dyDescent="0.15">
      <c r="A259" s="398">
        <f t="shared" si="17"/>
        <v>39953</v>
      </c>
      <c r="B259" s="331">
        <v>0.11592562278506183</v>
      </c>
      <c r="C259" s="331">
        <v>4.193548387096774E-3</v>
      </c>
      <c r="D259" s="331">
        <v>3.693548387096774E-2</v>
      </c>
      <c r="E259" s="331">
        <v>8.4599999999999995E-2</v>
      </c>
      <c r="F259" s="331">
        <v>0</v>
      </c>
      <c r="H259" s="377"/>
      <c r="I259" s="377"/>
      <c r="J259" s="377"/>
      <c r="L259" s="339">
        <f t="shared" si="18"/>
        <v>0</v>
      </c>
      <c r="M259" s="340">
        <f t="shared" si="19"/>
        <v>0</v>
      </c>
      <c r="N259" s="340">
        <f t="shared" si="20"/>
        <v>0</v>
      </c>
    </row>
    <row r="260" spans="1:14" x14ac:dyDescent="0.15">
      <c r="A260" s="398">
        <f t="shared" si="17"/>
        <v>39954</v>
      </c>
      <c r="B260" s="331">
        <v>0.11592562278506183</v>
      </c>
      <c r="C260" s="331">
        <v>4.193548387096774E-3</v>
      </c>
      <c r="D260" s="331">
        <v>3.693548387096774E-2</v>
      </c>
      <c r="E260" s="331">
        <v>8.4599999999999995E-2</v>
      </c>
      <c r="F260" s="331">
        <v>0</v>
      </c>
      <c r="H260" s="377"/>
      <c r="I260" s="377"/>
      <c r="J260" s="377"/>
      <c r="L260" s="339">
        <f t="shared" si="18"/>
        <v>0</v>
      </c>
      <c r="M260" s="340">
        <f t="shared" si="19"/>
        <v>0</v>
      </c>
      <c r="N260" s="340">
        <f t="shared" si="20"/>
        <v>0</v>
      </c>
    </row>
    <row r="261" spans="1:14" x14ac:dyDescent="0.15">
      <c r="A261" s="398">
        <f t="shared" si="17"/>
        <v>39955</v>
      </c>
      <c r="B261" s="331">
        <v>0.11592562278506183</v>
      </c>
      <c r="C261" s="331">
        <v>4.193548387096774E-3</v>
      </c>
      <c r="D261" s="331">
        <v>3.693548387096774E-2</v>
      </c>
      <c r="E261" s="331">
        <v>8.4599999999999995E-2</v>
      </c>
      <c r="F261" s="331">
        <v>0</v>
      </c>
      <c r="H261" s="377"/>
      <c r="I261" s="377"/>
      <c r="J261" s="377"/>
      <c r="L261" s="339">
        <f t="shared" si="18"/>
        <v>0</v>
      </c>
      <c r="M261" s="340">
        <f t="shared" si="19"/>
        <v>0</v>
      </c>
      <c r="N261" s="340">
        <f t="shared" si="20"/>
        <v>0</v>
      </c>
    </row>
    <row r="262" spans="1:14" x14ac:dyDescent="0.15">
      <c r="A262" s="398">
        <f t="shared" si="17"/>
        <v>39956</v>
      </c>
      <c r="B262" s="331">
        <v>0.11592562278506183</v>
      </c>
      <c r="C262" s="331">
        <v>4.193548387096774E-3</v>
      </c>
      <c r="D262" s="331">
        <v>3.693548387096774E-2</v>
      </c>
      <c r="E262" s="331">
        <v>8.4599999999999995E-2</v>
      </c>
      <c r="F262" s="331">
        <v>0</v>
      </c>
      <c r="H262" s="377"/>
      <c r="I262" s="377"/>
      <c r="J262" s="377"/>
      <c r="L262" s="339">
        <f t="shared" si="18"/>
        <v>0</v>
      </c>
      <c r="M262" s="340">
        <f t="shared" si="19"/>
        <v>0</v>
      </c>
      <c r="N262" s="340">
        <f t="shared" si="20"/>
        <v>0</v>
      </c>
    </row>
    <row r="263" spans="1:14" x14ac:dyDescent="0.15">
      <c r="A263" s="398">
        <f t="shared" si="17"/>
        <v>39957</v>
      </c>
      <c r="B263" s="331">
        <v>0.11592562278506183</v>
      </c>
      <c r="C263" s="331">
        <v>4.193548387096774E-3</v>
      </c>
      <c r="D263" s="331">
        <v>3.693548387096774E-2</v>
      </c>
      <c r="E263" s="331">
        <v>8.4599999999999995E-2</v>
      </c>
      <c r="F263" s="331">
        <v>0</v>
      </c>
      <c r="H263" s="377"/>
      <c r="I263" s="377"/>
      <c r="J263" s="377"/>
      <c r="L263" s="339">
        <f t="shared" si="18"/>
        <v>0</v>
      </c>
      <c r="M263" s="340">
        <f t="shared" si="19"/>
        <v>0</v>
      </c>
      <c r="N263" s="340">
        <f t="shared" si="20"/>
        <v>0</v>
      </c>
    </row>
    <row r="264" spans="1:14" x14ac:dyDescent="0.15">
      <c r="A264" s="398">
        <f t="shared" si="17"/>
        <v>39958</v>
      </c>
      <c r="B264" s="331">
        <v>0.11592562278506183</v>
      </c>
      <c r="C264" s="331">
        <v>4.193548387096774E-3</v>
      </c>
      <c r="D264" s="331">
        <v>3.693548387096774E-2</v>
      </c>
      <c r="E264" s="331">
        <v>8.4599999999999995E-2</v>
      </c>
      <c r="F264" s="331">
        <v>0</v>
      </c>
      <c r="H264" s="377"/>
      <c r="I264" s="377"/>
      <c r="J264" s="377"/>
      <c r="L264" s="339">
        <f t="shared" si="18"/>
        <v>0</v>
      </c>
      <c r="M264" s="340">
        <f t="shared" si="19"/>
        <v>0</v>
      </c>
      <c r="N264" s="340">
        <f t="shared" si="20"/>
        <v>0</v>
      </c>
    </row>
    <row r="265" spans="1:14" x14ac:dyDescent="0.15">
      <c r="A265" s="398">
        <f t="shared" si="17"/>
        <v>39959</v>
      </c>
      <c r="B265" s="331">
        <v>0.11592562278506183</v>
      </c>
      <c r="C265" s="331">
        <v>4.193548387096774E-3</v>
      </c>
      <c r="D265" s="331">
        <v>3.693548387096774E-2</v>
      </c>
      <c r="E265" s="331">
        <v>8.4599999999999995E-2</v>
      </c>
      <c r="F265" s="331">
        <v>0</v>
      </c>
      <c r="H265" s="377"/>
      <c r="I265" s="377"/>
      <c r="J265" s="377"/>
      <c r="L265" s="339">
        <f t="shared" si="18"/>
        <v>0</v>
      </c>
      <c r="M265" s="340">
        <f t="shared" si="19"/>
        <v>0</v>
      </c>
      <c r="N265" s="340">
        <f t="shared" si="20"/>
        <v>0</v>
      </c>
    </row>
    <row r="266" spans="1:14" x14ac:dyDescent="0.15">
      <c r="A266" s="398">
        <f t="shared" si="17"/>
        <v>39960</v>
      </c>
      <c r="B266" s="331">
        <v>0.11592562278506183</v>
      </c>
      <c r="C266" s="331">
        <v>4.193548387096774E-3</v>
      </c>
      <c r="D266" s="331">
        <v>3.693548387096774E-2</v>
      </c>
      <c r="E266" s="331">
        <v>8.4599999999999995E-2</v>
      </c>
      <c r="F266" s="331">
        <v>0</v>
      </c>
      <c r="H266" s="377"/>
      <c r="I266" s="377"/>
      <c r="J266" s="377"/>
      <c r="L266" s="339">
        <f t="shared" si="18"/>
        <v>0</v>
      </c>
      <c r="M266" s="340">
        <f t="shared" si="19"/>
        <v>0</v>
      </c>
      <c r="N266" s="340">
        <f t="shared" si="20"/>
        <v>0</v>
      </c>
    </row>
    <row r="267" spans="1:14" x14ac:dyDescent="0.15">
      <c r="A267" s="398">
        <f t="shared" si="17"/>
        <v>39961</v>
      </c>
      <c r="B267" s="331">
        <v>0.11592562278506183</v>
      </c>
      <c r="C267" s="331">
        <v>4.193548387096774E-3</v>
      </c>
      <c r="D267" s="331">
        <v>3.693548387096774E-2</v>
      </c>
      <c r="E267" s="331">
        <v>8.4599999999999995E-2</v>
      </c>
      <c r="F267" s="331">
        <v>0</v>
      </c>
      <c r="H267" s="377"/>
      <c r="I267" s="377"/>
      <c r="J267" s="377"/>
      <c r="L267" s="339">
        <f t="shared" si="18"/>
        <v>0</v>
      </c>
      <c r="M267" s="340">
        <f t="shared" si="19"/>
        <v>0</v>
      </c>
      <c r="N267" s="340">
        <f t="shared" si="20"/>
        <v>0</v>
      </c>
    </row>
    <row r="268" spans="1:14" x14ac:dyDescent="0.15">
      <c r="A268" s="398">
        <f t="shared" si="17"/>
        <v>39962</v>
      </c>
      <c r="B268" s="331">
        <v>0.11592562278506183</v>
      </c>
      <c r="C268" s="331">
        <v>4.193548387096774E-3</v>
      </c>
      <c r="D268" s="331">
        <v>3.693548387096774E-2</v>
      </c>
      <c r="E268" s="331">
        <v>8.4599999999999995E-2</v>
      </c>
      <c r="F268" s="331">
        <v>0</v>
      </c>
      <c r="H268" s="377"/>
      <c r="I268" s="377"/>
      <c r="J268" s="377"/>
      <c r="L268" s="339">
        <f t="shared" si="18"/>
        <v>0</v>
      </c>
      <c r="M268" s="340">
        <f t="shared" si="19"/>
        <v>0</v>
      </c>
      <c r="N268" s="340">
        <f t="shared" si="20"/>
        <v>0</v>
      </c>
    </row>
    <row r="269" spans="1:14" x14ac:dyDescent="0.15">
      <c r="A269" s="398">
        <f t="shared" si="17"/>
        <v>39963</v>
      </c>
      <c r="B269" s="331">
        <v>0.11592562278506183</v>
      </c>
      <c r="C269" s="331">
        <v>4.193548387096774E-3</v>
      </c>
      <c r="D269" s="331">
        <v>3.693548387096774E-2</v>
      </c>
      <c r="E269" s="331">
        <v>8.4599999999999995E-2</v>
      </c>
      <c r="F269" s="331">
        <v>0</v>
      </c>
      <c r="H269" s="377"/>
      <c r="I269" s="377"/>
      <c r="J269" s="377"/>
      <c r="L269" s="339">
        <f t="shared" si="18"/>
        <v>0</v>
      </c>
      <c r="M269" s="340">
        <f t="shared" si="19"/>
        <v>0</v>
      </c>
      <c r="N269" s="340">
        <f t="shared" si="20"/>
        <v>0</v>
      </c>
    </row>
    <row r="270" spans="1:14" x14ac:dyDescent="0.15">
      <c r="A270" s="398">
        <f t="shared" si="17"/>
        <v>39964</v>
      </c>
      <c r="B270" s="331">
        <v>0.11592562278506183</v>
      </c>
      <c r="C270" s="331">
        <v>4.193548387096774E-3</v>
      </c>
      <c r="D270" s="331">
        <v>3.693548387096774E-2</v>
      </c>
      <c r="E270" s="331">
        <v>8.4599999999999995E-2</v>
      </c>
      <c r="F270" s="331">
        <v>0</v>
      </c>
      <c r="H270" s="377"/>
      <c r="I270" s="377"/>
      <c r="J270" s="377"/>
      <c r="L270" s="339">
        <f t="shared" si="18"/>
        <v>0</v>
      </c>
      <c r="M270" s="340">
        <f t="shared" si="19"/>
        <v>0</v>
      </c>
      <c r="N270" s="340">
        <f t="shared" si="20"/>
        <v>0</v>
      </c>
    </row>
    <row r="271" spans="1:14" x14ac:dyDescent="0.15">
      <c r="A271" s="398">
        <f t="shared" si="17"/>
        <v>39965</v>
      </c>
      <c r="B271" s="331">
        <v>0.12204225262006124</v>
      </c>
      <c r="C271" s="331">
        <v>4.3333333333333331E-3</v>
      </c>
      <c r="D271" s="331">
        <v>3.8166666666666668E-2</v>
      </c>
      <c r="E271" s="331">
        <v>8.4599999999999995E-2</v>
      </c>
      <c r="F271" s="331">
        <v>0</v>
      </c>
      <c r="H271" s="377"/>
      <c r="I271" s="377"/>
      <c r="J271" s="377"/>
      <c r="L271" s="339">
        <f t="shared" si="18"/>
        <v>0</v>
      </c>
      <c r="M271" s="340">
        <f t="shared" si="19"/>
        <v>0</v>
      </c>
      <c r="N271" s="340">
        <f t="shared" si="20"/>
        <v>0</v>
      </c>
    </row>
    <row r="272" spans="1:14" x14ac:dyDescent="0.15">
      <c r="A272" s="398">
        <f t="shared" si="17"/>
        <v>39966</v>
      </c>
      <c r="B272" s="331">
        <v>0.12204225262006124</v>
      </c>
      <c r="C272" s="331">
        <v>4.3333333333333331E-3</v>
      </c>
      <c r="D272" s="331">
        <v>3.8166666666666668E-2</v>
      </c>
      <c r="E272" s="331">
        <v>8.4599999999999995E-2</v>
      </c>
      <c r="F272" s="331">
        <v>0</v>
      </c>
      <c r="H272" s="377"/>
      <c r="I272" s="377"/>
      <c r="J272" s="377"/>
      <c r="L272" s="339">
        <f t="shared" si="18"/>
        <v>0</v>
      </c>
      <c r="M272" s="340">
        <f t="shared" si="19"/>
        <v>0</v>
      </c>
      <c r="N272" s="340">
        <f t="shared" si="20"/>
        <v>0</v>
      </c>
    </row>
    <row r="273" spans="1:14" x14ac:dyDescent="0.15">
      <c r="A273" s="398">
        <f t="shared" si="17"/>
        <v>39967</v>
      </c>
      <c r="B273" s="331">
        <v>0.12204225262006124</v>
      </c>
      <c r="C273" s="331">
        <v>4.3333333333333331E-3</v>
      </c>
      <c r="D273" s="331">
        <v>3.8166666666666668E-2</v>
      </c>
      <c r="E273" s="331">
        <v>8.4599999999999995E-2</v>
      </c>
      <c r="F273" s="331">
        <v>0</v>
      </c>
      <c r="H273" s="377"/>
      <c r="I273" s="377"/>
      <c r="J273" s="377"/>
      <c r="L273" s="339">
        <f t="shared" si="18"/>
        <v>0</v>
      </c>
      <c r="M273" s="340">
        <f t="shared" si="19"/>
        <v>0</v>
      </c>
      <c r="N273" s="340">
        <f t="shared" si="20"/>
        <v>0</v>
      </c>
    </row>
    <row r="274" spans="1:14" x14ac:dyDescent="0.15">
      <c r="A274" s="398">
        <f t="shared" si="17"/>
        <v>39968</v>
      </c>
      <c r="B274" s="331">
        <v>0.12204225262006124</v>
      </c>
      <c r="C274" s="331">
        <v>4.3333333333333331E-3</v>
      </c>
      <c r="D274" s="331">
        <v>3.8166666666666668E-2</v>
      </c>
      <c r="E274" s="331">
        <v>8.4599999999999995E-2</v>
      </c>
      <c r="F274" s="331">
        <v>0</v>
      </c>
      <c r="H274" s="377"/>
      <c r="I274" s="377"/>
      <c r="J274" s="377"/>
      <c r="L274" s="339">
        <f t="shared" si="18"/>
        <v>0</v>
      </c>
      <c r="M274" s="340">
        <f t="shared" si="19"/>
        <v>0</v>
      </c>
      <c r="N274" s="340">
        <f t="shared" si="20"/>
        <v>0</v>
      </c>
    </row>
    <row r="275" spans="1:14" x14ac:dyDescent="0.15">
      <c r="A275" s="398">
        <f t="shared" si="17"/>
        <v>39969</v>
      </c>
      <c r="B275" s="331">
        <v>0.12204225262006124</v>
      </c>
      <c r="C275" s="331">
        <v>4.3333333333333331E-3</v>
      </c>
      <c r="D275" s="331">
        <v>3.8166666666666668E-2</v>
      </c>
      <c r="E275" s="331">
        <v>8.4599999999999995E-2</v>
      </c>
      <c r="F275" s="331">
        <v>0</v>
      </c>
      <c r="H275" s="377"/>
      <c r="I275" s="377"/>
      <c r="J275" s="377"/>
      <c r="L275" s="339">
        <f t="shared" si="18"/>
        <v>0</v>
      </c>
      <c r="M275" s="340">
        <f t="shared" si="19"/>
        <v>0</v>
      </c>
      <c r="N275" s="340">
        <f t="shared" si="20"/>
        <v>0</v>
      </c>
    </row>
    <row r="276" spans="1:14" x14ac:dyDescent="0.15">
      <c r="A276" s="398">
        <f t="shared" si="17"/>
        <v>39970</v>
      </c>
      <c r="B276" s="331">
        <v>0.12204225262006124</v>
      </c>
      <c r="C276" s="331">
        <v>4.3333333333333331E-3</v>
      </c>
      <c r="D276" s="331">
        <v>3.8166666666666668E-2</v>
      </c>
      <c r="E276" s="331">
        <v>8.4599999999999995E-2</v>
      </c>
      <c r="F276" s="331">
        <v>0</v>
      </c>
      <c r="H276" s="377"/>
      <c r="I276" s="377"/>
      <c r="J276" s="377"/>
      <c r="L276" s="339">
        <f t="shared" si="18"/>
        <v>0</v>
      </c>
      <c r="M276" s="340">
        <f t="shared" si="19"/>
        <v>0</v>
      </c>
      <c r="N276" s="340">
        <f t="shared" si="20"/>
        <v>0</v>
      </c>
    </row>
    <row r="277" spans="1:14" x14ac:dyDescent="0.15">
      <c r="A277" s="398">
        <f t="shared" si="17"/>
        <v>39971</v>
      </c>
      <c r="B277" s="331">
        <v>0.12204225262006124</v>
      </c>
      <c r="C277" s="331">
        <v>4.3333333333333331E-3</v>
      </c>
      <c r="D277" s="331">
        <v>3.8166666666666668E-2</v>
      </c>
      <c r="E277" s="331">
        <v>8.4599999999999995E-2</v>
      </c>
      <c r="F277" s="331">
        <v>0</v>
      </c>
      <c r="H277" s="377"/>
      <c r="I277" s="377"/>
      <c r="J277" s="377"/>
      <c r="L277" s="339">
        <f t="shared" si="18"/>
        <v>0</v>
      </c>
      <c r="M277" s="340">
        <f t="shared" si="19"/>
        <v>0</v>
      </c>
      <c r="N277" s="340">
        <f t="shared" si="20"/>
        <v>0</v>
      </c>
    </row>
    <row r="278" spans="1:14" x14ac:dyDescent="0.15">
      <c r="A278" s="398">
        <f t="shared" si="17"/>
        <v>39972</v>
      </c>
      <c r="B278" s="331">
        <v>0.12204225262006124</v>
      </c>
      <c r="C278" s="331">
        <v>4.3333333333333331E-3</v>
      </c>
      <c r="D278" s="331">
        <v>3.8166666666666668E-2</v>
      </c>
      <c r="E278" s="331">
        <v>8.4599999999999995E-2</v>
      </c>
      <c r="F278" s="331">
        <v>0</v>
      </c>
      <c r="H278" s="377"/>
      <c r="I278" s="377"/>
      <c r="J278" s="377"/>
      <c r="L278" s="339">
        <f t="shared" si="18"/>
        <v>0</v>
      </c>
      <c r="M278" s="340">
        <f t="shared" si="19"/>
        <v>0</v>
      </c>
      <c r="N278" s="340">
        <f t="shared" si="20"/>
        <v>0</v>
      </c>
    </row>
    <row r="279" spans="1:14" x14ac:dyDescent="0.15">
      <c r="A279" s="398">
        <f t="shared" si="17"/>
        <v>39973</v>
      </c>
      <c r="B279" s="331">
        <v>0.12204225262006124</v>
      </c>
      <c r="C279" s="331">
        <v>4.3333333333333331E-3</v>
      </c>
      <c r="D279" s="331">
        <v>3.8166666666666668E-2</v>
      </c>
      <c r="E279" s="331">
        <v>8.4599999999999995E-2</v>
      </c>
      <c r="F279" s="331">
        <v>0</v>
      </c>
      <c r="H279" s="377"/>
      <c r="I279" s="377"/>
      <c r="J279" s="377"/>
      <c r="L279" s="339">
        <f t="shared" si="18"/>
        <v>0</v>
      </c>
      <c r="M279" s="340">
        <f t="shared" si="19"/>
        <v>0</v>
      </c>
      <c r="N279" s="340">
        <f t="shared" si="20"/>
        <v>0</v>
      </c>
    </row>
    <row r="280" spans="1:14" x14ac:dyDescent="0.15">
      <c r="A280" s="398">
        <f t="shared" si="17"/>
        <v>39974</v>
      </c>
      <c r="B280" s="331">
        <v>0.12204225262006124</v>
      </c>
      <c r="C280" s="331">
        <v>4.3333333333333331E-3</v>
      </c>
      <c r="D280" s="331">
        <v>3.8166666666666668E-2</v>
      </c>
      <c r="E280" s="331">
        <v>8.4599999999999995E-2</v>
      </c>
      <c r="F280" s="331">
        <v>0</v>
      </c>
      <c r="H280" s="377"/>
      <c r="I280" s="377"/>
      <c r="J280" s="377"/>
      <c r="L280" s="339">
        <f t="shared" si="18"/>
        <v>0</v>
      </c>
      <c r="M280" s="340">
        <f t="shared" si="19"/>
        <v>0</v>
      </c>
      <c r="N280" s="340">
        <f t="shared" si="20"/>
        <v>0</v>
      </c>
    </row>
    <row r="281" spans="1:14" x14ac:dyDescent="0.15">
      <c r="A281" s="398">
        <f t="shared" si="17"/>
        <v>39975</v>
      </c>
      <c r="B281" s="331">
        <v>0.12204225262006124</v>
      </c>
      <c r="C281" s="331">
        <v>4.3333333333333331E-3</v>
      </c>
      <c r="D281" s="331">
        <v>3.8166666666666668E-2</v>
      </c>
      <c r="E281" s="331">
        <v>8.4599999999999995E-2</v>
      </c>
      <c r="F281" s="331">
        <v>0</v>
      </c>
      <c r="H281" s="377"/>
      <c r="I281" s="377"/>
      <c r="J281" s="377"/>
      <c r="L281" s="339">
        <f t="shared" si="18"/>
        <v>0</v>
      </c>
      <c r="M281" s="340">
        <f t="shared" si="19"/>
        <v>0</v>
      </c>
      <c r="N281" s="340">
        <f t="shared" si="20"/>
        <v>0</v>
      </c>
    </row>
    <row r="282" spans="1:14" x14ac:dyDescent="0.15">
      <c r="A282" s="398">
        <f t="shared" si="17"/>
        <v>39976</v>
      </c>
      <c r="B282" s="331">
        <v>0.12204225262006124</v>
      </c>
      <c r="C282" s="331">
        <v>4.3333333333333331E-3</v>
      </c>
      <c r="D282" s="331">
        <v>3.8166666666666668E-2</v>
      </c>
      <c r="E282" s="331">
        <v>8.4599999999999995E-2</v>
      </c>
      <c r="F282" s="331">
        <v>0</v>
      </c>
      <c r="H282" s="377"/>
      <c r="I282" s="377"/>
      <c r="J282" s="377"/>
      <c r="L282" s="339">
        <f t="shared" si="18"/>
        <v>0</v>
      </c>
      <c r="M282" s="340">
        <f t="shared" si="19"/>
        <v>0</v>
      </c>
      <c r="N282" s="340">
        <f t="shared" si="20"/>
        <v>0</v>
      </c>
    </row>
    <row r="283" spans="1:14" x14ac:dyDescent="0.15">
      <c r="A283" s="398">
        <f t="shared" si="17"/>
        <v>39977</v>
      </c>
      <c r="B283" s="331">
        <v>0.12204225262006124</v>
      </c>
      <c r="C283" s="331">
        <v>4.3333333333333331E-3</v>
      </c>
      <c r="D283" s="331">
        <v>3.8166666666666668E-2</v>
      </c>
      <c r="E283" s="331">
        <v>8.4599999999999995E-2</v>
      </c>
      <c r="F283" s="331">
        <v>0</v>
      </c>
      <c r="G283" s="397"/>
      <c r="H283" s="377"/>
      <c r="I283" s="377"/>
      <c r="J283" s="377"/>
      <c r="L283" s="339">
        <f t="shared" si="18"/>
        <v>0</v>
      </c>
      <c r="M283" s="340">
        <f t="shared" si="19"/>
        <v>0</v>
      </c>
      <c r="N283" s="340">
        <f t="shared" si="20"/>
        <v>0</v>
      </c>
    </row>
    <row r="284" spans="1:14" x14ac:dyDescent="0.15">
      <c r="A284" s="398">
        <f t="shared" si="17"/>
        <v>39978</v>
      </c>
      <c r="B284" s="331">
        <v>0.12204225262006124</v>
      </c>
      <c r="C284" s="331">
        <v>4.3333333333333331E-3</v>
      </c>
      <c r="D284" s="331">
        <v>3.8166666666666668E-2</v>
      </c>
      <c r="E284" s="331">
        <v>8.4599999999999995E-2</v>
      </c>
      <c r="F284" s="331">
        <v>0</v>
      </c>
      <c r="H284" s="377"/>
      <c r="I284" s="377"/>
      <c r="J284" s="377"/>
      <c r="L284" s="339">
        <f t="shared" si="18"/>
        <v>0</v>
      </c>
      <c r="M284" s="340">
        <f t="shared" si="19"/>
        <v>0</v>
      </c>
      <c r="N284" s="340">
        <f t="shared" si="20"/>
        <v>0</v>
      </c>
    </row>
    <row r="285" spans="1:14" x14ac:dyDescent="0.15">
      <c r="A285" s="398">
        <f t="shared" si="17"/>
        <v>39979</v>
      </c>
      <c r="B285" s="331">
        <v>0.12204225262006124</v>
      </c>
      <c r="C285" s="331">
        <v>4.3333333333333331E-3</v>
      </c>
      <c r="D285" s="331">
        <v>3.8166666666666668E-2</v>
      </c>
      <c r="E285" s="331">
        <v>8.4599999999999995E-2</v>
      </c>
      <c r="F285" s="331">
        <v>0</v>
      </c>
      <c r="H285" s="377"/>
      <c r="I285" s="377"/>
      <c r="J285" s="377"/>
      <c r="L285" s="339">
        <f t="shared" si="18"/>
        <v>0</v>
      </c>
      <c r="M285" s="340">
        <f t="shared" si="19"/>
        <v>0</v>
      </c>
      <c r="N285" s="340">
        <f t="shared" si="20"/>
        <v>0</v>
      </c>
    </row>
    <row r="286" spans="1:14" x14ac:dyDescent="0.15">
      <c r="A286" s="398">
        <f t="shared" si="17"/>
        <v>39980</v>
      </c>
      <c r="B286" s="331">
        <v>0.12204225262006124</v>
      </c>
      <c r="C286" s="331">
        <v>4.3333333333333331E-3</v>
      </c>
      <c r="D286" s="331">
        <v>3.8166666666666668E-2</v>
      </c>
      <c r="E286" s="331">
        <v>8.4599999999999995E-2</v>
      </c>
      <c r="F286" s="331">
        <v>0</v>
      </c>
      <c r="H286" s="377"/>
      <c r="I286" s="377"/>
      <c r="J286" s="377"/>
      <c r="L286" s="339">
        <f t="shared" si="18"/>
        <v>0</v>
      </c>
      <c r="M286" s="340">
        <f t="shared" si="19"/>
        <v>0</v>
      </c>
      <c r="N286" s="340">
        <f t="shared" si="20"/>
        <v>0</v>
      </c>
    </row>
    <row r="287" spans="1:14" x14ac:dyDescent="0.15">
      <c r="A287" s="398">
        <f t="shared" si="17"/>
        <v>39981</v>
      </c>
      <c r="B287" s="331">
        <v>0.12204225262006124</v>
      </c>
      <c r="C287" s="331">
        <v>4.3333333333333331E-3</v>
      </c>
      <c r="D287" s="331">
        <v>3.8166666666666668E-2</v>
      </c>
      <c r="E287" s="331">
        <v>8.4599999999999995E-2</v>
      </c>
      <c r="F287" s="331">
        <v>0</v>
      </c>
      <c r="H287" s="377"/>
      <c r="I287" s="377"/>
      <c r="J287" s="377"/>
      <c r="L287" s="339">
        <f t="shared" si="18"/>
        <v>0</v>
      </c>
      <c r="M287" s="340">
        <f t="shared" si="19"/>
        <v>0</v>
      </c>
      <c r="N287" s="340">
        <f t="shared" si="20"/>
        <v>0</v>
      </c>
    </row>
    <row r="288" spans="1:14" x14ac:dyDescent="0.15">
      <c r="A288" s="398">
        <f t="shared" si="17"/>
        <v>39982</v>
      </c>
      <c r="B288" s="331">
        <v>0.12204225262006124</v>
      </c>
      <c r="C288" s="331">
        <v>4.3333333333333331E-3</v>
      </c>
      <c r="D288" s="331">
        <v>3.8166666666666668E-2</v>
      </c>
      <c r="E288" s="331">
        <v>8.4599999999999995E-2</v>
      </c>
      <c r="F288" s="331">
        <v>0</v>
      </c>
      <c r="H288" s="377"/>
      <c r="I288" s="377"/>
      <c r="J288" s="377"/>
      <c r="L288" s="339">
        <f t="shared" si="18"/>
        <v>0</v>
      </c>
      <c r="M288" s="340">
        <f t="shared" si="19"/>
        <v>0</v>
      </c>
      <c r="N288" s="340">
        <f t="shared" si="20"/>
        <v>0</v>
      </c>
    </row>
    <row r="289" spans="1:14" x14ac:dyDescent="0.15">
      <c r="A289" s="398">
        <f t="shared" si="17"/>
        <v>39983</v>
      </c>
      <c r="B289" s="331">
        <v>0.12204225262006124</v>
      </c>
      <c r="C289" s="331">
        <v>4.3333333333333331E-3</v>
      </c>
      <c r="D289" s="331">
        <v>3.8166666666666668E-2</v>
      </c>
      <c r="E289" s="331">
        <v>8.4599999999999995E-2</v>
      </c>
      <c r="F289" s="331">
        <v>0</v>
      </c>
      <c r="H289" s="377"/>
      <c r="I289" s="377"/>
      <c r="J289" s="377"/>
      <c r="L289" s="339">
        <f t="shared" si="18"/>
        <v>0</v>
      </c>
      <c r="M289" s="340">
        <f t="shared" si="19"/>
        <v>0</v>
      </c>
      <c r="N289" s="340">
        <f t="shared" si="20"/>
        <v>0</v>
      </c>
    </row>
    <row r="290" spans="1:14" x14ac:dyDescent="0.15">
      <c r="A290" s="398">
        <f t="shared" si="17"/>
        <v>39984</v>
      </c>
      <c r="B290" s="331">
        <v>0.12204225262006124</v>
      </c>
      <c r="C290" s="331">
        <v>4.3333333333333331E-3</v>
      </c>
      <c r="D290" s="331">
        <v>3.8166666666666668E-2</v>
      </c>
      <c r="E290" s="331">
        <v>8.4599999999999995E-2</v>
      </c>
      <c r="F290" s="331">
        <v>0</v>
      </c>
      <c r="H290" s="377"/>
      <c r="I290" s="377"/>
      <c r="J290" s="377"/>
      <c r="L290" s="339">
        <f t="shared" si="18"/>
        <v>0</v>
      </c>
      <c r="M290" s="340">
        <f t="shared" si="19"/>
        <v>0</v>
      </c>
      <c r="N290" s="340">
        <f t="shared" si="20"/>
        <v>0</v>
      </c>
    </row>
    <row r="291" spans="1:14" x14ac:dyDescent="0.15">
      <c r="A291" s="398">
        <f t="shared" si="17"/>
        <v>39985</v>
      </c>
      <c r="B291" s="331">
        <v>0.12204225262006124</v>
      </c>
      <c r="C291" s="331">
        <v>4.3333333333333331E-3</v>
      </c>
      <c r="D291" s="331">
        <v>3.8166666666666668E-2</v>
      </c>
      <c r="E291" s="331">
        <v>8.4599999999999995E-2</v>
      </c>
      <c r="F291" s="331">
        <v>0</v>
      </c>
      <c r="H291" s="377"/>
      <c r="I291" s="377"/>
      <c r="J291" s="377"/>
      <c r="L291" s="339">
        <f t="shared" si="18"/>
        <v>0</v>
      </c>
      <c r="M291" s="340">
        <f t="shared" si="19"/>
        <v>0</v>
      </c>
      <c r="N291" s="340">
        <f t="shared" si="20"/>
        <v>0</v>
      </c>
    </row>
    <row r="292" spans="1:14" x14ac:dyDescent="0.15">
      <c r="A292" s="398">
        <f t="shared" si="17"/>
        <v>39986</v>
      </c>
      <c r="B292" s="331">
        <v>0.12204225262006124</v>
      </c>
      <c r="C292" s="331">
        <v>4.3333333333333331E-3</v>
      </c>
      <c r="D292" s="331">
        <v>3.8166666666666668E-2</v>
      </c>
      <c r="E292" s="331">
        <v>8.4599999999999995E-2</v>
      </c>
      <c r="F292" s="331">
        <v>0</v>
      </c>
      <c r="H292" s="377"/>
      <c r="I292" s="377"/>
      <c r="J292" s="377"/>
      <c r="L292" s="339">
        <f t="shared" si="18"/>
        <v>0</v>
      </c>
      <c r="M292" s="340">
        <f t="shared" si="19"/>
        <v>0</v>
      </c>
      <c r="N292" s="340">
        <f t="shared" si="20"/>
        <v>0</v>
      </c>
    </row>
    <row r="293" spans="1:14" x14ac:dyDescent="0.15">
      <c r="A293" s="398">
        <f t="shared" si="17"/>
        <v>39987</v>
      </c>
      <c r="B293" s="331">
        <v>0.12204225262006124</v>
      </c>
      <c r="C293" s="331">
        <v>4.3333333333333331E-3</v>
      </c>
      <c r="D293" s="331">
        <v>3.8166666666666668E-2</v>
      </c>
      <c r="E293" s="331">
        <v>8.4599999999999995E-2</v>
      </c>
      <c r="F293" s="331">
        <v>0</v>
      </c>
      <c r="H293" s="377"/>
      <c r="I293" s="377"/>
      <c r="J293" s="377"/>
      <c r="L293" s="339">
        <f t="shared" si="18"/>
        <v>0</v>
      </c>
      <c r="M293" s="340">
        <f t="shared" si="19"/>
        <v>0</v>
      </c>
      <c r="N293" s="340">
        <f t="shared" si="20"/>
        <v>0</v>
      </c>
    </row>
    <row r="294" spans="1:14" x14ac:dyDescent="0.15">
      <c r="A294" s="398">
        <f t="shared" si="17"/>
        <v>39988</v>
      </c>
      <c r="B294" s="331">
        <v>0.12204225262006124</v>
      </c>
      <c r="C294" s="331">
        <v>4.3333333333333331E-3</v>
      </c>
      <c r="D294" s="331">
        <v>3.8166666666666668E-2</v>
      </c>
      <c r="E294" s="331">
        <v>8.4599999999999995E-2</v>
      </c>
      <c r="F294" s="331">
        <v>0</v>
      </c>
      <c r="H294" s="377"/>
      <c r="I294" s="377"/>
      <c r="J294" s="377"/>
      <c r="L294" s="339">
        <f t="shared" si="18"/>
        <v>0</v>
      </c>
      <c r="M294" s="340">
        <f t="shared" si="19"/>
        <v>0</v>
      </c>
      <c r="N294" s="340">
        <f t="shared" si="20"/>
        <v>0</v>
      </c>
    </row>
    <row r="295" spans="1:14" x14ac:dyDescent="0.15">
      <c r="A295" s="398">
        <f t="shared" si="17"/>
        <v>39989</v>
      </c>
      <c r="B295" s="331">
        <v>0.12204225262006124</v>
      </c>
      <c r="C295" s="331">
        <v>4.3333333333333331E-3</v>
      </c>
      <c r="D295" s="331">
        <v>3.8166666666666668E-2</v>
      </c>
      <c r="E295" s="331">
        <v>8.4599999999999995E-2</v>
      </c>
      <c r="F295" s="331">
        <v>0</v>
      </c>
      <c r="H295" s="377"/>
      <c r="I295" s="377"/>
      <c r="J295" s="377"/>
      <c r="L295" s="339">
        <f t="shared" si="18"/>
        <v>0</v>
      </c>
      <c r="M295" s="340">
        <f t="shared" si="19"/>
        <v>0</v>
      </c>
      <c r="N295" s="340">
        <f t="shared" si="20"/>
        <v>0</v>
      </c>
    </row>
    <row r="296" spans="1:14" x14ac:dyDescent="0.15">
      <c r="A296" s="398">
        <f t="shared" si="17"/>
        <v>39990</v>
      </c>
      <c r="B296" s="331">
        <v>0.12204225262006124</v>
      </c>
      <c r="C296" s="331">
        <v>4.3333333333333331E-3</v>
      </c>
      <c r="D296" s="331">
        <v>3.8166666666666668E-2</v>
      </c>
      <c r="E296" s="331">
        <v>8.4599999999999995E-2</v>
      </c>
      <c r="F296" s="331">
        <v>0</v>
      </c>
      <c r="H296" s="377"/>
      <c r="I296" s="377"/>
      <c r="J296" s="377"/>
      <c r="L296" s="339">
        <f t="shared" si="18"/>
        <v>0</v>
      </c>
      <c r="M296" s="340">
        <f t="shared" si="19"/>
        <v>0</v>
      </c>
      <c r="N296" s="340">
        <f t="shared" si="20"/>
        <v>0</v>
      </c>
    </row>
    <row r="297" spans="1:14" x14ac:dyDescent="0.15">
      <c r="A297" s="398">
        <f t="shared" si="17"/>
        <v>39991</v>
      </c>
      <c r="B297" s="331">
        <v>0.12204225262006124</v>
      </c>
      <c r="C297" s="331">
        <v>4.3333333333333331E-3</v>
      </c>
      <c r="D297" s="331">
        <v>3.8166666666666668E-2</v>
      </c>
      <c r="E297" s="331">
        <v>8.4599999999999995E-2</v>
      </c>
      <c r="F297" s="331">
        <v>0</v>
      </c>
      <c r="H297" s="377"/>
      <c r="I297" s="377"/>
      <c r="J297" s="377"/>
      <c r="L297" s="339">
        <f t="shared" si="18"/>
        <v>0</v>
      </c>
      <c r="M297" s="340">
        <f t="shared" si="19"/>
        <v>0</v>
      </c>
      <c r="N297" s="340">
        <f t="shared" si="20"/>
        <v>0</v>
      </c>
    </row>
    <row r="298" spans="1:14" x14ac:dyDescent="0.15">
      <c r="A298" s="398">
        <f t="shared" si="17"/>
        <v>39992</v>
      </c>
      <c r="B298" s="331">
        <v>0.12204225262006124</v>
      </c>
      <c r="C298" s="331">
        <v>4.3333333333333331E-3</v>
      </c>
      <c r="D298" s="331">
        <v>3.8166666666666668E-2</v>
      </c>
      <c r="E298" s="331">
        <v>8.4599999999999995E-2</v>
      </c>
      <c r="F298" s="331">
        <v>0</v>
      </c>
      <c r="H298" s="377"/>
      <c r="I298" s="377"/>
      <c r="J298" s="377"/>
      <c r="L298" s="339">
        <f t="shared" si="18"/>
        <v>0</v>
      </c>
      <c r="M298" s="340">
        <f t="shared" si="19"/>
        <v>0</v>
      </c>
      <c r="N298" s="340">
        <f t="shared" si="20"/>
        <v>0</v>
      </c>
    </row>
    <row r="299" spans="1:14" x14ac:dyDescent="0.15">
      <c r="A299" s="398">
        <f t="shared" si="17"/>
        <v>39993</v>
      </c>
      <c r="B299" s="331">
        <v>0.12204225262006124</v>
      </c>
      <c r="C299" s="331">
        <v>4.3333333333333331E-3</v>
      </c>
      <c r="D299" s="331">
        <v>3.8166666666666668E-2</v>
      </c>
      <c r="E299" s="331">
        <v>8.4599999999999995E-2</v>
      </c>
      <c r="F299" s="331">
        <v>0</v>
      </c>
      <c r="H299" s="377"/>
      <c r="I299" s="377"/>
      <c r="J299" s="377"/>
      <c r="L299" s="339">
        <f t="shared" si="18"/>
        <v>0</v>
      </c>
      <c r="M299" s="340">
        <f t="shared" si="19"/>
        <v>0</v>
      </c>
      <c r="N299" s="340">
        <f t="shared" si="20"/>
        <v>0</v>
      </c>
    </row>
    <row r="300" spans="1:14" x14ac:dyDescent="0.15">
      <c r="A300" s="398">
        <f t="shared" si="17"/>
        <v>39994</v>
      </c>
      <c r="B300" s="331">
        <v>0.12204225262006124</v>
      </c>
      <c r="C300" s="331">
        <v>4.3333333333333331E-3</v>
      </c>
      <c r="D300" s="331">
        <v>3.8166666666666668E-2</v>
      </c>
      <c r="E300" s="331">
        <v>8.4599999999999995E-2</v>
      </c>
      <c r="F300" s="331">
        <v>0</v>
      </c>
      <c r="H300" s="377"/>
      <c r="I300" s="377"/>
      <c r="J300" s="377"/>
      <c r="L300" s="339">
        <f t="shared" si="18"/>
        <v>0</v>
      </c>
      <c r="M300" s="340">
        <f t="shared" si="19"/>
        <v>0</v>
      </c>
      <c r="N300" s="340">
        <f t="shared" si="20"/>
        <v>0</v>
      </c>
    </row>
    <row r="301" spans="1:14" x14ac:dyDescent="0.15">
      <c r="A301" s="398">
        <f t="shared" si="17"/>
        <v>39995</v>
      </c>
      <c r="B301" s="331">
        <v>0.25286955687520152</v>
      </c>
      <c r="C301" s="331">
        <v>1.9354838709677419E-3</v>
      </c>
      <c r="D301" s="331">
        <v>3.2419354838709676E-2</v>
      </c>
      <c r="E301" s="331">
        <v>4.2299999999999997E-2</v>
      </c>
      <c r="F301" s="331">
        <v>0</v>
      </c>
      <c r="H301" s="377"/>
      <c r="I301" s="377"/>
      <c r="J301" s="377"/>
      <c r="L301" s="339">
        <f t="shared" si="18"/>
        <v>0</v>
      </c>
      <c r="M301" s="340">
        <f t="shared" si="19"/>
        <v>0</v>
      </c>
      <c r="N301" s="340">
        <f t="shared" si="20"/>
        <v>0</v>
      </c>
    </row>
    <row r="302" spans="1:14" x14ac:dyDescent="0.15">
      <c r="A302" s="398">
        <f t="shared" si="17"/>
        <v>39996</v>
      </c>
      <c r="B302" s="331">
        <v>0.25286955687520152</v>
      </c>
      <c r="C302" s="331">
        <v>1.9354838709677419E-3</v>
      </c>
      <c r="D302" s="331">
        <v>3.2419354838709676E-2</v>
      </c>
      <c r="E302" s="331">
        <v>4.2299999999999997E-2</v>
      </c>
      <c r="F302" s="331">
        <v>0</v>
      </c>
      <c r="H302" s="377"/>
      <c r="I302" s="377"/>
      <c r="J302" s="377"/>
      <c r="L302" s="339">
        <f t="shared" si="18"/>
        <v>0</v>
      </c>
      <c r="M302" s="340">
        <f t="shared" si="19"/>
        <v>0</v>
      </c>
      <c r="N302" s="340">
        <f t="shared" si="20"/>
        <v>0</v>
      </c>
    </row>
    <row r="303" spans="1:14" x14ac:dyDescent="0.15">
      <c r="A303" s="398">
        <f t="shared" si="17"/>
        <v>39997</v>
      </c>
      <c r="B303" s="331">
        <v>0.25286955687520152</v>
      </c>
      <c r="C303" s="331">
        <v>1.9354838709677419E-3</v>
      </c>
      <c r="D303" s="331">
        <v>3.2419354838709676E-2</v>
      </c>
      <c r="E303" s="331">
        <v>4.2299999999999997E-2</v>
      </c>
      <c r="F303" s="331">
        <v>0</v>
      </c>
      <c r="H303" s="377"/>
      <c r="I303" s="377"/>
      <c r="J303" s="377"/>
      <c r="L303" s="339">
        <f t="shared" si="18"/>
        <v>0</v>
      </c>
      <c r="M303" s="340">
        <f t="shared" si="19"/>
        <v>0</v>
      </c>
      <c r="N303" s="340">
        <f t="shared" si="20"/>
        <v>0</v>
      </c>
    </row>
    <row r="304" spans="1:14" x14ac:dyDescent="0.15">
      <c r="A304" s="398">
        <f t="shared" si="17"/>
        <v>39998</v>
      </c>
      <c r="B304" s="331">
        <v>0.25286955687520152</v>
      </c>
      <c r="C304" s="331">
        <v>1.9354838709677419E-3</v>
      </c>
      <c r="D304" s="331">
        <v>3.2419354838709676E-2</v>
      </c>
      <c r="E304" s="331">
        <v>4.2299999999999997E-2</v>
      </c>
      <c r="F304" s="331">
        <v>0</v>
      </c>
      <c r="H304" s="377"/>
      <c r="I304" s="377"/>
      <c r="J304" s="377"/>
      <c r="L304" s="339">
        <f t="shared" si="18"/>
        <v>0</v>
      </c>
      <c r="M304" s="340">
        <f t="shared" si="19"/>
        <v>0</v>
      </c>
      <c r="N304" s="340">
        <f t="shared" si="20"/>
        <v>0</v>
      </c>
    </row>
    <row r="305" spans="1:14" x14ac:dyDescent="0.15">
      <c r="A305" s="398">
        <f t="shared" si="17"/>
        <v>39999</v>
      </c>
      <c r="B305" s="331">
        <v>0.25286955687520152</v>
      </c>
      <c r="C305" s="331">
        <v>1.9354838709677419E-3</v>
      </c>
      <c r="D305" s="331">
        <v>3.2419354838709676E-2</v>
      </c>
      <c r="E305" s="331">
        <v>4.2299999999999997E-2</v>
      </c>
      <c r="F305" s="331">
        <v>0</v>
      </c>
      <c r="H305" s="377"/>
      <c r="I305" s="377"/>
      <c r="J305" s="377"/>
      <c r="L305" s="339">
        <f t="shared" si="18"/>
        <v>0</v>
      </c>
      <c r="M305" s="340">
        <f t="shared" si="19"/>
        <v>0</v>
      </c>
      <c r="N305" s="340">
        <f t="shared" si="20"/>
        <v>0</v>
      </c>
    </row>
    <row r="306" spans="1:14" x14ac:dyDescent="0.15">
      <c r="A306" s="398">
        <f t="shared" si="17"/>
        <v>40000</v>
      </c>
      <c r="B306" s="331">
        <v>0.25286955687520152</v>
      </c>
      <c r="C306" s="331">
        <v>1.9354838709677419E-3</v>
      </c>
      <c r="D306" s="331">
        <v>3.2419354838709676E-2</v>
      </c>
      <c r="E306" s="331">
        <v>4.2299999999999997E-2</v>
      </c>
      <c r="F306" s="331">
        <v>0</v>
      </c>
      <c r="H306" s="377"/>
      <c r="I306" s="377"/>
      <c r="J306" s="377"/>
      <c r="L306" s="339">
        <f t="shared" si="18"/>
        <v>0</v>
      </c>
      <c r="M306" s="340">
        <f t="shared" si="19"/>
        <v>0</v>
      </c>
      <c r="N306" s="340">
        <f t="shared" si="20"/>
        <v>0</v>
      </c>
    </row>
    <row r="307" spans="1:14" x14ac:dyDescent="0.15">
      <c r="A307" s="398">
        <f t="shared" si="17"/>
        <v>40001</v>
      </c>
      <c r="B307" s="331">
        <v>0.25286955687520152</v>
      </c>
      <c r="C307" s="331">
        <v>1.9354838709677419E-3</v>
      </c>
      <c r="D307" s="331">
        <v>3.2419354838709676E-2</v>
      </c>
      <c r="E307" s="331">
        <v>4.2299999999999997E-2</v>
      </c>
      <c r="F307" s="331">
        <v>0</v>
      </c>
      <c r="H307" s="377"/>
      <c r="I307" s="377"/>
      <c r="J307" s="377"/>
      <c r="L307" s="339">
        <f t="shared" si="18"/>
        <v>0</v>
      </c>
      <c r="M307" s="340">
        <f t="shared" si="19"/>
        <v>0</v>
      </c>
      <c r="N307" s="340">
        <f t="shared" si="20"/>
        <v>0</v>
      </c>
    </row>
    <row r="308" spans="1:14" x14ac:dyDescent="0.15">
      <c r="A308" s="398">
        <f t="shared" si="17"/>
        <v>40002</v>
      </c>
      <c r="B308" s="331">
        <v>0.25286955687520152</v>
      </c>
      <c r="C308" s="331">
        <v>1.9354838709677419E-3</v>
      </c>
      <c r="D308" s="331">
        <v>3.2419354838709676E-2</v>
      </c>
      <c r="E308" s="331">
        <v>4.2299999999999997E-2</v>
      </c>
      <c r="F308" s="331">
        <v>0</v>
      </c>
      <c r="H308" s="377"/>
      <c r="I308" s="377"/>
      <c r="J308" s="377"/>
      <c r="L308" s="339">
        <f t="shared" si="18"/>
        <v>0</v>
      </c>
      <c r="M308" s="340">
        <f t="shared" si="19"/>
        <v>0</v>
      </c>
      <c r="N308" s="340">
        <f t="shared" si="20"/>
        <v>0</v>
      </c>
    </row>
    <row r="309" spans="1:14" x14ac:dyDescent="0.15">
      <c r="A309" s="398">
        <f t="shared" si="17"/>
        <v>40003</v>
      </c>
      <c r="B309" s="331">
        <v>0.25286955687520152</v>
      </c>
      <c r="C309" s="331">
        <v>1.9354838709677419E-3</v>
      </c>
      <c r="D309" s="331">
        <v>3.2419354838709676E-2</v>
      </c>
      <c r="E309" s="331">
        <v>4.2299999999999997E-2</v>
      </c>
      <c r="F309" s="331">
        <v>0</v>
      </c>
      <c r="H309" s="377"/>
      <c r="I309" s="377"/>
      <c r="J309" s="377"/>
      <c r="L309" s="339">
        <f t="shared" si="18"/>
        <v>0</v>
      </c>
      <c r="M309" s="340">
        <f t="shared" si="19"/>
        <v>0</v>
      </c>
      <c r="N309" s="340">
        <f t="shared" si="20"/>
        <v>0</v>
      </c>
    </row>
    <row r="310" spans="1:14" x14ac:dyDescent="0.15">
      <c r="A310" s="398">
        <f t="shared" si="17"/>
        <v>40004</v>
      </c>
      <c r="B310" s="331">
        <v>0.25286955687520152</v>
      </c>
      <c r="C310" s="331">
        <v>1.9354838709677419E-3</v>
      </c>
      <c r="D310" s="331">
        <v>3.2419354838709676E-2</v>
      </c>
      <c r="E310" s="331">
        <v>4.2299999999999997E-2</v>
      </c>
      <c r="F310" s="331">
        <v>0</v>
      </c>
      <c r="H310" s="377"/>
      <c r="I310" s="377"/>
      <c r="J310" s="377"/>
      <c r="L310" s="339">
        <f t="shared" si="18"/>
        <v>0</v>
      </c>
      <c r="M310" s="340">
        <f t="shared" si="19"/>
        <v>0</v>
      </c>
      <c r="N310" s="340">
        <f t="shared" si="20"/>
        <v>0</v>
      </c>
    </row>
    <row r="311" spans="1:14" x14ac:dyDescent="0.15">
      <c r="A311" s="398">
        <f t="shared" si="17"/>
        <v>40005</v>
      </c>
      <c r="B311" s="331">
        <v>0.25286955687520152</v>
      </c>
      <c r="C311" s="331">
        <v>1.9354838709677419E-3</v>
      </c>
      <c r="D311" s="331">
        <v>3.2419354838709676E-2</v>
      </c>
      <c r="E311" s="331">
        <v>4.2299999999999997E-2</v>
      </c>
      <c r="F311" s="331">
        <v>0</v>
      </c>
      <c r="H311" s="377"/>
      <c r="I311" s="377"/>
      <c r="J311" s="377"/>
      <c r="L311" s="339">
        <f t="shared" si="18"/>
        <v>0</v>
      </c>
      <c r="M311" s="340">
        <f t="shared" si="19"/>
        <v>0</v>
      </c>
      <c r="N311" s="340">
        <f t="shared" si="20"/>
        <v>0</v>
      </c>
    </row>
    <row r="312" spans="1:14" x14ac:dyDescent="0.15">
      <c r="A312" s="398">
        <f t="shared" si="17"/>
        <v>40006</v>
      </c>
      <c r="B312" s="331">
        <v>0.25286955687520152</v>
      </c>
      <c r="C312" s="331">
        <v>1.9354838709677419E-3</v>
      </c>
      <c r="D312" s="331">
        <v>3.2419354838709676E-2</v>
      </c>
      <c r="E312" s="331">
        <v>4.2299999999999997E-2</v>
      </c>
      <c r="F312" s="331">
        <v>0</v>
      </c>
      <c r="H312" s="377"/>
      <c r="I312" s="377"/>
      <c r="J312" s="377"/>
      <c r="L312" s="339">
        <f t="shared" si="18"/>
        <v>0</v>
      </c>
      <c r="M312" s="340">
        <f t="shared" si="19"/>
        <v>0</v>
      </c>
      <c r="N312" s="340">
        <f t="shared" si="20"/>
        <v>0</v>
      </c>
    </row>
    <row r="313" spans="1:14" x14ac:dyDescent="0.15">
      <c r="A313" s="398">
        <f t="shared" si="17"/>
        <v>40007</v>
      </c>
      <c r="B313" s="331">
        <v>0.25286955687520152</v>
      </c>
      <c r="C313" s="331">
        <v>1.9354838709677419E-3</v>
      </c>
      <c r="D313" s="331">
        <v>3.2419354838709676E-2</v>
      </c>
      <c r="E313" s="331">
        <v>4.2299999999999997E-2</v>
      </c>
      <c r="F313" s="331">
        <v>0</v>
      </c>
      <c r="H313" s="377"/>
      <c r="I313" s="377"/>
      <c r="J313" s="377"/>
      <c r="L313" s="339">
        <f t="shared" si="18"/>
        <v>0</v>
      </c>
      <c r="M313" s="340">
        <f t="shared" si="19"/>
        <v>0</v>
      </c>
      <c r="N313" s="340">
        <f t="shared" si="20"/>
        <v>0</v>
      </c>
    </row>
    <row r="314" spans="1:14" x14ac:dyDescent="0.15">
      <c r="A314" s="398">
        <f t="shared" si="17"/>
        <v>40008</v>
      </c>
      <c r="B314" s="331">
        <v>0.25286955687520152</v>
      </c>
      <c r="C314" s="331">
        <v>1.9354838709677419E-3</v>
      </c>
      <c r="D314" s="331">
        <v>3.2419354838709676E-2</v>
      </c>
      <c r="E314" s="331">
        <v>4.2299999999999997E-2</v>
      </c>
      <c r="F314" s="331">
        <v>0</v>
      </c>
      <c r="H314" s="377"/>
      <c r="I314" s="377"/>
      <c r="J314" s="377"/>
      <c r="L314" s="339">
        <f t="shared" si="18"/>
        <v>0</v>
      </c>
      <c r="M314" s="340">
        <f t="shared" si="19"/>
        <v>0</v>
      </c>
      <c r="N314" s="340">
        <f t="shared" si="20"/>
        <v>0</v>
      </c>
    </row>
    <row r="315" spans="1:14" x14ac:dyDescent="0.15">
      <c r="A315" s="398">
        <f t="shared" si="17"/>
        <v>40009</v>
      </c>
      <c r="B315" s="331">
        <v>0.25286955687520152</v>
      </c>
      <c r="C315" s="331">
        <v>1.9354838709677419E-3</v>
      </c>
      <c r="D315" s="331">
        <v>3.2419354838709676E-2</v>
      </c>
      <c r="E315" s="331">
        <v>4.2299999999999997E-2</v>
      </c>
      <c r="F315" s="331">
        <v>0</v>
      </c>
      <c r="G315" s="397"/>
      <c r="H315" s="377"/>
      <c r="I315" s="377"/>
      <c r="J315" s="377"/>
      <c r="L315" s="339">
        <f t="shared" si="18"/>
        <v>0</v>
      </c>
      <c r="M315" s="340">
        <f t="shared" si="19"/>
        <v>0</v>
      </c>
      <c r="N315" s="340">
        <f t="shared" si="20"/>
        <v>0</v>
      </c>
    </row>
    <row r="316" spans="1:14" x14ac:dyDescent="0.15">
      <c r="A316" s="398">
        <f t="shared" ref="A316:A379" si="21">+A315+1</f>
        <v>40010</v>
      </c>
      <c r="B316" s="331">
        <v>0.25286955687520152</v>
      </c>
      <c r="C316" s="331">
        <v>1.9354838709677419E-3</v>
      </c>
      <c r="D316" s="331">
        <v>3.2419354838709676E-2</v>
      </c>
      <c r="E316" s="331">
        <v>4.2299999999999997E-2</v>
      </c>
      <c r="F316" s="331">
        <v>0</v>
      </c>
      <c r="H316" s="377"/>
      <c r="I316" s="377"/>
      <c r="J316" s="377"/>
      <c r="L316" s="339">
        <f t="shared" ref="L316:L379" si="22">+H317-H316</f>
        <v>0</v>
      </c>
      <c r="M316" s="340">
        <f t="shared" ref="M316:M379" si="23">+I317-I316</f>
        <v>0</v>
      </c>
      <c r="N316" s="340">
        <f t="shared" ref="N316:N379" si="24">+J317-J316</f>
        <v>0</v>
      </c>
    </row>
    <row r="317" spans="1:14" x14ac:dyDescent="0.15">
      <c r="A317" s="398">
        <f t="shared" si="21"/>
        <v>40011</v>
      </c>
      <c r="B317" s="331">
        <v>0.25286955687520152</v>
      </c>
      <c r="C317" s="331">
        <v>1.9354838709677419E-3</v>
      </c>
      <c r="D317" s="331">
        <v>3.2419354838709676E-2</v>
      </c>
      <c r="E317" s="331">
        <v>4.2299999999999997E-2</v>
      </c>
      <c r="F317" s="331">
        <v>0</v>
      </c>
      <c r="H317" s="377"/>
      <c r="I317" s="377"/>
      <c r="J317" s="377"/>
      <c r="L317" s="339">
        <f t="shared" si="22"/>
        <v>0</v>
      </c>
      <c r="M317" s="340">
        <f t="shared" si="23"/>
        <v>0</v>
      </c>
      <c r="N317" s="340">
        <f t="shared" si="24"/>
        <v>0</v>
      </c>
    </row>
    <row r="318" spans="1:14" x14ac:dyDescent="0.15">
      <c r="A318" s="398">
        <f t="shared" si="21"/>
        <v>40012</v>
      </c>
      <c r="B318" s="331">
        <v>0.25286955687520152</v>
      </c>
      <c r="C318" s="331">
        <v>1.9354838709677419E-3</v>
      </c>
      <c r="D318" s="331">
        <v>3.2419354838709676E-2</v>
      </c>
      <c r="E318" s="331">
        <v>4.2299999999999997E-2</v>
      </c>
      <c r="F318" s="331">
        <v>0</v>
      </c>
      <c r="H318" s="377"/>
      <c r="I318" s="377"/>
      <c r="J318" s="377"/>
      <c r="L318" s="339">
        <f t="shared" si="22"/>
        <v>0</v>
      </c>
      <c r="M318" s="340">
        <f t="shared" si="23"/>
        <v>0</v>
      </c>
      <c r="N318" s="340">
        <f t="shared" si="24"/>
        <v>0</v>
      </c>
    </row>
    <row r="319" spans="1:14" x14ac:dyDescent="0.15">
      <c r="A319" s="398">
        <f t="shared" si="21"/>
        <v>40013</v>
      </c>
      <c r="B319" s="331">
        <v>0.25286955687520152</v>
      </c>
      <c r="C319" s="331">
        <v>1.9354838709677419E-3</v>
      </c>
      <c r="D319" s="331">
        <v>3.2419354838709676E-2</v>
      </c>
      <c r="E319" s="331">
        <v>4.2299999999999997E-2</v>
      </c>
      <c r="F319" s="331">
        <v>0</v>
      </c>
      <c r="H319" s="377"/>
      <c r="I319" s="377"/>
      <c r="J319" s="377"/>
      <c r="L319" s="339">
        <f t="shared" si="22"/>
        <v>0</v>
      </c>
      <c r="M319" s="340">
        <f t="shared" si="23"/>
        <v>0</v>
      </c>
      <c r="N319" s="340">
        <f t="shared" si="24"/>
        <v>0</v>
      </c>
    </row>
    <row r="320" spans="1:14" x14ac:dyDescent="0.15">
      <c r="A320" s="398">
        <f t="shared" si="21"/>
        <v>40014</v>
      </c>
      <c r="B320" s="331">
        <v>0.25286955687520152</v>
      </c>
      <c r="C320" s="331">
        <v>1.9354838709677419E-3</v>
      </c>
      <c r="D320" s="331">
        <v>3.2419354838709676E-2</v>
      </c>
      <c r="E320" s="331">
        <v>4.2299999999999997E-2</v>
      </c>
      <c r="F320" s="331">
        <v>0</v>
      </c>
      <c r="H320" s="377"/>
      <c r="I320" s="377"/>
      <c r="J320" s="377"/>
      <c r="L320" s="339">
        <f t="shared" si="22"/>
        <v>0</v>
      </c>
      <c r="M320" s="340">
        <f t="shared" si="23"/>
        <v>0</v>
      </c>
      <c r="N320" s="340">
        <f t="shared" si="24"/>
        <v>0</v>
      </c>
    </row>
    <row r="321" spans="1:14" x14ac:dyDescent="0.15">
      <c r="A321" s="398">
        <f t="shared" si="21"/>
        <v>40015</v>
      </c>
      <c r="B321" s="331">
        <v>0.25286955687520152</v>
      </c>
      <c r="C321" s="331">
        <v>1.9354838709677419E-3</v>
      </c>
      <c r="D321" s="331">
        <v>3.2419354838709676E-2</v>
      </c>
      <c r="E321" s="331">
        <v>4.2299999999999997E-2</v>
      </c>
      <c r="F321" s="331">
        <v>0</v>
      </c>
      <c r="H321" s="377"/>
      <c r="I321" s="377"/>
      <c r="J321" s="377"/>
      <c r="L321" s="339">
        <f t="shared" si="22"/>
        <v>0</v>
      </c>
      <c r="M321" s="340">
        <f t="shared" si="23"/>
        <v>0</v>
      </c>
      <c r="N321" s="340">
        <f t="shared" si="24"/>
        <v>0</v>
      </c>
    </row>
    <row r="322" spans="1:14" x14ac:dyDescent="0.15">
      <c r="A322" s="398">
        <f t="shared" si="21"/>
        <v>40016</v>
      </c>
      <c r="B322" s="331">
        <v>0.25286955687520152</v>
      </c>
      <c r="C322" s="331">
        <v>1.9354838709677419E-3</v>
      </c>
      <c r="D322" s="331">
        <v>3.2419354838709676E-2</v>
      </c>
      <c r="E322" s="331">
        <v>4.2299999999999997E-2</v>
      </c>
      <c r="F322" s="331">
        <v>0</v>
      </c>
      <c r="H322" s="377"/>
      <c r="I322" s="377"/>
      <c r="J322" s="377"/>
      <c r="L322" s="339">
        <f t="shared" si="22"/>
        <v>0</v>
      </c>
      <c r="M322" s="340">
        <f t="shared" si="23"/>
        <v>0</v>
      </c>
      <c r="N322" s="340">
        <f t="shared" si="24"/>
        <v>0</v>
      </c>
    </row>
    <row r="323" spans="1:14" x14ac:dyDescent="0.15">
      <c r="A323" s="398">
        <f t="shared" si="21"/>
        <v>40017</v>
      </c>
      <c r="B323" s="331">
        <v>0.25286955687520152</v>
      </c>
      <c r="C323" s="331">
        <v>1.9354838709677419E-3</v>
      </c>
      <c r="D323" s="331">
        <v>3.2419354838709676E-2</v>
      </c>
      <c r="E323" s="331">
        <v>4.2299999999999997E-2</v>
      </c>
      <c r="F323" s="331">
        <v>0</v>
      </c>
      <c r="H323" s="377"/>
      <c r="I323" s="377"/>
      <c r="J323" s="377"/>
      <c r="L323" s="339">
        <f t="shared" si="22"/>
        <v>0</v>
      </c>
      <c r="M323" s="340">
        <f t="shared" si="23"/>
        <v>0</v>
      </c>
      <c r="N323" s="340">
        <f t="shared" si="24"/>
        <v>0</v>
      </c>
    </row>
    <row r="324" spans="1:14" x14ac:dyDescent="0.15">
      <c r="A324" s="398">
        <f t="shared" si="21"/>
        <v>40018</v>
      </c>
      <c r="B324" s="331">
        <v>0.25286955687520152</v>
      </c>
      <c r="C324" s="331">
        <v>1.9354838709677419E-3</v>
      </c>
      <c r="D324" s="331">
        <v>3.2419354838709676E-2</v>
      </c>
      <c r="E324" s="331">
        <v>4.2299999999999997E-2</v>
      </c>
      <c r="F324" s="331">
        <v>0</v>
      </c>
      <c r="H324" s="377"/>
      <c r="I324" s="377"/>
      <c r="J324" s="377"/>
      <c r="L324" s="339">
        <f t="shared" si="22"/>
        <v>0</v>
      </c>
      <c r="M324" s="340">
        <f t="shared" si="23"/>
        <v>0</v>
      </c>
      <c r="N324" s="340">
        <f t="shared" si="24"/>
        <v>0</v>
      </c>
    </row>
    <row r="325" spans="1:14" x14ac:dyDescent="0.15">
      <c r="A325" s="398">
        <f t="shared" si="21"/>
        <v>40019</v>
      </c>
      <c r="B325" s="331">
        <v>0.25286955687520152</v>
      </c>
      <c r="C325" s="331">
        <v>1.9354838709677419E-3</v>
      </c>
      <c r="D325" s="331">
        <v>3.2419354838709676E-2</v>
      </c>
      <c r="E325" s="331">
        <v>4.2299999999999997E-2</v>
      </c>
      <c r="F325" s="331">
        <v>0</v>
      </c>
      <c r="H325" s="377"/>
      <c r="I325" s="377"/>
      <c r="J325" s="377"/>
      <c r="L325" s="339">
        <f t="shared" si="22"/>
        <v>0</v>
      </c>
      <c r="M325" s="340">
        <f t="shared" si="23"/>
        <v>0</v>
      </c>
      <c r="N325" s="340">
        <f t="shared" si="24"/>
        <v>0</v>
      </c>
    </row>
    <row r="326" spans="1:14" x14ac:dyDescent="0.15">
      <c r="A326" s="398">
        <f t="shared" si="21"/>
        <v>40020</v>
      </c>
      <c r="B326" s="331">
        <v>0.25286955687520152</v>
      </c>
      <c r="C326" s="331">
        <v>1.9354838709677419E-3</v>
      </c>
      <c r="D326" s="331">
        <v>3.2419354838709676E-2</v>
      </c>
      <c r="E326" s="331">
        <v>4.2299999999999997E-2</v>
      </c>
      <c r="F326" s="331">
        <v>0</v>
      </c>
      <c r="H326" s="377"/>
      <c r="I326" s="377"/>
      <c r="J326" s="377"/>
      <c r="L326" s="339">
        <f t="shared" si="22"/>
        <v>0</v>
      </c>
      <c r="M326" s="340">
        <f t="shared" si="23"/>
        <v>0</v>
      </c>
      <c r="N326" s="340">
        <f t="shared" si="24"/>
        <v>0</v>
      </c>
    </row>
    <row r="327" spans="1:14" x14ac:dyDescent="0.15">
      <c r="A327" s="398">
        <f t="shared" si="21"/>
        <v>40021</v>
      </c>
      <c r="B327" s="331">
        <v>0.25286955687520152</v>
      </c>
      <c r="C327" s="331">
        <v>1.9354838709677419E-3</v>
      </c>
      <c r="D327" s="331">
        <v>3.2419354838709676E-2</v>
      </c>
      <c r="E327" s="331">
        <v>4.2299999999999997E-2</v>
      </c>
      <c r="F327" s="331">
        <v>0</v>
      </c>
      <c r="H327" s="377"/>
      <c r="I327" s="377"/>
      <c r="J327" s="377"/>
      <c r="L327" s="339">
        <f t="shared" si="22"/>
        <v>0</v>
      </c>
      <c r="M327" s="340">
        <f t="shared" si="23"/>
        <v>0</v>
      </c>
      <c r="N327" s="340">
        <f t="shared" si="24"/>
        <v>0</v>
      </c>
    </row>
    <row r="328" spans="1:14" x14ac:dyDescent="0.15">
      <c r="A328" s="398">
        <f t="shared" si="21"/>
        <v>40022</v>
      </c>
      <c r="B328" s="331">
        <v>0.25286955687520152</v>
      </c>
      <c r="C328" s="331">
        <v>1.9354838709677419E-3</v>
      </c>
      <c r="D328" s="331">
        <v>3.2419354838709676E-2</v>
      </c>
      <c r="E328" s="331">
        <v>4.2299999999999997E-2</v>
      </c>
      <c r="F328" s="331">
        <v>0</v>
      </c>
      <c r="H328" s="377"/>
      <c r="I328" s="377"/>
      <c r="J328" s="377"/>
      <c r="L328" s="339">
        <f t="shared" si="22"/>
        <v>0</v>
      </c>
      <c r="M328" s="340">
        <f t="shared" si="23"/>
        <v>0</v>
      </c>
      <c r="N328" s="340">
        <f t="shared" si="24"/>
        <v>0</v>
      </c>
    </row>
    <row r="329" spans="1:14" x14ac:dyDescent="0.15">
      <c r="A329" s="398">
        <f t="shared" si="21"/>
        <v>40023</v>
      </c>
      <c r="B329" s="331">
        <v>0.25286955687520152</v>
      </c>
      <c r="C329" s="331">
        <v>1.9354838709677419E-3</v>
      </c>
      <c r="D329" s="331">
        <v>3.2419354838709676E-2</v>
      </c>
      <c r="E329" s="331">
        <v>4.2299999999999997E-2</v>
      </c>
      <c r="F329" s="331">
        <v>0</v>
      </c>
      <c r="H329" s="377"/>
      <c r="I329" s="377"/>
      <c r="J329" s="377"/>
      <c r="L329" s="339">
        <f t="shared" si="22"/>
        <v>0</v>
      </c>
      <c r="M329" s="340">
        <f t="shared" si="23"/>
        <v>0</v>
      </c>
      <c r="N329" s="340">
        <f t="shared" si="24"/>
        <v>0</v>
      </c>
    </row>
    <row r="330" spans="1:14" x14ac:dyDescent="0.15">
      <c r="A330" s="398">
        <f t="shared" si="21"/>
        <v>40024</v>
      </c>
      <c r="B330" s="331">
        <v>0.25286955687520152</v>
      </c>
      <c r="C330" s="331">
        <v>1.9354838709677419E-3</v>
      </c>
      <c r="D330" s="331">
        <v>3.2419354838709676E-2</v>
      </c>
      <c r="E330" s="331">
        <v>4.2299999999999997E-2</v>
      </c>
      <c r="F330" s="331">
        <v>0</v>
      </c>
      <c r="H330" s="377"/>
      <c r="I330" s="377"/>
      <c r="J330" s="377"/>
      <c r="L330" s="339">
        <f t="shared" si="22"/>
        <v>0</v>
      </c>
      <c r="M330" s="340">
        <f t="shared" si="23"/>
        <v>0</v>
      </c>
      <c r="N330" s="340">
        <f t="shared" si="24"/>
        <v>0</v>
      </c>
    </row>
    <row r="331" spans="1:14" x14ac:dyDescent="0.15">
      <c r="A331" s="398">
        <f t="shared" si="21"/>
        <v>40025</v>
      </c>
      <c r="B331" s="331">
        <v>0.25286955687520152</v>
      </c>
      <c r="C331" s="331">
        <v>1.9354838709677419E-3</v>
      </c>
      <c r="D331" s="331">
        <v>3.2419354838709676E-2</v>
      </c>
      <c r="E331" s="331">
        <v>4.2299999999999997E-2</v>
      </c>
      <c r="F331" s="331">
        <v>0</v>
      </c>
      <c r="H331" s="377"/>
      <c r="I331" s="377"/>
      <c r="J331" s="377"/>
      <c r="L331" s="339">
        <f t="shared" si="22"/>
        <v>0</v>
      </c>
      <c r="M331" s="340">
        <f t="shared" si="23"/>
        <v>0</v>
      </c>
      <c r="N331" s="340">
        <f t="shared" si="24"/>
        <v>0</v>
      </c>
    </row>
    <row r="332" spans="1:14" x14ac:dyDescent="0.15">
      <c r="A332" s="398">
        <f t="shared" si="21"/>
        <v>40026</v>
      </c>
      <c r="B332" s="331">
        <v>0.30767031446579962</v>
      </c>
      <c r="C332" s="331">
        <v>1.9354838709677419E-3</v>
      </c>
      <c r="D332" s="331">
        <v>3.7258064516129036E-2</v>
      </c>
      <c r="E332" s="331">
        <v>4.2299999999999997E-2</v>
      </c>
      <c r="F332" s="331">
        <v>0</v>
      </c>
      <c r="H332" s="377"/>
      <c r="I332" s="377"/>
      <c r="J332" s="377"/>
      <c r="L332" s="339">
        <f t="shared" si="22"/>
        <v>0</v>
      </c>
      <c r="M332" s="340">
        <f t="shared" si="23"/>
        <v>0</v>
      </c>
      <c r="N332" s="340">
        <f t="shared" si="24"/>
        <v>0</v>
      </c>
    </row>
    <row r="333" spans="1:14" x14ac:dyDescent="0.15">
      <c r="A333" s="398">
        <f t="shared" si="21"/>
        <v>40027</v>
      </c>
      <c r="B333" s="331">
        <v>0.30767031446579962</v>
      </c>
      <c r="C333" s="331">
        <v>1.9354838709677419E-3</v>
      </c>
      <c r="D333" s="331">
        <v>3.7258064516129036E-2</v>
      </c>
      <c r="E333" s="331">
        <v>4.2299999999999997E-2</v>
      </c>
      <c r="F333" s="331">
        <v>0</v>
      </c>
      <c r="H333" s="377"/>
      <c r="I333" s="377"/>
      <c r="J333" s="377"/>
      <c r="L333" s="339">
        <f t="shared" si="22"/>
        <v>0</v>
      </c>
      <c r="M333" s="340">
        <f t="shared" si="23"/>
        <v>0</v>
      </c>
      <c r="N333" s="340">
        <f t="shared" si="24"/>
        <v>0</v>
      </c>
    </row>
    <row r="334" spans="1:14" x14ac:dyDescent="0.15">
      <c r="A334" s="398">
        <f t="shared" si="21"/>
        <v>40028</v>
      </c>
      <c r="B334" s="331">
        <v>0.30767031446579962</v>
      </c>
      <c r="C334" s="331">
        <v>1.9354838709677419E-3</v>
      </c>
      <c r="D334" s="331">
        <v>3.7258064516129036E-2</v>
      </c>
      <c r="E334" s="331">
        <v>4.2299999999999997E-2</v>
      </c>
      <c r="F334" s="331">
        <v>0</v>
      </c>
      <c r="H334" s="377"/>
      <c r="I334" s="377"/>
      <c r="J334" s="377"/>
      <c r="L334" s="339">
        <f t="shared" si="22"/>
        <v>0</v>
      </c>
      <c r="M334" s="340">
        <f t="shared" si="23"/>
        <v>0</v>
      </c>
      <c r="N334" s="340">
        <f t="shared" si="24"/>
        <v>0</v>
      </c>
    </row>
    <row r="335" spans="1:14" x14ac:dyDescent="0.15">
      <c r="A335" s="398">
        <f t="shared" si="21"/>
        <v>40029</v>
      </c>
      <c r="B335" s="331">
        <v>0.30767031446579962</v>
      </c>
      <c r="C335" s="331">
        <v>1.9354838709677419E-3</v>
      </c>
      <c r="D335" s="331">
        <v>3.7258064516129036E-2</v>
      </c>
      <c r="E335" s="331">
        <v>4.2299999999999997E-2</v>
      </c>
      <c r="F335" s="331">
        <v>0</v>
      </c>
      <c r="H335" s="377"/>
      <c r="I335" s="377"/>
      <c r="J335" s="377"/>
      <c r="L335" s="339">
        <f t="shared" si="22"/>
        <v>0</v>
      </c>
      <c r="M335" s="340">
        <f t="shared" si="23"/>
        <v>0</v>
      </c>
      <c r="N335" s="340">
        <f t="shared" si="24"/>
        <v>0</v>
      </c>
    </row>
    <row r="336" spans="1:14" x14ac:dyDescent="0.15">
      <c r="A336" s="398">
        <f t="shared" si="21"/>
        <v>40030</v>
      </c>
      <c r="B336" s="331">
        <v>0.30767031446579962</v>
      </c>
      <c r="C336" s="331">
        <v>1.9354838709677419E-3</v>
      </c>
      <c r="D336" s="331">
        <v>3.7258064516129036E-2</v>
      </c>
      <c r="E336" s="331">
        <v>4.2299999999999997E-2</v>
      </c>
      <c r="F336" s="331">
        <v>0</v>
      </c>
      <c r="H336" s="377"/>
      <c r="I336" s="377"/>
      <c r="J336" s="377"/>
      <c r="L336" s="339">
        <f t="shared" si="22"/>
        <v>0</v>
      </c>
      <c r="M336" s="340">
        <f t="shared" si="23"/>
        <v>0</v>
      </c>
      <c r="N336" s="340">
        <f t="shared" si="24"/>
        <v>0</v>
      </c>
    </row>
    <row r="337" spans="1:14" x14ac:dyDescent="0.15">
      <c r="A337" s="398">
        <f t="shared" si="21"/>
        <v>40031</v>
      </c>
      <c r="B337" s="331">
        <v>0.30767031446579962</v>
      </c>
      <c r="C337" s="331">
        <v>1.9354838709677419E-3</v>
      </c>
      <c r="D337" s="331">
        <v>3.7258064516129036E-2</v>
      </c>
      <c r="E337" s="331">
        <v>4.2299999999999997E-2</v>
      </c>
      <c r="F337" s="331">
        <v>0</v>
      </c>
      <c r="H337" s="377"/>
      <c r="I337" s="377"/>
      <c r="J337" s="377"/>
      <c r="L337" s="339">
        <f t="shared" si="22"/>
        <v>0</v>
      </c>
      <c r="M337" s="340">
        <f t="shared" si="23"/>
        <v>0</v>
      </c>
      <c r="N337" s="340">
        <f t="shared" si="24"/>
        <v>0</v>
      </c>
    </row>
    <row r="338" spans="1:14" x14ac:dyDescent="0.15">
      <c r="A338" s="398">
        <f t="shared" si="21"/>
        <v>40032</v>
      </c>
      <c r="B338" s="331">
        <v>0.30767031446579962</v>
      </c>
      <c r="C338" s="331">
        <v>1.9354838709677419E-3</v>
      </c>
      <c r="D338" s="331">
        <v>3.7258064516129036E-2</v>
      </c>
      <c r="E338" s="331">
        <v>4.2299999999999997E-2</v>
      </c>
      <c r="F338" s="331">
        <v>0</v>
      </c>
      <c r="H338" s="377"/>
      <c r="I338" s="377"/>
      <c r="J338" s="377"/>
      <c r="L338" s="339">
        <f t="shared" si="22"/>
        <v>0</v>
      </c>
      <c r="M338" s="340">
        <f t="shared" si="23"/>
        <v>0</v>
      </c>
      <c r="N338" s="340">
        <f t="shared" si="24"/>
        <v>0</v>
      </c>
    </row>
    <row r="339" spans="1:14" x14ac:dyDescent="0.15">
      <c r="A339" s="398">
        <f t="shared" si="21"/>
        <v>40033</v>
      </c>
      <c r="B339" s="331">
        <v>0.30767031446579962</v>
      </c>
      <c r="C339" s="331">
        <v>1.9354838709677419E-3</v>
      </c>
      <c r="D339" s="331">
        <v>3.7258064516129036E-2</v>
      </c>
      <c r="E339" s="331">
        <v>4.2299999999999997E-2</v>
      </c>
      <c r="F339" s="331">
        <v>0</v>
      </c>
      <c r="H339" s="377"/>
      <c r="I339" s="377"/>
      <c r="J339" s="377"/>
      <c r="L339" s="339">
        <f t="shared" si="22"/>
        <v>0</v>
      </c>
      <c r="M339" s="340">
        <f t="shared" si="23"/>
        <v>0</v>
      </c>
      <c r="N339" s="340">
        <f t="shared" si="24"/>
        <v>0</v>
      </c>
    </row>
    <row r="340" spans="1:14" x14ac:dyDescent="0.15">
      <c r="A340" s="398">
        <f t="shared" si="21"/>
        <v>40034</v>
      </c>
      <c r="B340" s="331">
        <v>0.30767031446579962</v>
      </c>
      <c r="C340" s="331">
        <v>1.9354838709677419E-3</v>
      </c>
      <c r="D340" s="331">
        <v>3.7258064516129036E-2</v>
      </c>
      <c r="E340" s="331">
        <v>4.2299999999999997E-2</v>
      </c>
      <c r="F340" s="331">
        <v>0</v>
      </c>
      <c r="H340" s="377"/>
      <c r="I340" s="377"/>
      <c r="J340" s="377"/>
      <c r="L340" s="339">
        <f t="shared" si="22"/>
        <v>0</v>
      </c>
      <c r="M340" s="340">
        <f t="shared" si="23"/>
        <v>0</v>
      </c>
      <c r="N340" s="340">
        <f t="shared" si="24"/>
        <v>0</v>
      </c>
    </row>
    <row r="341" spans="1:14" x14ac:dyDescent="0.15">
      <c r="A341" s="398">
        <f t="shared" si="21"/>
        <v>40035</v>
      </c>
      <c r="B341" s="331">
        <v>0.30767031446579962</v>
      </c>
      <c r="C341" s="331">
        <v>1.9354838709677419E-3</v>
      </c>
      <c r="D341" s="331">
        <v>3.7258064516129036E-2</v>
      </c>
      <c r="E341" s="331">
        <v>4.2299999999999997E-2</v>
      </c>
      <c r="F341" s="331">
        <v>0</v>
      </c>
      <c r="H341" s="377"/>
      <c r="I341" s="377"/>
      <c r="J341" s="377"/>
      <c r="L341" s="339">
        <f t="shared" si="22"/>
        <v>0</v>
      </c>
      <c r="M341" s="340">
        <f t="shared" si="23"/>
        <v>0</v>
      </c>
      <c r="N341" s="340">
        <f t="shared" si="24"/>
        <v>0</v>
      </c>
    </row>
    <row r="342" spans="1:14" x14ac:dyDescent="0.15">
      <c r="A342" s="398">
        <f t="shared" si="21"/>
        <v>40036</v>
      </c>
      <c r="B342" s="331">
        <v>0.30767031446579962</v>
      </c>
      <c r="C342" s="331">
        <v>1.9354838709677419E-3</v>
      </c>
      <c r="D342" s="331">
        <v>3.7258064516129036E-2</v>
      </c>
      <c r="E342" s="331">
        <v>4.2299999999999997E-2</v>
      </c>
      <c r="F342" s="331">
        <v>0</v>
      </c>
      <c r="H342" s="377"/>
      <c r="I342" s="377"/>
      <c r="J342" s="377"/>
      <c r="L342" s="339">
        <f t="shared" si="22"/>
        <v>0</v>
      </c>
      <c r="M342" s="340">
        <f t="shared" si="23"/>
        <v>0</v>
      </c>
      <c r="N342" s="340">
        <f t="shared" si="24"/>
        <v>0</v>
      </c>
    </row>
    <row r="343" spans="1:14" x14ac:dyDescent="0.15">
      <c r="A343" s="398">
        <f t="shared" si="21"/>
        <v>40037</v>
      </c>
      <c r="B343" s="331">
        <v>0.30767031446579962</v>
      </c>
      <c r="C343" s="331">
        <v>1.9354838709677419E-3</v>
      </c>
      <c r="D343" s="331">
        <v>3.7258064516129036E-2</v>
      </c>
      <c r="E343" s="331">
        <v>4.2299999999999997E-2</v>
      </c>
      <c r="F343" s="331">
        <v>0</v>
      </c>
      <c r="H343" s="377"/>
      <c r="I343" s="377"/>
      <c r="J343" s="377"/>
      <c r="L343" s="339">
        <f t="shared" si="22"/>
        <v>0</v>
      </c>
      <c r="M343" s="340">
        <f t="shared" si="23"/>
        <v>0</v>
      </c>
      <c r="N343" s="340">
        <f t="shared" si="24"/>
        <v>0</v>
      </c>
    </row>
    <row r="344" spans="1:14" x14ac:dyDescent="0.15">
      <c r="A344" s="398">
        <f t="shared" si="21"/>
        <v>40038</v>
      </c>
      <c r="B344" s="331">
        <v>0.30767031446579962</v>
      </c>
      <c r="C344" s="331">
        <v>1.9354838709677419E-3</v>
      </c>
      <c r="D344" s="331">
        <v>3.7258064516129036E-2</v>
      </c>
      <c r="E344" s="331">
        <v>4.2299999999999997E-2</v>
      </c>
      <c r="F344" s="331">
        <v>0</v>
      </c>
      <c r="H344" s="377"/>
      <c r="I344" s="377"/>
      <c r="J344" s="377"/>
      <c r="L344" s="339">
        <f t="shared" si="22"/>
        <v>0</v>
      </c>
      <c r="M344" s="340">
        <f t="shared" si="23"/>
        <v>0</v>
      </c>
      <c r="N344" s="340">
        <f t="shared" si="24"/>
        <v>0</v>
      </c>
    </row>
    <row r="345" spans="1:14" x14ac:dyDescent="0.15">
      <c r="A345" s="398">
        <f t="shared" si="21"/>
        <v>40039</v>
      </c>
      <c r="B345" s="331">
        <v>0.30767031446579962</v>
      </c>
      <c r="C345" s="331">
        <v>1.9354838709677419E-3</v>
      </c>
      <c r="D345" s="331">
        <v>3.7258064516129036E-2</v>
      </c>
      <c r="E345" s="331">
        <v>4.2299999999999997E-2</v>
      </c>
      <c r="F345" s="331">
        <v>0</v>
      </c>
      <c r="H345" s="377"/>
      <c r="I345" s="377"/>
      <c r="J345" s="377"/>
      <c r="L345" s="339">
        <f t="shared" si="22"/>
        <v>0</v>
      </c>
      <c r="M345" s="340">
        <f t="shared" si="23"/>
        <v>0</v>
      </c>
      <c r="N345" s="340">
        <f t="shared" si="24"/>
        <v>0</v>
      </c>
    </row>
    <row r="346" spans="1:14" x14ac:dyDescent="0.15">
      <c r="A346" s="398">
        <f t="shared" si="21"/>
        <v>40040</v>
      </c>
      <c r="B346" s="331">
        <v>0.30767031446579962</v>
      </c>
      <c r="C346" s="331">
        <v>1.9354838709677419E-3</v>
      </c>
      <c r="D346" s="331">
        <v>3.7258064516129036E-2</v>
      </c>
      <c r="E346" s="331">
        <v>4.2299999999999997E-2</v>
      </c>
      <c r="F346" s="331">
        <v>0</v>
      </c>
      <c r="H346" s="377"/>
      <c r="I346" s="377"/>
      <c r="J346" s="377"/>
      <c r="L346" s="339">
        <f t="shared" si="22"/>
        <v>0</v>
      </c>
      <c r="M346" s="340">
        <f t="shared" si="23"/>
        <v>0</v>
      </c>
      <c r="N346" s="340">
        <f t="shared" si="24"/>
        <v>0</v>
      </c>
    </row>
    <row r="347" spans="1:14" x14ac:dyDescent="0.15">
      <c r="A347" s="398">
        <f t="shared" si="21"/>
        <v>40041</v>
      </c>
      <c r="B347" s="331">
        <v>0.30767031446579962</v>
      </c>
      <c r="C347" s="331">
        <v>1.9354838709677419E-3</v>
      </c>
      <c r="D347" s="331">
        <v>3.7258064516129036E-2</v>
      </c>
      <c r="E347" s="331">
        <v>4.2299999999999997E-2</v>
      </c>
      <c r="F347" s="331">
        <v>0</v>
      </c>
      <c r="H347" s="377"/>
      <c r="I347" s="377"/>
      <c r="J347" s="377"/>
      <c r="L347" s="339">
        <f t="shared" si="22"/>
        <v>0</v>
      </c>
      <c r="M347" s="340">
        <f t="shared" si="23"/>
        <v>0</v>
      </c>
      <c r="N347" s="340">
        <f t="shared" si="24"/>
        <v>0</v>
      </c>
    </row>
    <row r="348" spans="1:14" x14ac:dyDescent="0.15">
      <c r="A348" s="398">
        <f t="shared" si="21"/>
        <v>40042</v>
      </c>
      <c r="B348" s="331">
        <v>0.30767031446579962</v>
      </c>
      <c r="C348" s="331">
        <v>1.9354838709677419E-3</v>
      </c>
      <c r="D348" s="331">
        <v>3.7258064516129036E-2</v>
      </c>
      <c r="E348" s="331">
        <v>4.2299999999999997E-2</v>
      </c>
      <c r="F348" s="331">
        <v>0</v>
      </c>
      <c r="H348" s="377"/>
      <c r="I348" s="377"/>
      <c r="J348" s="377"/>
      <c r="L348" s="339">
        <f t="shared" si="22"/>
        <v>0</v>
      </c>
      <c r="M348" s="340">
        <f t="shared" si="23"/>
        <v>0</v>
      </c>
      <c r="N348" s="340">
        <f t="shared" si="24"/>
        <v>0</v>
      </c>
    </row>
    <row r="349" spans="1:14" x14ac:dyDescent="0.15">
      <c r="A349" s="398">
        <f t="shared" si="21"/>
        <v>40043</v>
      </c>
      <c r="B349" s="331">
        <v>0.30767031446579962</v>
      </c>
      <c r="C349" s="331">
        <v>1.9354838709677419E-3</v>
      </c>
      <c r="D349" s="331">
        <v>3.7258064516129036E-2</v>
      </c>
      <c r="E349" s="331">
        <v>4.2299999999999997E-2</v>
      </c>
      <c r="F349" s="331">
        <v>0</v>
      </c>
      <c r="H349" s="377"/>
      <c r="I349" s="377"/>
      <c r="J349" s="377"/>
      <c r="L349" s="339">
        <f t="shared" si="22"/>
        <v>0</v>
      </c>
      <c r="M349" s="340">
        <f t="shared" si="23"/>
        <v>0</v>
      </c>
      <c r="N349" s="340">
        <f t="shared" si="24"/>
        <v>0</v>
      </c>
    </row>
    <row r="350" spans="1:14" x14ac:dyDescent="0.15">
      <c r="A350" s="398">
        <f t="shared" si="21"/>
        <v>40044</v>
      </c>
      <c r="B350" s="331">
        <v>0.30767031446579962</v>
      </c>
      <c r="C350" s="331">
        <v>1.9354838709677419E-3</v>
      </c>
      <c r="D350" s="331">
        <v>3.7258064516129036E-2</v>
      </c>
      <c r="E350" s="331">
        <v>4.2299999999999997E-2</v>
      </c>
      <c r="F350" s="331">
        <v>0</v>
      </c>
      <c r="H350" s="377"/>
      <c r="I350" s="377"/>
      <c r="J350" s="377"/>
      <c r="L350" s="339">
        <f t="shared" si="22"/>
        <v>0</v>
      </c>
      <c r="M350" s="340">
        <f t="shared" si="23"/>
        <v>0</v>
      </c>
      <c r="N350" s="340">
        <f t="shared" si="24"/>
        <v>0</v>
      </c>
    </row>
    <row r="351" spans="1:14" x14ac:dyDescent="0.15">
      <c r="A351" s="398">
        <f t="shared" si="21"/>
        <v>40045</v>
      </c>
      <c r="B351" s="331">
        <v>0.30767031446579962</v>
      </c>
      <c r="C351" s="331">
        <v>1.9354838709677419E-3</v>
      </c>
      <c r="D351" s="331">
        <v>3.7258064516129036E-2</v>
      </c>
      <c r="E351" s="331">
        <v>4.2299999999999997E-2</v>
      </c>
      <c r="F351" s="331">
        <v>0</v>
      </c>
      <c r="H351" s="377"/>
      <c r="I351" s="377"/>
      <c r="J351" s="377"/>
      <c r="L351" s="339">
        <f t="shared" si="22"/>
        <v>0</v>
      </c>
      <c r="M351" s="340">
        <f t="shared" si="23"/>
        <v>0</v>
      </c>
      <c r="N351" s="340">
        <f t="shared" si="24"/>
        <v>0</v>
      </c>
    </row>
    <row r="352" spans="1:14" x14ac:dyDescent="0.15">
      <c r="A352" s="398">
        <f t="shared" si="21"/>
        <v>40046</v>
      </c>
      <c r="B352" s="331">
        <v>0.30767031446579962</v>
      </c>
      <c r="C352" s="331">
        <v>1.9354838709677419E-3</v>
      </c>
      <c r="D352" s="331">
        <v>3.7258064516129036E-2</v>
      </c>
      <c r="E352" s="331">
        <v>4.2299999999999997E-2</v>
      </c>
      <c r="F352" s="331">
        <v>0</v>
      </c>
      <c r="H352" s="377"/>
      <c r="I352" s="377"/>
      <c r="J352" s="377"/>
      <c r="L352" s="339">
        <f t="shared" si="22"/>
        <v>0</v>
      </c>
      <c r="M352" s="340">
        <f t="shared" si="23"/>
        <v>0</v>
      </c>
      <c r="N352" s="340">
        <f t="shared" si="24"/>
        <v>0</v>
      </c>
    </row>
    <row r="353" spans="1:14" x14ac:dyDescent="0.15">
      <c r="A353" s="398">
        <f t="shared" si="21"/>
        <v>40047</v>
      </c>
      <c r="B353" s="331">
        <v>0.30767031446579962</v>
      </c>
      <c r="C353" s="331">
        <v>1.9354838709677419E-3</v>
      </c>
      <c r="D353" s="331">
        <v>3.7258064516129036E-2</v>
      </c>
      <c r="E353" s="331">
        <v>4.2299999999999997E-2</v>
      </c>
      <c r="F353" s="331">
        <v>0</v>
      </c>
      <c r="H353" s="377"/>
      <c r="I353" s="377"/>
      <c r="J353" s="377"/>
      <c r="L353" s="339">
        <f t="shared" si="22"/>
        <v>0</v>
      </c>
      <c r="M353" s="340">
        <f t="shared" si="23"/>
        <v>0</v>
      </c>
      <c r="N353" s="340">
        <f t="shared" si="24"/>
        <v>0</v>
      </c>
    </row>
    <row r="354" spans="1:14" x14ac:dyDescent="0.15">
      <c r="A354" s="398">
        <f t="shared" si="21"/>
        <v>40048</v>
      </c>
      <c r="B354" s="331">
        <v>0.30767031446579962</v>
      </c>
      <c r="C354" s="331">
        <v>1.9354838709677419E-3</v>
      </c>
      <c r="D354" s="331">
        <v>3.7258064516129036E-2</v>
      </c>
      <c r="E354" s="331">
        <v>4.2299999999999997E-2</v>
      </c>
      <c r="F354" s="331">
        <v>0</v>
      </c>
      <c r="H354" s="377"/>
      <c r="I354" s="377"/>
      <c r="J354" s="377"/>
      <c r="L354" s="339">
        <f t="shared" si="22"/>
        <v>0</v>
      </c>
      <c r="M354" s="340">
        <f t="shared" si="23"/>
        <v>0</v>
      </c>
      <c r="N354" s="340">
        <f t="shared" si="24"/>
        <v>0</v>
      </c>
    </row>
    <row r="355" spans="1:14" x14ac:dyDescent="0.15">
      <c r="A355" s="398">
        <f t="shared" si="21"/>
        <v>40049</v>
      </c>
      <c r="B355" s="331">
        <v>0.30767031446579962</v>
      </c>
      <c r="C355" s="331">
        <v>1.9354838709677419E-3</v>
      </c>
      <c r="D355" s="331">
        <v>3.7258064516129036E-2</v>
      </c>
      <c r="E355" s="331">
        <v>4.2299999999999997E-2</v>
      </c>
      <c r="F355" s="331">
        <v>0</v>
      </c>
      <c r="H355" s="377"/>
      <c r="I355" s="377"/>
      <c r="J355" s="377"/>
      <c r="L355" s="339">
        <f t="shared" si="22"/>
        <v>0</v>
      </c>
      <c r="M355" s="340">
        <f t="shared" si="23"/>
        <v>0</v>
      </c>
      <c r="N355" s="340">
        <f t="shared" si="24"/>
        <v>0</v>
      </c>
    </row>
    <row r="356" spans="1:14" x14ac:dyDescent="0.15">
      <c r="A356" s="398">
        <f t="shared" si="21"/>
        <v>40050</v>
      </c>
      <c r="B356" s="331">
        <v>0.30767031446579962</v>
      </c>
      <c r="C356" s="331">
        <v>1.9354838709677419E-3</v>
      </c>
      <c r="D356" s="331">
        <v>3.7258064516129036E-2</v>
      </c>
      <c r="E356" s="331">
        <v>4.2299999999999997E-2</v>
      </c>
      <c r="F356" s="331">
        <v>0</v>
      </c>
      <c r="H356" s="377"/>
      <c r="I356" s="377"/>
      <c r="J356" s="377"/>
      <c r="L356" s="339">
        <f t="shared" si="22"/>
        <v>0</v>
      </c>
      <c r="M356" s="340">
        <f t="shared" si="23"/>
        <v>0</v>
      </c>
      <c r="N356" s="340">
        <f t="shared" si="24"/>
        <v>0</v>
      </c>
    </row>
    <row r="357" spans="1:14" x14ac:dyDescent="0.15">
      <c r="A357" s="398">
        <f t="shared" si="21"/>
        <v>40051</v>
      </c>
      <c r="B357" s="331">
        <v>0.30767031446579962</v>
      </c>
      <c r="C357" s="331">
        <v>1.9354838709677419E-3</v>
      </c>
      <c r="D357" s="331">
        <v>3.7258064516129036E-2</v>
      </c>
      <c r="E357" s="331">
        <v>4.2299999999999997E-2</v>
      </c>
      <c r="F357" s="331">
        <v>0</v>
      </c>
      <c r="H357" s="377"/>
      <c r="I357" s="377"/>
      <c r="J357" s="377"/>
      <c r="L357" s="339">
        <f t="shared" si="22"/>
        <v>0</v>
      </c>
      <c r="M357" s="340">
        <f t="shared" si="23"/>
        <v>0</v>
      </c>
      <c r="N357" s="340">
        <f t="shared" si="24"/>
        <v>0</v>
      </c>
    </row>
    <row r="358" spans="1:14" x14ac:dyDescent="0.15">
      <c r="A358" s="398">
        <f t="shared" si="21"/>
        <v>40052</v>
      </c>
      <c r="B358" s="331">
        <v>0.30767031446579962</v>
      </c>
      <c r="C358" s="331">
        <v>1.9354838709677419E-3</v>
      </c>
      <c r="D358" s="331">
        <v>3.7258064516129036E-2</v>
      </c>
      <c r="E358" s="331">
        <v>4.2299999999999997E-2</v>
      </c>
      <c r="F358" s="331">
        <v>0</v>
      </c>
      <c r="H358" s="377"/>
      <c r="I358" s="377"/>
      <c r="J358" s="377"/>
      <c r="L358" s="339">
        <f t="shared" si="22"/>
        <v>0</v>
      </c>
      <c r="M358" s="340">
        <f t="shared" si="23"/>
        <v>0</v>
      </c>
      <c r="N358" s="340">
        <f t="shared" si="24"/>
        <v>0</v>
      </c>
    </row>
    <row r="359" spans="1:14" x14ac:dyDescent="0.15">
      <c r="A359" s="398">
        <f t="shared" si="21"/>
        <v>40053</v>
      </c>
      <c r="B359" s="331">
        <v>0.30767031446579962</v>
      </c>
      <c r="C359" s="331">
        <v>1.9354838709677419E-3</v>
      </c>
      <c r="D359" s="331">
        <v>3.7258064516129036E-2</v>
      </c>
      <c r="E359" s="331">
        <v>4.2299999999999997E-2</v>
      </c>
      <c r="F359" s="331">
        <v>0</v>
      </c>
      <c r="H359" s="377"/>
      <c r="I359" s="377"/>
      <c r="J359" s="377"/>
      <c r="L359" s="339">
        <f t="shared" si="22"/>
        <v>0</v>
      </c>
      <c r="M359" s="340">
        <f t="shared" si="23"/>
        <v>0</v>
      </c>
      <c r="N359" s="340">
        <f t="shared" si="24"/>
        <v>0</v>
      </c>
    </row>
    <row r="360" spans="1:14" x14ac:dyDescent="0.15">
      <c r="A360" s="398">
        <f t="shared" si="21"/>
        <v>40054</v>
      </c>
      <c r="B360" s="331">
        <v>0.30767031446579962</v>
      </c>
      <c r="C360" s="331">
        <v>1.9354838709677419E-3</v>
      </c>
      <c r="D360" s="331">
        <v>3.7258064516129036E-2</v>
      </c>
      <c r="E360" s="331">
        <v>4.2299999999999997E-2</v>
      </c>
      <c r="F360" s="331">
        <v>0</v>
      </c>
      <c r="H360" s="377"/>
      <c r="I360" s="377"/>
      <c r="J360" s="377"/>
      <c r="L360" s="339">
        <f t="shared" si="22"/>
        <v>0</v>
      </c>
      <c r="M360" s="340">
        <f t="shared" si="23"/>
        <v>0</v>
      </c>
      <c r="N360" s="340">
        <f t="shared" si="24"/>
        <v>0</v>
      </c>
    </row>
    <row r="361" spans="1:14" x14ac:dyDescent="0.15">
      <c r="A361" s="398">
        <f t="shared" si="21"/>
        <v>40055</v>
      </c>
      <c r="B361" s="331">
        <v>0.30767031446579962</v>
      </c>
      <c r="C361" s="331">
        <v>1.9354838709677419E-3</v>
      </c>
      <c r="D361" s="331">
        <v>3.7258064516129036E-2</v>
      </c>
      <c r="E361" s="331">
        <v>4.2299999999999997E-2</v>
      </c>
      <c r="F361" s="331">
        <v>0</v>
      </c>
      <c r="H361" s="377"/>
      <c r="I361" s="377"/>
      <c r="J361" s="377"/>
      <c r="L361" s="339">
        <f t="shared" si="22"/>
        <v>0</v>
      </c>
      <c r="M361" s="340">
        <f t="shared" si="23"/>
        <v>0</v>
      </c>
      <c r="N361" s="340">
        <f t="shared" si="24"/>
        <v>0</v>
      </c>
    </row>
    <row r="362" spans="1:14" x14ac:dyDescent="0.15">
      <c r="A362" s="398">
        <f t="shared" si="21"/>
        <v>40056</v>
      </c>
      <c r="B362" s="331">
        <v>0.30767031446579962</v>
      </c>
      <c r="C362" s="331">
        <v>1.9354838709677419E-3</v>
      </c>
      <c r="D362" s="331">
        <v>3.7258064516129036E-2</v>
      </c>
      <c r="E362" s="331">
        <v>4.2299999999999997E-2</v>
      </c>
      <c r="F362" s="331">
        <v>0</v>
      </c>
      <c r="H362" s="377"/>
      <c r="I362" s="377"/>
      <c r="J362" s="377"/>
      <c r="L362" s="339">
        <f t="shared" si="22"/>
        <v>0</v>
      </c>
      <c r="M362" s="340">
        <f t="shared" si="23"/>
        <v>0</v>
      </c>
      <c r="N362" s="340">
        <f t="shared" si="24"/>
        <v>0</v>
      </c>
    </row>
    <row r="363" spans="1:14" x14ac:dyDescent="0.15">
      <c r="A363" s="398">
        <f t="shared" si="21"/>
        <v>40057</v>
      </c>
      <c r="B363" s="331">
        <v>0.73134052111552317</v>
      </c>
      <c r="C363" s="331">
        <v>2E-3</v>
      </c>
      <c r="D363" s="331">
        <v>3.85E-2</v>
      </c>
      <c r="E363" s="331">
        <v>4.2299999999999997E-2</v>
      </c>
      <c r="F363" s="331">
        <v>0</v>
      </c>
      <c r="H363" s="377"/>
      <c r="I363" s="377"/>
      <c r="J363" s="377"/>
      <c r="L363" s="339">
        <f t="shared" si="22"/>
        <v>0</v>
      </c>
      <c r="M363" s="340">
        <f t="shared" si="23"/>
        <v>0</v>
      </c>
      <c r="N363" s="340">
        <f t="shared" si="24"/>
        <v>0</v>
      </c>
    </row>
    <row r="364" spans="1:14" x14ac:dyDescent="0.15">
      <c r="A364" s="398">
        <f t="shared" si="21"/>
        <v>40058</v>
      </c>
      <c r="B364" s="331">
        <v>0.73134052111552317</v>
      </c>
      <c r="C364" s="331">
        <v>2E-3</v>
      </c>
      <c r="D364" s="331">
        <v>3.85E-2</v>
      </c>
      <c r="E364" s="331">
        <v>4.2299999999999997E-2</v>
      </c>
      <c r="F364" s="331">
        <v>0</v>
      </c>
      <c r="H364" s="377"/>
      <c r="I364" s="377"/>
      <c r="J364" s="377"/>
      <c r="L364" s="339">
        <f t="shared" si="22"/>
        <v>0</v>
      </c>
      <c r="M364" s="340">
        <f t="shared" si="23"/>
        <v>0</v>
      </c>
      <c r="N364" s="340">
        <f t="shared" si="24"/>
        <v>0</v>
      </c>
    </row>
    <row r="365" spans="1:14" x14ac:dyDescent="0.15">
      <c r="A365" s="398">
        <f t="shared" si="21"/>
        <v>40059</v>
      </c>
      <c r="B365" s="331">
        <v>0.73134052111552317</v>
      </c>
      <c r="C365" s="331">
        <v>2E-3</v>
      </c>
      <c r="D365" s="331">
        <v>3.85E-2</v>
      </c>
      <c r="E365" s="331">
        <v>4.2299999999999997E-2</v>
      </c>
      <c r="F365" s="331">
        <v>0</v>
      </c>
      <c r="H365" s="377"/>
      <c r="I365" s="377"/>
      <c r="J365" s="377"/>
      <c r="L365" s="339">
        <f t="shared" si="22"/>
        <v>0</v>
      </c>
      <c r="M365" s="340">
        <f t="shared" si="23"/>
        <v>0</v>
      </c>
      <c r="N365" s="340">
        <f t="shared" si="24"/>
        <v>0</v>
      </c>
    </row>
    <row r="366" spans="1:14" x14ac:dyDescent="0.15">
      <c r="A366" s="398">
        <f t="shared" si="21"/>
        <v>40060</v>
      </c>
      <c r="B366" s="331">
        <v>0.73134052111552317</v>
      </c>
      <c r="C366" s="331">
        <v>2E-3</v>
      </c>
      <c r="D366" s="331">
        <v>3.85E-2</v>
      </c>
      <c r="E366" s="331">
        <v>4.2299999999999997E-2</v>
      </c>
      <c r="F366" s="331">
        <v>0</v>
      </c>
      <c r="H366" s="377"/>
      <c r="I366" s="377"/>
      <c r="J366" s="377"/>
      <c r="L366" s="339">
        <f t="shared" si="22"/>
        <v>0</v>
      </c>
      <c r="M366" s="340">
        <f t="shared" si="23"/>
        <v>0</v>
      </c>
      <c r="N366" s="340">
        <f t="shared" si="24"/>
        <v>0</v>
      </c>
    </row>
    <row r="367" spans="1:14" x14ac:dyDescent="0.15">
      <c r="A367" s="398">
        <f t="shared" si="21"/>
        <v>40061</v>
      </c>
      <c r="B367" s="331">
        <v>0.73134052111552317</v>
      </c>
      <c r="C367" s="331">
        <v>2E-3</v>
      </c>
      <c r="D367" s="331">
        <v>3.85E-2</v>
      </c>
      <c r="E367" s="331">
        <v>4.2299999999999997E-2</v>
      </c>
      <c r="F367" s="331">
        <v>0</v>
      </c>
      <c r="H367" s="377"/>
      <c r="I367" s="377"/>
      <c r="J367" s="377"/>
      <c r="L367" s="339">
        <f t="shared" si="22"/>
        <v>0</v>
      </c>
      <c r="M367" s="340">
        <f t="shared" si="23"/>
        <v>0</v>
      </c>
      <c r="N367" s="340">
        <f t="shared" si="24"/>
        <v>0</v>
      </c>
    </row>
    <row r="368" spans="1:14" x14ac:dyDescent="0.15">
      <c r="A368" s="398">
        <f t="shared" si="21"/>
        <v>40062</v>
      </c>
      <c r="B368" s="331">
        <v>0.73134052111552317</v>
      </c>
      <c r="C368" s="331">
        <v>2E-3</v>
      </c>
      <c r="D368" s="331">
        <v>3.85E-2</v>
      </c>
      <c r="E368" s="331">
        <v>4.2299999999999997E-2</v>
      </c>
      <c r="F368" s="331">
        <v>0</v>
      </c>
      <c r="H368" s="377"/>
      <c r="I368" s="377"/>
      <c r="J368" s="377"/>
      <c r="L368" s="339">
        <f t="shared" si="22"/>
        <v>0</v>
      </c>
      <c r="M368" s="340">
        <f t="shared" si="23"/>
        <v>0</v>
      </c>
      <c r="N368" s="340">
        <f t="shared" si="24"/>
        <v>0</v>
      </c>
    </row>
    <row r="369" spans="1:14" x14ac:dyDescent="0.15">
      <c r="A369" s="398">
        <f t="shared" si="21"/>
        <v>40063</v>
      </c>
      <c r="B369" s="331">
        <v>0.73134052111552317</v>
      </c>
      <c r="C369" s="331">
        <v>2E-3</v>
      </c>
      <c r="D369" s="331">
        <v>3.85E-2</v>
      </c>
      <c r="E369" s="331">
        <v>4.2299999999999997E-2</v>
      </c>
      <c r="F369" s="331">
        <v>0</v>
      </c>
      <c r="H369" s="377"/>
      <c r="I369" s="377"/>
      <c r="J369" s="377"/>
      <c r="L369" s="339">
        <f t="shared" si="22"/>
        <v>0</v>
      </c>
      <c r="M369" s="340">
        <f t="shared" si="23"/>
        <v>0</v>
      </c>
      <c r="N369" s="340">
        <f t="shared" si="24"/>
        <v>0</v>
      </c>
    </row>
    <row r="370" spans="1:14" x14ac:dyDescent="0.15">
      <c r="A370" s="398">
        <f t="shared" si="21"/>
        <v>40064</v>
      </c>
      <c r="B370" s="331">
        <v>0.73134052111552317</v>
      </c>
      <c r="C370" s="331">
        <v>2E-3</v>
      </c>
      <c r="D370" s="331">
        <v>3.85E-2</v>
      </c>
      <c r="E370" s="331">
        <v>4.2299999999999997E-2</v>
      </c>
      <c r="F370" s="331">
        <v>0</v>
      </c>
      <c r="H370" s="377"/>
      <c r="I370" s="377"/>
      <c r="J370" s="377"/>
      <c r="L370" s="339">
        <f t="shared" si="22"/>
        <v>0</v>
      </c>
      <c r="M370" s="340">
        <f t="shared" si="23"/>
        <v>0</v>
      </c>
      <c r="N370" s="340">
        <f t="shared" si="24"/>
        <v>0</v>
      </c>
    </row>
    <row r="371" spans="1:14" x14ac:dyDescent="0.15">
      <c r="A371" s="398">
        <f t="shared" si="21"/>
        <v>40065</v>
      </c>
      <c r="B371" s="331">
        <v>0.73134052111552317</v>
      </c>
      <c r="C371" s="331">
        <v>2E-3</v>
      </c>
      <c r="D371" s="331">
        <v>3.85E-2</v>
      </c>
      <c r="E371" s="331">
        <v>4.2299999999999997E-2</v>
      </c>
      <c r="F371" s="331">
        <v>0</v>
      </c>
      <c r="H371" s="377"/>
      <c r="I371" s="377"/>
      <c r="J371" s="377"/>
      <c r="L371" s="339">
        <f t="shared" si="22"/>
        <v>0</v>
      </c>
      <c r="M371" s="340">
        <f t="shared" si="23"/>
        <v>0</v>
      </c>
      <c r="N371" s="340">
        <f t="shared" si="24"/>
        <v>0</v>
      </c>
    </row>
    <row r="372" spans="1:14" x14ac:dyDescent="0.15">
      <c r="A372" s="398">
        <f t="shared" si="21"/>
        <v>40066</v>
      </c>
      <c r="B372" s="331">
        <v>0.73134052111552317</v>
      </c>
      <c r="C372" s="331">
        <v>2E-3</v>
      </c>
      <c r="D372" s="331">
        <v>3.85E-2</v>
      </c>
      <c r="E372" s="331">
        <v>4.2299999999999997E-2</v>
      </c>
      <c r="F372" s="331">
        <v>0</v>
      </c>
      <c r="H372" s="377"/>
      <c r="I372" s="377"/>
      <c r="J372" s="377"/>
      <c r="L372" s="339">
        <f t="shared" si="22"/>
        <v>0</v>
      </c>
      <c r="M372" s="340">
        <f t="shared" si="23"/>
        <v>0</v>
      </c>
      <c r="N372" s="340">
        <f t="shared" si="24"/>
        <v>0</v>
      </c>
    </row>
    <row r="373" spans="1:14" x14ac:dyDescent="0.15">
      <c r="A373" s="398">
        <f t="shared" si="21"/>
        <v>40067</v>
      </c>
      <c r="B373" s="331">
        <v>0.73134052111552317</v>
      </c>
      <c r="C373" s="331">
        <v>2E-3</v>
      </c>
      <c r="D373" s="331">
        <v>3.85E-2</v>
      </c>
      <c r="E373" s="331">
        <v>4.2299999999999997E-2</v>
      </c>
      <c r="F373" s="331">
        <v>0</v>
      </c>
      <c r="H373" s="377"/>
      <c r="I373" s="377"/>
      <c r="J373" s="377"/>
      <c r="L373" s="339">
        <f t="shared" si="22"/>
        <v>0</v>
      </c>
      <c r="M373" s="340">
        <f t="shared" si="23"/>
        <v>0</v>
      </c>
      <c r="N373" s="340">
        <f t="shared" si="24"/>
        <v>0</v>
      </c>
    </row>
    <row r="374" spans="1:14" x14ac:dyDescent="0.15">
      <c r="A374" s="398">
        <f t="shared" si="21"/>
        <v>40068</v>
      </c>
      <c r="B374" s="331">
        <v>0.73134052111552317</v>
      </c>
      <c r="C374" s="331">
        <v>2E-3</v>
      </c>
      <c r="D374" s="331">
        <v>3.85E-2</v>
      </c>
      <c r="E374" s="331">
        <v>4.2299999999999997E-2</v>
      </c>
      <c r="F374" s="331">
        <v>0</v>
      </c>
      <c r="H374" s="377"/>
      <c r="I374" s="377"/>
      <c r="J374" s="377"/>
      <c r="L374" s="339">
        <f t="shared" si="22"/>
        <v>0</v>
      </c>
      <c r="M374" s="340">
        <f t="shared" si="23"/>
        <v>0</v>
      </c>
      <c r="N374" s="340">
        <f t="shared" si="24"/>
        <v>0</v>
      </c>
    </row>
    <row r="375" spans="1:14" x14ac:dyDescent="0.15">
      <c r="A375" s="398">
        <f t="shared" si="21"/>
        <v>40069</v>
      </c>
      <c r="B375" s="331">
        <v>0.73134052111552317</v>
      </c>
      <c r="C375" s="331">
        <v>2E-3</v>
      </c>
      <c r="D375" s="331">
        <v>3.85E-2</v>
      </c>
      <c r="E375" s="331">
        <v>4.2299999999999997E-2</v>
      </c>
      <c r="F375" s="331">
        <v>0</v>
      </c>
      <c r="H375" s="377"/>
      <c r="I375" s="377"/>
      <c r="J375" s="377"/>
      <c r="L375" s="339">
        <f t="shared" si="22"/>
        <v>0</v>
      </c>
      <c r="M375" s="340">
        <f t="shared" si="23"/>
        <v>0</v>
      </c>
      <c r="N375" s="340">
        <f t="shared" si="24"/>
        <v>0</v>
      </c>
    </row>
    <row r="376" spans="1:14" x14ac:dyDescent="0.15">
      <c r="A376" s="398">
        <f t="shared" si="21"/>
        <v>40070</v>
      </c>
      <c r="B376" s="331">
        <v>0.73134052111552317</v>
      </c>
      <c r="C376" s="331">
        <v>2E-3</v>
      </c>
      <c r="D376" s="331">
        <v>3.85E-2</v>
      </c>
      <c r="E376" s="331">
        <v>4.2299999999999997E-2</v>
      </c>
      <c r="F376" s="331">
        <v>0</v>
      </c>
      <c r="H376" s="377"/>
      <c r="I376" s="377"/>
      <c r="J376" s="377"/>
      <c r="L376" s="339">
        <f t="shared" si="22"/>
        <v>0</v>
      </c>
      <c r="M376" s="340">
        <f t="shared" si="23"/>
        <v>0</v>
      </c>
      <c r="N376" s="340">
        <f t="shared" si="24"/>
        <v>0</v>
      </c>
    </row>
    <row r="377" spans="1:14" x14ac:dyDescent="0.15">
      <c r="A377" s="398">
        <f t="shared" si="21"/>
        <v>40071</v>
      </c>
      <c r="B377" s="331">
        <v>0.73134052111552317</v>
      </c>
      <c r="C377" s="331">
        <v>2E-3</v>
      </c>
      <c r="D377" s="331">
        <v>3.85E-2</v>
      </c>
      <c r="E377" s="331">
        <v>4.2299999999999997E-2</v>
      </c>
      <c r="F377" s="331">
        <v>0</v>
      </c>
      <c r="G377" s="397"/>
      <c r="H377" s="377"/>
      <c r="I377" s="377"/>
      <c r="J377" s="377"/>
      <c r="L377" s="339">
        <f t="shared" si="22"/>
        <v>0</v>
      </c>
      <c r="M377" s="340">
        <f t="shared" si="23"/>
        <v>0</v>
      </c>
      <c r="N377" s="340">
        <f t="shared" si="24"/>
        <v>0</v>
      </c>
    </row>
    <row r="378" spans="1:14" x14ac:dyDescent="0.15">
      <c r="A378" s="398">
        <f t="shared" si="21"/>
        <v>40072</v>
      </c>
      <c r="B378" s="331">
        <v>0.73134052111552317</v>
      </c>
      <c r="C378" s="331">
        <v>2E-3</v>
      </c>
      <c r="D378" s="331">
        <v>3.85E-2</v>
      </c>
      <c r="E378" s="331">
        <v>4.2299999999999997E-2</v>
      </c>
      <c r="F378" s="331">
        <v>0</v>
      </c>
      <c r="H378" s="377"/>
      <c r="I378" s="377"/>
      <c r="J378" s="377"/>
      <c r="L378" s="339">
        <f t="shared" si="22"/>
        <v>0</v>
      </c>
      <c r="M378" s="340">
        <f t="shared" si="23"/>
        <v>0</v>
      </c>
      <c r="N378" s="340">
        <f t="shared" si="24"/>
        <v>0</v>
      </c>
    </row>
    <row r="379" spans="1:14" x14ac:dyDescent="0.15">
      <c r="A379" s="398">
        <f t="shared" si="21"/>
        <v>40073</v>
      </c>
      <c r="B379" s="331">
        <v>0.73134052111552317</v>
      </c>
      <c r="C379" s="331">
        <v>2E-3</v>
      </c>
      <c r="D379" s="331">
        <v>3.85E-2</v>
      </c>
      <c r="E379" s="331">
        <v>4.2299999999999997E-2</v>
      </c>
      <c r="F379" s="331">
        <v>0</v>
      </c>
      <c r="H379" s="377"/>
      <c r="I379" s="377"/>
      <c r="J379" s="377"/>
      <c r="L379" s="339">
        <f t="shared" si="22"/>
        <v>0</v>
      </c>
      <c r="M379" s="340">
        <f t="shared" si="23"/>
        <v>0</v>
      </c>
      <c r="N379" s="340">
        <f t="shared" si="24"/>
        <v>0</v>
      </c>
    </row>
    <row r="380" spans="1:14" x14ac:dyDescent="0.15">
      <c r="A380" s="398">
        <f t="shared" ref="A380:A423" si="25">+A379+1</f>
        <v>40074</v>
      </c>
      <c r="B380" s="331">
        <v>0.73134052111552317</v>
      </c>
      <c r="C380" s="331">
        <v>2E-3</v>
      </c>
      <c r="D380" s="331">
        <v>3.85E-2</v>
      </c>
      <c r="E380" s="331">
        <v>4.2299999999999997E-2</v>
      </c>
      <c r="F380" s="331">
        <v>0</v>
      </c>
      <c r="H380" s="377"/>
      <c r="I380" s="377"/>
      <c r="J380" s="377"/>
      <c r="L380" s="339">
        <f t="shared" ref="L380:L423" si="26">+H381-H380</f>
        <v>0</v>
      </c>
      <c r="M380" s="340">
        <f t="shared" ref="M380:M423" si="27">+I381-I380</f>
        <v>0</v>
      </c>
      <c r="N380" s="340">
        <f t="shared" ref="N380:N423" si="28">+J381-J380</f>
        <v>0</v>
      </c>
    </row>
    <row r="381" spans="1:14" x14ac:dyDescent="0.15">
      <c r="A381" s="398">
        <f t="shared" si="25"/>
        <v>40075</v>
      </c>
      <c r="B381" s="331">
        <v>0.73134052111552317</v>
      </c>
      <c r="C381" s="331">
        <v>2E-3</v>
      </c>
      <c r="D381" s="331">
        <v>3.85E-2</v>
      </c>
      <c r="E381" s="331">
        <v>4.2299999999999997E-2</v>
      </c>
      <c r="F381" s="331">
        <v>0</v>
      </c>
      <c r="H381" s="377"/>
      <c r="I381" s="377"/>
      <c r="J381" s="377"/>
      <c r="L381" s="339">
        <f t="shared" si="26"/>
        <v>0</v>
      </c>
      <c r="M381" s="340">
        <f t="shared" si="27"/>
        <v>0</v>
      </c>
      <c r="N381" s="340">
        <f t="shared" si="28"/>
        <v>0</v>
      </c>
    </row>
    <row r="382" spans="1:14" x14ac:dyDescent="0.15">
      <c r="A382" s="398">
        <f t="shared" si="25"/>
        <v>40076</v>
      </c>
      <c r="B382" s="331">
        <v>0.73134052111552317</v>
      </c>
      <c r="C382" s="331">
        <v>2E-3</v>
      </c>
      <c r="D382" s="331">
        <v>3.85E-2</v>
      </c>
      <c r="E382" s="331">
        <v>4.2299999999999997E-2</v>
      </c>
      <c r="F382" s="331">
        <v>0</v>
      </c>
      <c r="H382" s="377"/>
      <c r="I382" s="377"/>
      <c r="J382" s="377"/>
      <c r="L382" s="339">
        <f t="shared" si="26"/>
        <v>0</v>
      </c>
      <c r="M382" s="340">
        <f t="shared" si="27"/>
        <v>0</v>
      </c>
      <c r="N382" s="340">
        <f t="shared" si="28"/>
        <v>0</v>
      </c>
    </row>
    <row r="383" spans="1:14" x14ac:dyDescent="0.15">
      <c r="A383" s="398">
        <f t="shared" si="25"/>
        <v>40077</v>
      </c>
      <c r="B383" s="331">
        <v>0.73134052111552317</v>
      </c>
      <c r="C383" s="331">
        <v>2E-3</v>
      </c>
      <c r="D383" s="331">
        <v>3.85E-2</v>
      </c>
      <c r="E383" s="331">
        <v>4.2299999999999997E-2</v>
      </c>
      <c r="F383" s="331">
        <v>0</v>
      </c>
      <c r="H383" s="377"/>
      <c r="I383" s="377"/>
      <c r="J383" s="377"/>
      <c r="L383" s="339">
        <f t="shared" si="26"/>
        <v>0</v>
      </c>
      <c r="M383" s="340">
        <f t="shared" si="27"/>
        <v>0</v>
      </c>
      <c r="N383" s="340">
        <f t="shared" si="28"/>
        <v>0</v>
      </c>
    </row>
    <row r="384" spans="1:14" x14ac:dyDescent="0.15">
      <c r="A384" s="398">
        <f t="shared" si="25"/>
        <v>40078</v>
      </c>
      <c r="B384" s="331">
        <v>0.73134052111552317</v>
      </c>
      <c r="C384" s="331">
        <v>2E-3</v>
      </c>
      <c r="D384" s="331">
        <v>3.85E-2</v>
      </c>
      <c r="E384" s="331">
        <v>4.2299999999999997E-2</v>
      </c>
      <c r="F384" s="331">
        <v>0</v>
      </c>
      <c r="H384" s="377"/>
      <c r="I384" s="377"/>
      <c r="J384" s="377"/>
      <c r="L384" s="339">
        <f t="shared" si="26"/>
        <v>0</v>
      </c>
      <c r="M384" s="340">
        <f t="shared" si="27"/>
        <v>0</v>
      </c>
      <c r="N384" s="340">
        <f t="shared" si="28"/>
        <v>0</v>
      </c>
    </row>
    <row r="385" spans="1:14" x14ac:dyDescent="0.15">
      <c r="A385" s="398">
        <f t="shared" si="25"/>
        <v>40079</v>
      </c>
      <c r="B385" s="331">
        <v>0.73134052111552317</v>
      </c>
      <c r="C385" s="331">
        <v>2E-3</v>
      </c>
      <c r="D385" s="331">
        <v>3.85E-2</v>
      </c>
      <c r="E385" s="331">
        <v>4.2299999999999997E-2</v>
      </c>
      <c r="F385" s="331">
        <v>0</v>
      </c>
      <c r="H385" s="377"/>
      <c r="I385" s="377"/>
      <c r="J385" s="377"/>
      <c r="L385" s="339">
        <f t="shared" si="26"/>
        <v>0</v>
      </c>
      <c r="M385" s="340">
        <f t="shared" si="27"/>
        <v>0</v>
      </c>
      <c r="N385" s="340">
        <f t="shared" si="28"/>
        <v>0</v>
      </c>
    </row>
    <row r="386" spans="1:14" x14ac:dyDescent="0.15">
      <c r="A386" s="398">
        <f t="shared" si="25"/>
        <v>40080</v>
      </c>
      <c r="B386" s="331">
        <v>0.73134052111552317</v>
      </c>
      <c r="C386" s="331">
        <v>2E-3</v>
      </c>
      <c r="D386" s="331">
        <v>3.85E-2</v>
      </c>
      <c r="E386" s="331">
        <v>4.2299999999999997E-2</v>
      </c>
      <c r="F386" s="331">
        <v>0</v>
      </c>
      <c r="H386" s="377"/>
      <c r="I386" s="377"/>
      <c r="J386" s="377"/>
      <c r="L386" s="339">
        <f t="shared" si="26"/>
        <v>0</v>
      </c>
      <c r="M386" s="340">
        <f t="shared" si="27"/>
        <v>0</v>
      </c>
      <c r="N386" s="340">
        <f t="shared" si="28"/>
        <v>0</v>
      </c>
    </row>
    <row r="387" spans="1:14" x14ac:dyDescent="0.15">
      <c r="A387" s="398">
        <f t="shared" si="25"/>
        <v>40081</v>
      </c>
      <c r="B387" s="331">
        <v>0.73134052111552317</v>
      </c>
      <c r="C387" s="331">
        <v>2E-3</v>
      </c>
      <c r="D387" s="331">
        <v>3.85E-2</v>
      </c>
      <c r="E387" s="331">
        <v>4.2299999999999997E-2</v>
      </c>
      <c r="F387" s="331">
        <v>0</v>
      </c>
      <c r="H387" s="377"/>
      <c r="I387" s="377"/>
      <c r="J387" s="377"/>
      <c r="L387" s="339">
        <f t="shared" si="26"/>
        <v>0</v>
      </c>
      <c r="M387" s="340">
        <f t="shared" si="27"/>
        <v>0</v>
      </c>
      <c r="N387" s="340">
        <f t="shared" si="28"/>
        <v>0</v>
      </c>
    </row>
    <row r="388" spans="1:14" x14ac:dyDescent="0.15">
      <c r="A388" s="398">
        <f t="shared" si="25"/>
        <v>40082</v>
      </c>
      <c r="B388" s="331">
        <v>0.73134052111552317</v>
      </c>
      <c r="C388" s="331">
        <v>2E-3</v>
      </c>
      <c r="D388" s="331">
        <v>3.85E-2</v>
      </c>
      <c r="E388" s="331">
        <v>4.2299999999999997E-2</v>
      </c>
      <c r="F388" s="331">
        <v>0</v>
      </c>
      <c r="H388" s="377"/>
      <c r="I388" s="377"/>
      <c r="J388" s="377"/>
      <c r="L388" s="339">
        <f t="shared" si="26"/>
        <v>0</v>
      </c>
      <c r="M388" s="340">
        <f t="shared" si="27"/>
        <v>0</v>
      </c>
      <c r="N388" s="340">
        <f t="shared" si="28"/>
        <v>0</v>
      </c>
    </row>
    <row r="389" spans="1:14" x14ac:dyDescent="0.15">
      <c r="A389" s="398">
        <f t="shared" si="25"/>
        <v>40083</v>
      </c>
      <c r="B389" s="331">
        <v>0.73134052111552317</v>
      </c>
      <c r="C389" s="331">
        <v>2E-3</v>
      </c>
      <c r="D389" s="331">
        <v>3.85E-2</v>
      </c>
      <c r="E389" s="331">
        <v>4.2299999999999997E-2</v>
      </c>
      <c r="F389" s="331">
        <v>0</v>
      </c>
      <c r="H389" s="377"/>
      <c r="I389" s="377"/>
      <c r="J389" s="377"/>
      <c r="L389" s="339">
        <f t="shared" si="26"/>
        <v>0</v>
      </c>
      <c r="M389" s="340">
        <f t="shared" si="27"/>
        <v>0</v>
      </c>
      <c r="N389" s="340">
        <f t="shared" si="28"/>
        <v>0</v>
      </c>
    </row>
    <row r="390" spans="1:14" x14ac:dyDescent="0.15">
      <c r="A390" s="398">
        <f t="shared" si="25"/>
        <v>40084</v>
      </c>
      <c r="B390" s="331">
        <v>0.73134052111552317</v>
      </c>
      <c r="C390" s="331">
        <v>2E-3</v>
      </c>
      <c r="D390" s="331">
        <v>3.85E-2</v>
      </c>
      <c r="E390" s="331">
        <v>4.2299999999999997E-2</v>
      </c>
      <c r="F390" s="331">
        <v>0</v>
      </c>
      <c r="H390" s="377"/>
      <c r="I390" s="377"/>
      <c r="J390" s="377"/>
      <c r="L390" s="339">
        <f t="shared" si="26"/>
        <v>0</v>
      </c>
      <c r="M390" s="340">
        <f t="shared" si="27"/>
        <v>0</v>
      </c>
      <c r="N390" s="340">
        <f t="shared" si="28"/>
        <v>0</v>
      </c>
    </row>
    <row r="391" spans="1:14" x14ac:dyDescent="0.15">
      <c r="A391" s="398">
        <f t="shared" si="25"/>
        <v>40085</v>
      </c>
      <c r="B391" s="331">
        <v>0.73134052111552317</v>
      </c>
      <c r="C391" s="331">
        <v>2E-3</v>
      </c>
      <c r="D391" s="331">
        <v>3.85E-2</v>
      </c>
      <c r="E391" s="331">
        <v>4.2299999999999997E-2</v>
      </c>
      <c r="F391" s="331">
        <v>0</v>
      </c>
      <c r="H391" s="377"/>
      <c r="I391" s="377"/>
      <c r="J391" s="377"/>
      <c r="L391" s="339">
        <f t="shared" si="26"/>
        <v>0</v>
      </c>
      <c r="M391" s="340">
        <f t="shared" si="27"/>
        <v>0</v>
      </c>
      <c r="N391" s="340">
        <f t="shared" si="28"/>
        <v>0</v>
      </c>
    </row>
    <row r="392" spans="1:14" x14ac:dyDescent="0.15">
      <c r="A392" s="398">
        <f t="shared" si="25"/>
        <v>40086</v>
      </c>
      <c r="B392" s="331">
        <v>0.73134052111552317</v>
      </c>
      <c r="C392" s="331">
        <v>2E-3</v>
      </c>
      <c r="D392" s="331">
        <v>3.85E-2</v>
      </c>
      <c r="E392" s="331">
        <v>4.2299999999999997E-2</v>
      </c>
      <c r="F392" s="331">
        <v>0</v>
      </c>
      <c r="H392" s="377"/>
      <c r="I392" s="377"/>
      <c r="J392" s="377"/>
      <c r="L392" s="339">
        <f t="shared" si="26"/>
        <v>0</v>
      </c>
      <c r="M392" s="340">
        <f t="shared" si="27"/>
        <v>0</v>
      </c>
      <c r="N392" s="340">
        <f t="shared" si="28"/>
        <v>0</v>
      </c>
    </row>
    <row r="393" spans="1:14" x14ac:dyDescent="0.15">
      <c r="A393" s="398">
        <f t="shared" si="25"/>
        <v>40087</v>
      </c>
      <c r="B393" s="331">
        <v>1.110335985720897</v>
      </c>
      <c r="C393" s="331">
        <v>1.9354838709677419E-3</v>
      </c>
      <c r="D393" s="331">
        <v>3.7258064516129036E-2</v>
      </c>
      <c r="E393" s="331">
        <v>4.2299999999999997E-2</v>
      </c>
      <c r="F393" s="331">
        <v>0</v>
      </c>
      <c r="H393" s="377"/>
      <c r="I393" s="377"/>
      <c r="J393" s="377"/>
      <c r="L393" s="339">
        <f t="shared" si="26"/>
        <v>0</v>
      </c>
      <c r="M393" s="340">
        <f t="shared" si="27"/>
        <v>0</v>
      </c>
      <c r="N393" s="340">
        <f t="shared" si="28"/>
        <v>0</v>
      </c>
    </row>
    <row r="394" spans="1:14" x14ac:dyDescent="0.15">
      <c r="A394" s="398">
        <f t="shared" si="25"/>
        <v>40088</v>
      </c>
      <c r="B394" s="331">
        <v>1.110335985720897</v>
      </c>
      <c r="C394" s="331">
        <v>1.9354838709677419E-3</v>
      </c>
      <c r="D394" s="331">
        <v>3.7258064516129036E-2</v>
      </c>
      <c r="E394" s="331">
        <v>4.2299999999999997E-2</v>
      </c>
      <c r="F394" s="331">
        <v>0</v>
      </c>
      <c r="H394" s="377"/>
      <c r="I394" s="377"/>
      <c r="J394" s="377"/>
      <c r="L394" s="339">
        <f t="shared" si="26"/>
        <v>0</v>
      </c>
      <c r="M394" s="340">
        <f t="shared" si="27"/>
        <v>0</v>
      </c>
      <c r="N394" s="340">
        <f t="shared" si="28"/>
        <v>0</v>
      </c>
    </row>
    <row r="395" spans="1:14" x14ac:dyDescent="0.15">
      <c r="A395" s="398">
        <f t="shared" si="25"/>
        <v>40089</v>
      </c>
      <c r="B395" s="331">
        <v>1.110335985720897</v>
      </c>
      <c r="C395" s="331">
        <v>1.9354838709677419E-3</v>
      </c>
      <c r="D395" s="331">
        <v>3.7258064516129036E-2</v>
      </c>
      <c r="E395" s="331">
        <v>4.2299999999999997E-2</v>
      </c>
      <c r="F395" s="331">
        <v>0</v>
      </c>
      <c r="H395" s="377"/>
      <c r="I395" s="377"/>
      <c r="J395" s="377"/>
      <c r="L395" s="339">
        <f t="shared" si="26"/>
        <v>0</v>
      </c>
      <c r="M395" s="340">
        <f t="shared" si="27"/>
        <v>0</v>
      </c>
      <c r="N395" s="340">
        <f t="shared" si="28"/>
        <v>0</v>
      </c>
    </row>
    <row r="396" spans="1:14" x14ac:dyDescent="0.15">
      <c r="A396" s="398">
        <f t="shared" si="25"/>
        <v>40090</v>
      </c>
      <c r="B396" s="331">
        <v>1.110335985720897</v>
      </c>
      <c r="C396" s="331">
        <v>1.9354838709677419E-3</v>
      </c>
      <c r="D396" s="331">
        <v>3.7258064516129036E-2</v>
      </c>
      <c r="E396" s="331">
        <v>4.2299999999999997E-2</v>
      </c>
      <c r="F396" s="331">
        <v>0</v>
      </c>
      <c r="H396" s="377"/>
      <c r="I396" s="377"/>
      <c r="J396" s="377"/>
      <c r="L396" s="339">
        <f t="shared" si="26"/>
        <v>0</v>
      </c>
      <c r="M396" s="340">
        <f t="shared" si="27"/>
        <v>0</v>
      </c>
      <c r="N396" s="340">
        <f t="shared" si="28"/>
        <v>0</v>
      </c>
    </row>
    <row r="397" spans="1:14" x14ac:dyDescent="0.15">
      <c r="A397" s="398">
        <f t="shared" si="25"/>
        <v>40091</v>
      </c>
      <c r="B397" s="331">
        <v>1.110335985720897</v>
      </c>
      <c r="C397" s="331">
        <v>1.9354838709677419E-3</v>
      </c>
      <c r="D397" s="331">
        <v>3.7258064516129036E-2</v>
      </c>
      <c r="E397" s="331">
        <v>4.2299999999999997E-2</v>
      </c>
      <c r="F397" s="331">
        <v>0</v>
      </c>
      <c r="H397" s="377"/>
      <c r="I397" s="377"/>
      <c r="J397" s="377"/>
      <c r="L397" s="339">
        <f t="shared" si="26"/>
        <v>0</v>
      </c>
      <c r="M397" s="340">
        <f t="shared" si="27"/>
        <v>0</v>
      </c>
      <c r="N397" s="340">
        <f t="shared" si="28"/>
        <v>0</v>
      </c>
    </row>
    <row r="398" spans="1:14" x14ac:dyDescent="0.15">
      <c r="A398" s="398">
        <f t="shared" si="25"/>
        <v>40092</v>
      </c>
      <c r="B398" s="331">
        <v>1.110335985720897</v>
      </c>
      <c r="C398" s="331">
        <v>1.9354838709677419E-3</v>
      </c>
      <c r="D398" s="331">
        <v>3.7258064516129036E-2</v>
      </c>
      <c r="E398" s="331">
        <v>4.2299999999999997E-2</v>
      </c>
      <c r="F398" s="331">
        <v>0</v>
      </c>
      <c r="H398" s="377"/>
      <c r="I398" s="377"/>
      <c r="J398" s="377"/>
      <c r="L398" s="339">
        <f t="shared" si="26"/>
        <v>0</v>
      </c>
      <c r="M398" s="340">
        <f t="shared" si="27"/>
        <v>0</v>
      </c>
      <c r="N398" s="340">
        <f t="shared" si="28"/>
        <v>0</v>
      </c>
    </row>
    <row r="399" spans="1:14" x14ac:dyDescent="0.15">
      <c r="A399" s="398">
        <f t="shared" si="25"/>
        <v>40093</v>
      </c>
      <c r="B399" s="331">
        <v>1.110335985720897</v>
      </c>
      <c r="C399" s="331">
        <v>1.9354838709677419E-3</v>
      </c>
      <c r="D399" s="331">
        <v>3.7258064516129036E-2</v>
      </c>
      <c r="E399" s="331">
        <v>4.2299999999999997E-2</v>
      </c>
      <c r="F399" s="331">
        <v>0</v>
      </c>
      <c r="H399" s="377"/>
      <c r="I399" s="377"/>
      <c r="J399" s="377"/>
      <c r="L399" s="339">
        <f t="shared" si="26"/>
        <v>0</v>
      </c>
      <c r="M399" s="340">
        <f t="shared" si="27"/>
        <v>0</v>
      </c>
      <c r="N399" s="340">
        <f t="shared" si="28"/>
        <v>0</v>
      </c>
    </row>
    <row r="400" spans="1:14" x14ac:dyDescent="0.15">
      <c r="A400" s="398">
        <f t="shared" si="25"/>
        <v>40094</v>
      </c>
      <c r="B400" s="331">
        <v>1.110335985720897</v>
      </c>
      <c r="C400" s="331">
        <v>1.9354838709677419E-3</v>
      </c>
      <c r="D400" s="331">
        <v>3.7258064516129036E-2</v>
      </c>
      <c r="E400" s="331">
        <v>4.2299999999999997E-2</v>
      </c>
      <c r="F400" s="331">
        <v>0</v>
      </c>
      <c r="H400" s="377"/>
      <c r="I400" s="377"/>
      <c r="J400" s="377"/>
      <c r="L400" s="339">
        <f t="shared" si="26"/>
        <v>0</v>
      </c>
      <c r="M400" s="340">
        <f t="shared" si="27"/>
        <v>0</v>
      </c>
      <c r="N400" s="340">
        <f t="shared" si="28"/>
        <v>0</v>
      </c>
    </row>
    <row r="401" spans="1:14" x14ac:dyDescent="0.15">
      <c r="A401" s="398">
        <f t="shared" si="25"/>
        <v>40095</v>
      </c>
      <c r="B401" s="331">
        <v>1.110335985720897</v>
      </c>
      <c r="C401" s="331">
        <v>1.9354838709677419E-3</v>
      </c>
      <c r="D401" s="331">
        <v>3.7258064516129036E-2</v>
      </c>
      <c r="E401" s="331">
        <v>4.2299999999999997E-2</v>
      </c>
      <c r="F401" s="331">
        <v>0</v>
      </c>
      <c r="H401" s="377"/>
      <c r="I401" s="377"/>
      <c r="J401" s="377"/>
      <c r="L401" s="339">
        <f t="shared" si="26"/>
        <v>0</v>
      </c>
      <c r="M401" s="340">
        <f t="shared" si="27"/>
        <v>0</v>
      </c>
      <c r="N401" s="340">
        <f t="shared" si="28"/>
        <v>0</v>
      </c>
    </row>
    <row r="402" spans="1:14" x14ac:dyDescent="0.15">
      <c r="A402" s="398">
        <f t="shared" si="25"/>
        <v>40096</v>
      </c>
      <c r="B402" s="331">
        <v>1.110335985720897</v>
      </c>
      <c r="C402" s="331">
        <v>1.9354838709677419E-3</v>
      </c>
      <c r="D402" s="331">
        <v>3.7258064516129036E-2</v>
      </c>
      <c r="E402" s="331">
        <v>4.2299999999999997E-2</v>
      </c>
      <c r="F402" s="331">
        <v>0</v>
      </c>
      <c r="H402" s="377"/>
      <c r="I402" s="377"/>
      <c r="J402" s="377"/>
      <c r="L402" s="339">
        <f t="shared" si="26"/>
        <v>0</v>
      </c>
      <c r="M402" s="340">
        <f t="shared" si="27"/>
        <v>0</v>
      </c>
      <c r="N402" s="340">
        <f t="shared" si="28"/>
        <v>0</v>
      </c>
    </row>
    <row r="403" spans="1:14" x14ac:dyDescent="0.15">
      <c r="A403" s="398">
        <f t="shared" si="25"/>
        <v>40097</v>
      </c>
      <c r="B403" s="331">
        <v>1.110335985720897</v>
      </c>
      <c r="C403" s="331">
        <v>1.9354838709677419E-3</v>
      </c>
      <c r="D403" s="331">
        <v>3.7258064516129036E-2</v>
      </c>
      <c r="E403" s="331">
        <v>4.2299999999999997E-2</v>
      </c>
      <c r="F403" s="331">
        <v>0</v>
      </c>
      <c r="H403" s="377"/>
      <c r="I403" s="377"/>
      <c r="J403" s="377"/>
      <c r="L403" s="339">
        <f t="shared" si="26"/>
        <v>0</v>
      </c>
      <c r="M403" s="340">
        <f t="shared" si="27"/>
        <v>0</v>
      </c>
      <c r="N403" s="340">
        <f t="shared" si="28"/>
        <v>0</v>
      </c>
    </row>
    <row r="404" spans="1:14" x14ac:dyDescent="0.15">
      <c r="A404" s="398">
        <f t="shared" si="25"/>
        <v>40098</v>
      </c>
      <c r="B404" s="331">
        <v>1.110335985720897</v>
      </c>
      <c r="C404" s="331">
        <v>1.9354838709677419E-3</v>
      </c>
      <c r="D404" s="331">
        <v>3.7258064516129036E-2</v>
      </c>
      <c r="E404" s="331">
        <v>4.2299999999999997E-2</v>
      </c>
      <c r="F404" s="331">
        <v>0</v>
      </c>
      <c r="H404" s="377"/>
      <c r="I404" s="377"/>
      <c r="J404" s="377"/>
      <c r="L404" s="339">
        <f t="shared" si="26"/>
        <v>0</v>
      </c>
      <c r="M404" s="340">
        <f t="shared" si="27"/>
        <v>0</v>
      </c>
      <c r="N404" s="340">
        <f t="shared" si="28"/>
        <v>0</v>
      </c>
    </row>
    <row r="405" spans="1:14" x14ac:dyDescent="0.15">
      <c r="A405" s="398">
        <f t="shared" si="25"/>
        <v>40099</v>
      </c>
      <c r="B405" s="331">
        <v>1.110335985720897</v>
      </c>
      <c r="C405" s="331">
        <v>1.9354838709677419E-3</v>
      </c>
      <c r="D405" s="331">
        <v>3.7258064516129036E-2</v>
      </c>
      <c r="E405" s="331">
        <v>4.2299999999999997E-2</v>
      </c>
      <c r="F405" s="331">
        <v>0</v>
      </c>
      <c r="H405" s="377"/>
      <c r="I405" s="377"/>
      <c r="J405" s="377"/>
      <c r="L405" s="339">
        <f t="shared" si="26"/>
        <v>0</v>
      </c>
      <c r="M405" s="340">
        <f t="shared" si="27"/>
        <v>0</v>
      </c>
      <c r="N405" s="340">
        <f t="shared" si="28"/>
        <v>0</v>
      </c>
    </row>
    <row r="406" spans="1:14" x14ac:dyDescent="0.15">
      <c r="A406" s="398">
        <f t="shared" si="25"/>
        <v>40100</v>
      </c>
      <c r="B406" s="331">
        <v>1.110335985720897</v>
      </c>
      <c r="C406" s="331">
        <v>1.9354838709677419E-3</v>
      </c>
      <c r="D406" s="331">
        <v>3.7258064516129036E-2</v>
      </c>
      <c r="E406" s="331">
        <v>4.2299999999999997E-2</v>
      </c>
      <c r="F406" s="331">
        <v>0</v>
      </c>
      <c r="G406" s="397"/>
      <c r="H406" s="377"/>
      <c r="I406" s="377"/>
      <c r="J406" s="377"/>
      <c r="L406" s="339">
        <f t="shared" si="26"/>
        <v>0</v>
      </c>
      <c r="M406" s="340">
        <f t="shared" si="27"/>
        <v>0</v>
      </c>
      <c r="N406" s="340">
        <f t="shared" si="28"/>
        <v>0</v>
      </c>
    </row>
    <row r="407" spans="1:14" x14ac:dyDescent="0.15">
      <c r="A407" s="398">
        <f t="shared" si="25"/>
        <v>40101</v>
      </c>
      <c r="B407" s="331">
        <v>1.110335985720897</v>
      </c>
      <c r="C407" s="331">
        <v>1.9354838709677419E-3</v>
      </c>
      <c r="D407" s="331">
        <v>3.7258064516129036E-2</v>
      </c>
      <c r="E407" s="331">
        <v>4.2299999999999997E-2</v>
      </c>
      <c r="F407" s="331">
        <v>0</v>
      </c>
      <c r="H407" s="377"/>
      <c r="I407" s="377"/>
      <c r="J407" s="377"/>
      <c r="L407" s="339">
        <f t="shared" si="26"/>
        <v>0</v>
      </c>
      <c r="M407" s="340">
        <f t="shared" si="27"/>
        <v>0</v>
      </c>
      <c r="N407" s="340">
        <f t="shared" si="28"/>
        <v>0</v>
      </c>
    </row>
    <row r="408" spans="1:14" x14ac:dyDescent="0.15">
      <c r="A408" s="398">
        <f t="shared" si="25"/>
        <v>40102</v>
      </c>
      <c r="B408" s="331">
        <v>1.110335985720897</v>
      </c>
      <c r="C408" s="331">
        <v>1.9354838709677419E-3</v>
      </c>
      <c r="D408" s="331">
        <v>3.7258064516129036E-2</v>
      </c>
      <c r="E408" s="331">
        <v>4.2299999999999997E-2</v>
      </c>
      <c r="F408" s="331">
        <v>0</v>
      </c>
      <c r="H408" s="377"/>
      <c r="I408" s="377"/>
      <c r="J408" s="377"/>
      <c r="L408" s="339">
        <f t="shared" si="26"/>
        <v>0</v>
      </c>
      <c r="M408" s="340">
        <f t="shared" si="27"/>
        <v>0</v>
      </c>
      <c r="N408" s="340">
        <f t="shared" si="28"/>
        <v>0</v>
      </c>
    </row>
    <row r="409" spans="1:14" x14ac:dyDescent="0.15">
      <c r="A409" s="398">
        <f t="shared" si="25"/>
        <v>40103</v>
      </c>
      <c r="B409" s="331">
        <v>1.110335985720897</v>
      </c>
      <c r="C409" s="331">
        <v>1.9354838709677419E-3</v>
      </c>
      <c r="D409" s="331">
        <v>3.7258064516129036E-2</v>
      </c>
      <c r="E409" s="331">
        <v>4.2299999999999997E-2</v>
      </c>
      <c r="F409" s="331">
        <v>0</v>
      </c>
      <c r="H409" s="377"/>
      <c r="I409" s="377"/>
      <c r="J409" s="377"/>
      <c r="L409" s="339">
        <f t="shared" si="26"/>
        <v>0</v>
      </c>
      <c r="M409" s="340">
        <f t="shared" si="27"/>
        <v>0</v>
      </c>
      <c r="N409" s="340">
        <f t="shared" si="28"/>
        <v>0</v>
      </c>
    </row>
    <row r="410" spans="1:14" x14ac:dyDescent="0.15">
      <c r="A410" s="398">
        <f t="shared" si="25"/>
        <v>40104</v>
      </c>
      <c r="B410" s="331">
        <v>1.110335985720897</v>
      </c>
      <c r="C410" s="331">
        <v>1.9354838709677419E-3</v>
      </c>
      <c r="D410" s="331">
        <v>3.7258064516129036E-2</v>
      </c>
      <c r="E410" s="331">
        <v>4.2299999999999997E-2</v>
      </c>
      <c r="F410" s="331">
        <v>0</v>
      </c>
      <c r="H410" s="377"/>
      <c r="I410" s="377"/>
      <c r="J410" s="377"/>
      <c r="L410" s="339">
        <f t="shared" si="26"/>
        <v>0</v>
      </c>
      <c r="M410" s="340">
        <f t="shared" si="27"/>
        <v>0</v>
      </c>
      <c r="N410" s="340">
        <f t="shared" si="28"/>
        <v>0</v>
      </c>
    </row>
    <row r="411" spans="1:14" x14ac:dyDescent="0.15">
      <c r="A411" s="398">
        <f t="shared" si="25"/>
        <v>40105</v>
      </c>
      <c r="B411" s="331">
        <v>1.110335985720897</v>
      </c>
      <c r="C411" s="331">
        <v>1.9354838709677419E-3</v>
      </c>
      <c r="D411" s="331">
        <v>3.7258064516129036E-2</v>
      </c>
      <c r="E411" s="331">
        <v>4.2299999999999997E-2</v>
      </c>
      <c r="F411" s="331">
        <v>0</v>
      </c>
      <c r="H411" s="377"/>
      <c r="I411" s="377"/>
      <c r="J411" s="377"/>
      <c r="L411" s="339">
        <f t="shared" si="26"/>
        <v>0</v>
      </c>
      <c r="M411" s="340">
        <f t="shared" si="27"/>
        <v>0</v>
      </c>
      <c r="N411" s="340">
        <f t="shared" si="28"/>
        <v>0</v>
      </c>
    </row>
    <row r="412" spans="1:14" x14ac:dyDescent="0.15">
      <c r="A412" s="398">
        <f t="shared" si="25"/>
        <v>40106</v>
      </c>
      <c r="B412" s="331">
        <v>1.110335985720897</v>
      </c>
      <c r="C412" s="331">
        <v>1.9354838709677419E-3</v>
      </c>
      <c r="D412" s="331">
        <v>3.7258064516129036E-2</v>
      </c>
      <c r="E412" s="331">
        <v>4.2299999999999997E-2</v>
      </c>
      <c r="F412" s="331">
        <v>0</v>
      </c>
      <c r="H412" s="377"/>
      <c r="I412" s="377"/>
      <c r="J412" s="377"/>
      <c r="L412" s="339">
        <f t="shared" si="26"/>
        <v>0</v>
      </c>
      <c r="M412" s="340">
        <f t="shared" si="27"/>
        <v>0</v>
      </c>
      <c r="N412" s="340">
        <f t="shared" si="28"/>
        <v>0</v>
      </c>
    </row>
    <row r="413" spans="1:14" x14ac:dyDescent="0.15">
      <c r="A413" s="398">
        <f t="shared" si="25"/>
        <v>40107</v>
      </c>
      <c r="B413" s="331">
        <v>1.110335985720897</v>
      </c>
      <c r="C413" s="331">
        <v>1.9354838709677419E-3</v>
      </c>
      <c r="D413" s="331">
        <v>3.7258064516129036E-2</v>
      </c>
      <c r="E413" s="331">
        <v>4.2299999999999997E-2</v>
      </c>
      <c r="F413" s="331">
        <v>0</v>
      </c>
      <c r="H413" s="377"/>
      <c r="I413" s="377"/>
      <c r="J413" s="377"/>
      <c r="L413" s="339">
        <f t="shared" si="26"/>
        <v>0</v>
      </c>
      <c r="M413" s="340">
        <f t="shared" si="27"/>
        <v>0</v>
      </c>
      <c r="N413" s="340">
        <f t="shared" si="28"/>
        <v>0</v>
      </c>
    </row>
    <row r="414" spans="1:14" x14ac:dyDescent="0.15">
      <c r="A414" s="398">
        <f t="shared" si="25"/>
        <v>40108</v>
      </c>
      <c r="B414" s="331">
        <v>1.110335985720897</v>
      </c>
      <c r="C414" s="331">
        <v>1.9354838709677419E-3</v>
      </c>
      <c r="D414" s="331">
        <v>3.7258064516129036E-2</v>
      </c>
      <c r="E414" s="331">
        <v>4.2299999999999997E-2</v>
      </c>
      <c r="F414" s="331">
        <v>0</v>
      </c>
      <c r="H414" s="377"/>
      <c r="I414" s="377"/>
      <c r="J414" s="377"/>
      <c r="L414" s="339">
        <f t="shared" si="26"/>
        <v>0</v>
      </c>
      <c r="M414" s="340">
        <f t="shared" si="27"/>
        <v>0</v>
      </c>
      <c r="N414" s="340">
        <f t="shared" si="28"/>
        <v>0</v>
      </c>
    </row>
    <row r="415" spans="1:14" x14ac:dyDescent="0.15">
      <c r="A415" s="398">
        <f t="shared" si="25"/>
        <v>40109</v>
      </c>
      <c r="B415" s="331">
        <v>1.110335985720897</v>
      </c>
      <c r="C415" s="331">
        <v>1.9354838709677419E-3</v>
      </c>
      <c r="D415" s="331">
        <v>3.7258064516129036E-2</v>
      </c>
      <c r="E415" s="331">
        <v>4.2299999999999997E-2</v>
      </c>
      <c r="F415" s="331">
        <v>0</v>
      </c>
      <c r="H415" s="377"/>
      <c r="I415" s="377"/>
      <c r="J415" s="377"/>
      <c r="L415" s="339">
        <f t="shared" si="26"/>
        <v>0</v>
      </c>
      <c r="M415" s="340">
        <f t="shared" si="27"/>
        <v>0</v>
      </c>
      <c r="N415" s="340">
        <f t="shared" si="28"/>
        <v>0</v>
      </c>
    </row>
    <row r="416" spans="1:14" x14ac:dyDescent="0.15">
      <c r="A416" s="398">
        <f t="shared" si="25"/>
        <v>40110</v>
      </c>
      <c r="B416" s="331">
        <v>1.110335985720897</v>
      </c>
      <c r="C416" s="331">
        <v>1.9354838709677419E-3</v>
      </c>
      <c r="D416" s="331">
        <v>3.7258064516129036E-2</v>
      </c>
      <c r="E416" s="331">
        <v>4.2299999999999997E-2</v>
      </c>
      <c r="F416" s="331">
        <v>0</v>
      </c>
      <c r="H416" s="377"/>
      <c r="I416" s="377"/>
      <c r="J416" s="377"/>
      <c r="L416" s="339">
        <f t="shared" si="26"/>
        <v>0</v>
      </c>
      <c r="M416" s="340">
        <f t="shared" si="27"/>
        <v>0</v>
      </c>
      <c r="N416" s="340">
        <f t="shared" si="28"/>
        <v>0</v>
      </c>
    </row>
    <row r="417" spans="1:14" x14ac:dyDescent="0.15">
      <c r="A417" s="398">
        <f t="shared" si="25"/>
        <v>40111</v>
      </c>
      <c r="B417" s="331">
        <v>1.110335985720897</v>
      </c>
      <c r="C417" s="331">
        <v>1.9354838709677419E-3</v>
      </c>
      <c r="D417" s="331">
        <v>3.7258064516129036E-2</v>
      </c>
      <c r="E417" s="331">
        <v>4.2299999999999997E-2</v>
      </c>
      <c r="F417" s="331">
        <v>0</v>
      </c>
      <c r="H417" s="377"/>
      <c r="I417" s="377"/>
      <c r="J417" s="377"/>
      <c r="L417" s="339">
        <f t="shared" si="26"/>
        <v>0</v>
      </c>
      <c r="M417" s="340">
        <f t="shared" si="27"/>
        <v>0</v>
      </c>
      <c r="N417" s="340">
        <f t="shared" si="28"/>
        <v>0</v>
      </c>
    </row>
    <row r="418" spans="1:14" x14ac:dyDescent="0.15">
      <c r="A418" s="398">
        <f t="shared" si="25"/>
        <v>40112</v>
      </c>
      <c r="B418" s="331">
        <v>1.110335985720897</v>
      </c>
      <c r="C418" s="331">
        <v>1.9354838709677419E-3</v>
      </c>
      <c r="D418" s="331">
        <v>3.7258064516129036E-2</v>
      </c>
      <c r="E418" s="331">
        <v>4.2299999999999997E-2</v>
      </c>
      <c r="F418" s="331">
        <v>0</v>
      </c>
      <c r="H418" s="377"/>
      <c r="I418" s="377"/>
      <c r="J418" s="377"/>
      <c r="L418" s="339">
        <f t="shared" si="26"/>
        <v>0</v>
      </c>
      <c r="M418" s="340">
        <f t="shared" si="27"/>
        <v>0</v>
      </c>
      <c r="N418" s="340">
        <f t="shared" si="28"/>
        <v>0</v>
      </c>
    </row>
    <row r="419" spans="1:14" x14ac:dyDescent="0.15">
      <c r="A419" s="398">
        <f t="shared" si="25"/>
        <v>40113</v>
      </c>
      <c r="B419" s="331">
        <v>1.110335985720897</v>
      </c>
      <c r="C419" s="331">
        <v>1.9354838709677419E-3</v>
      </c>
      <c r="D419" s="331">
        <v>3.7258064516129036E-2</v>
      </c>
      <c r="E419" s="331">
        <v>4.2299999999999997E-2</v>
      </c>
      <c r="F419" s="331">
        <v>0</v>
      </c>
      <c r="H419" s="377"/>
      <c r="I419" s="377"/>
      <c r="J419" s="377"/>
      <c r="L419" s="339">
        <f t="shared" si="26"/>
        <v>0</v>
      </c>
      <c r="M419" s="340">
        <f t="shared" si="27"/>
        <v>0</v>
      </c>
      <c r="N419" s="340">
        <f t="shared" si="28"/>
        <v>0</v>
      </c>
    </row>
    <row r="420" spans="1:14" x14ac:dyDescent="0.15">
      <c r="A420" s="398">
        <f t="shared" si="25"/>
        <v>40114</v>
      </c>
      <c r="B420" s="331">
        <v>1.110335985720897</v>
      </c>
      <c r="C420" s="331">
        <v>1.9354838709677419E-3</v>
      </c>
      <c r="D420" s="331">
        <v>3.7258064516129036E-2</v>
      </c>
      <c r="E420" s="331">
        <v>4.2299999999999997E-2</v>
      </c>
      <c r="F420" s="331">
        <v>0</v>
      </c>
      <c r="H420" s="377"/>
      <c r="I420" s="377"/>
      <c r="J420" s="377"/>
      <c r="L420" s="339">
        <f t="shared" si="26"/>
        <v>0</v>
      </c>
      <c r="M420" s="340">
        <f t="shared" si="27"/>
        <v>0</v>
      </c>
      <c r="N420" s="340">
        <f t="shared" si="28"/>
        <v>0</v>
      </c>
    </row>
    <row r="421" spans="1:14" x14ac:dyDescent="0.15">
      <c r="A421" s="398">
        <f t="shared" si="25"/>
        <v>40115</v>
      </c>
      <c r="B421" s="331">
        <v>1.110335985720897</v>
      </c>
      <c r="C421" s="331">
        <v>1.9354838709677419E-3</v>
      </c>
      <c r="D421" s="331">
        <v>3.7258064516129036E-2</v>
      </c>
      <c r="E421" s="331">
        <v>4.2299999999999997E-2</v>
      </c>
      <c r="F421" s="331">
        <v>0</v>
      </c>
      <c r="H421" s="377"/>
      <c r="I421" s="377"/>
      <c r="J421" s="377"/>
      <c r="L421" s="339">
        <f t="shared" si="26"/>
        <v>0</v>
      </c>
      <c r="M421" s="340">
        <f t="shared" si="27"/>
        <v>0</v>
      </c>
      <c r="N421" s="340">
        <f t="shared" si="28"/>
        <v>0</v>
      </c>
    </row>
    <row r="422" spans="1:14" x14ac:dyDescent="0.15">
      <c r="A422" s="398">
        <f t="shared" si="25"/>
        <v>40116</v>
      </c>
      <c r="B422" s="331">
        <v>1.110335985720897</v>
      </c>
      <c r="C422" s="331">
        <v>1.9354838709677419E-3</v>
      </c>
      <c r="D422" s="331">
        <v>3.7258064516129036E-2</v>
      </c>
      <c r="E422" s="331">
        <v>4.2299999999999997E-2</v>
      </c>
      <c r="F422" s="331">
        <v>0</v>
      </c>
      <c r="H422" s="377"/>
      <c r="I422" s="377"/>
      <c r="J422" s="377"/>
      <c r="L422" s="339">
        <f t="shared" si="26"/>
        <v>0</v>
      </c>
      <c r="M422" s="340">
        <f t="shared" si="27"/>
        <v>0</v>
      </c>
      <c r="N422" s="340">
        <f t="shared" si="28"/>
        <v>0</v>
      </c>
    </row>
    <row r="423" spans="1:14" x14ac:dyDescent="0.15">
      <c r="A423" s="400">
        <f t="shared" si="25"/>
        <v>40117</v>
      </c>
      <c r="B423" s="333">
        <v>1.110335985720897</v>
      </c>
      <c r="C423" s="333">
        <v>1.9354838709677419E-3</v>
      </c>
      <c r="D423" s="333">
        <v>3.7258064516129036E-2</v>
      </c>
      <c r="E423" s="333">
        <v>4.2299999999999997E-2</v>
      </c>
      <c r="F423" s="333">
        <v>0</v>
      </c>
      <c r="H423" s="378"/>
      <c r="I423" s="378"/>
      <c r="J423" s="378"/>
      <c r="L423" s="339">
        <f t="shared" si="26"/>
        <v>0</v>
      </c>
      <c r="M423" s="340">
        <f t="shared" si="27"/>
        <v>0</v>
      </c>
      <c r="N423" s="340">
        <f t="shared" si="28"/>
        <v>0</v>
      </c>
    </row>
    <row r="424" spans="1:14" x14ac:dyDescent="0.15">
      <c r="B424" s="397"/>
    </row>
    <row r="425" spans="1:14" x14ac:dyDescent="0.15">
      <c r="A425" s="423" t="s">
        <v>709</v>
      </c>
      <c r="B425" s="424">
        <f>SUM(B59:B423)</f>
        <v>99.047010777159954</v>
      </c>
      <c r="C425" s="424">
        <f>SUM(C59:C423)</f>
        <v>1.1399999999999992</v>
      </c>
      <c r="D425" s="424">
        <f>SUM(D59:D423)</f>
        <v>13.850000000000042</v>
      </c>
      <c r="E425" s="424">
        <f>SUM(E59:E423)</f>
        <v>23.095800000000072</v>
      </c>
      <c r="F425" s="424">
        <f>SUM(F59:F423)</f>
        <v>0</v>
      </c>
    </row>
    <row r="426" spans="1:14" x14ac:dyDescent="0.15">
      <c r="B426" s="430" t="s">
        <v>456</v>
      </c>
      <c r="C426" s="431" t="s">
        <v>718</v>
      </c>
      <c r="D426" s="431" t="s">
        <v>420</v>
      </c>
      <c r="E426" s="430" t="s">
        <v>695</v>
      </c>
      <c r="F426" s="430" t="s">
        <v>598</v>
      </c>
    </row>
    <row r="427" spans="1:14" x14ac:dyDescent="0.15">
      <c r="B427" s="397"/>
    </row>
    <row r="428" spans="1:14" x14ac:dyDescent="0.15">
      <c r="B428" s="597" t="s">
        <v>895</v>
      </c>
    </row>
    <row r="429" spans="1:14" x14ac:dyDescent="0.15">
      <c r="B429" t="s">
        <v>893</v>
      </c>
    </row>
    <row r="430" spans="1:14" x14ac:dyDescent="0.15">
      <c r="B430" t="s">
        <v>896</v>
      </c>
    </row>
  </sheetData>
  <sheetProtection selectLockedCells="1"/>
  <mergeCells count="14">
    <mergeCell ref="C57:F57"/>
    <mergeCell ref="A57:A58"/>
    <mergeCell ref="B57:B58"/>
    <mergeCell ref="C32:D32"/>
    <mergeCell ref="C3:D3"/>
    <mergeCell ref="K1:M1"/>
    <mergeCell ref="J32:K32"/>
    <mergeCell ref="C53:D53"/>
    <mergeCell ref="J10:K10"/>
    <mergeCell ref="C4:D4"/>
    <mergeCell ref="C5:D5"/>
    <mergeCell ref="C10:D10"/>
    <mergeCell ref="A1:C1"/>
    <mergeCell ref="D1:E1"/>
  </mergeCells>
  <phoneticPr fontId="2" type="noConversion"/>
  <dataValidations count="4">
    <dataValidation type="list" allowBlank="1" showInputMessage="1" showErrorMessage="1" sqref="C53 C32 J32 C10 J10" xr:uid="{87605F50-2DC5-1E44-8248-5423C84E2AA4}">
      <formula1>croptype</formula1>
    </dataValidation>
    <dataValidation type="list" allowBlank="1" showInputMessage="1" showErrorMessage="1" sqref="K35 D13 K13 D35" xr:uid="{3297AB18-D4BB-6F4B-8665-A1E4E4A116EB}">
      <formula1>"1,2,3,4,5,6,7,8,9,10,11,12,13,14,15,16,17,18,19,20"</formula1>
    </dataValidation>
    <dataValidation type="list" allowBlank="1" showInputMessage="1" showErrorMessage="1" sqref="D33 K33 D11 K11" xr:uid="{C85B4F44-51DC-C441-8E9B-0C948DEA55A3}">
      <formula1>Week</formula1>
    </dataValidation>
    <dataValidation type="list" allowBlank="1" showInputMessage="1" showErrorMessage="1" sqref="C4" xr:uid="{AD83F8CB-88BA-7545-B15B-62BAD2EAE290}">
      <formula1>province</formula1>
    </dataValidation>
  </dataValidations>
  <printOptions horizontalCentered="1"/>
  <pageMargins left="0.15748031496062992" right="7.874015748031496E-2" top="0.98425196850393704" bottom="0.98425196850393704" header="0.51181102362204722" footer="0.51181102362204722"/>
  <pageSetup paperSize="9" scale="50" orientation="portrait"/>
  <headerFooter scaleWithDoc="0" alignWithMargins="0">
    <oddFooter>&amp;L&amp;Z&amp;F&amp;A&amp;C&amp;P/&amp;N&amp;R&amp;D</oddFooter>
  </headerFooter>
  <cellWatches>
    <cellWatch r="D13"/>
    <cellWatch r="C4"/>
    <cellWatch r="E13"/>
    <cellWatch r="F23"/>
  </cellWatch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8" r:id="rId3" name="Button 28">
              <controlPr defaultSize="0" autoFill="0" autoPict="0" macro="[0]!capacitycurve">
                <anchor moveWithCells="1" sizeWithCells="1">
                  <from>
                    <xdr:col>10</xdr:col>
                    <xdr:colOff>38100</xdr:colOff>
                    <xdr:row>55</xdr:row>
                    <xdr:rowOff>12700</xdr:rowOff>
                  </from>
                  <to>
                    <xdr:col>12</xdr:col>
                    <xdr:colOff>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4" name="Button 32">
              <controlPr defaultSize="0" autoFill="0" autoPict="0" macro="[0]!editgraph">
                <anchor moveWithCells="1" sizeWithCells="1">
                  <from>
                    <xdr:col>14</xdr:col>
                    <xdr:colOff>50800</xdr:colOff>
                    <xdr:row>15</xdr:row>
                    <xdr:rowOff>88900</xdr:rowOff>
                  </from>
                  <to>
                    <xdr:col>15</xdr:col>
                    <xdr:colOff>241300</xdr:colOff>
                    <xdr:row>16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D8CBC-F13E-9544-9AB7-F6A5CB79F0F6}">
  <sheetPr codeName="Sheet13">
    <tabColor indexed="34"/>
  </sheetPr>
  <dimension ref="A1:Y413"/>
  <sheetViews>
    <sheetView tabSelected="1" showOutlineSymbols="0" topLeftCell="C1" zoomScale="137" zoomScaleNormal="100" zoomScaleSheetLayoutView="80" workbookViewId="0">
      <selection activeCell="S17" sqref="S17"/>
    </sheetView>
  </sheetViews>
  <sheetFormatPr baseColWidth="10" defaultColWidth="9.1640625" defaultRowHeight="13" x14ac:dyDescent="0.15"/>
  <cols>
    <col min="1" max="1" width="6.83203125" style="185" customWidth="1"/>
    <col min="2" max="2" width="8.83203125" style="185" customWidth="1"/>
    <col min="3" max="3" width="11.6640625" style="185" customWidth="1"/>
    <col min="4" max="4" width="9.5" style="185" customWidth="1"/>
    <col min="5" max="5" width="6.6640625" style="185" customWidth="1"/>
    <col min="6" max="6" width="9.1640625" style="185"/>
    <col min="7" max="7" width="10.1640625" style="185" bestFit="1" customWidth="1"/>
    <col min="8" max="8" width="9.1640625" style="185"/>
    <col min="9" max="9" width="7.6640625" style="185" customWidth="1"/>
    <col min="10" max="10" width="8.5" style="185" customWidth="1"/>
    <col min="11" max="12" width="7.6640625" style="185" customWidth="1"/>
    <col min="13" max="13" width="8.5" style="185" customWidth="1"/>
    <col min="14" max="17" width="7.6640625" style="185" customWidth="1"/>
    <col min="18" max="18" width="10.1640625" style="185" customWidth="1"/>
    <col min="19" max="19" width="9.33203125" style="185" bestFit="1" customWidth="1"/>
    <col min="20" max="20" width="10.5" style="185" bestFit="1" customWidth="1"/>
    <col min="21" max="24" width="9.1640625" style="185"/>
    <col min="25" max="25" width="11.1640625" style="185" customWidth="1"/>
    <col min="26" max="16384" width="9.1640625" style="185"/>
  </cols>
  <sheetData>
    <row r="1" spans="1:25" s="293" customFormat="1" ht="14" x14ac:dyDescent="0.15">
      <c r="A1" s="654" t="str">
        <f>"Reservoir Operation Study อ่างเก็บน้ำ"&amp;fill_data!D1&amp;"   จังหวัด"&amp; fill_data!$C$4&amp;  "   สำนักชลประทานที่ "&amp;fill_data!I1</f>
        <v>Reservoir Operation Study อ่างเก็บน้ำมูลบน   จังหวัดนครราชสีมา   สำนักชลประทานที่ 8</v>
      </c>
      <c r="B1" s="654"/>
      <c r="C1" s="654"/>
      <c r="D1" s="654"/>
      <c r="E1" s="654"/>
      <c r="F1" s="654"/>
      <c r="G1" s="654"/>
      <c r="H1" s="654"/>
      <c r="I1" s="654"/>
      <c r="J1" s="654"/>
      <c r="K1" s="654"/>
      <c r="L1" s="654"/>
      <c r="M1" s="654"/>
      <c r="N1" s="654"/>
      <c r="O1" s="654"/>
      <c r="P1" s="654"/>
      <c r="Q1" s="654"/>
      <c r="R1" s="654"/>
      <c r="S1" s="654"/>
      <c r="T1" s="654"/>
    </row>
    <row r="2" spans="1:25" ht="16" hidden="1" x14ac:dyDescent="0.2">
      <c r="A2" s="649" t="s">
        <v>567</v>
      </c>
      <c r="B2" s="650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650"/>
      <c r="T2" s="650"/>
      <c r="U2" s="650"/>
      <c r="V2" s="337"/>
    </row>
    <row r="3" spans="1:25" hidden="1" x14ac:dyDescent="0.15"/>
    <row r="4" spans="1:25" ht="15" x14ac:dyDescent="0.15">
      <c r="C4" s="270" t="s">
        <v>436</v>
      </c>
      <c r="D4" s="186"/>
      <c r="E4" s="351">
        <f>+fill_data!R3</f>
        <v>454</v>
      </c>
      <c r="F4" s="186" t="s">
        <v>437</v>
      </c>
      <c r="G4" s="186"/>
      <c r="H4" s="186" t="s">
        <v>438</v>
      </c>
      <c r="I4" s="191"/>
      <c r="J4" s="352">
        <f>+fill_data!R7</f>
        <v>230.7</v>
      </c>
      <c r="K4" s="186" t="s">
        <v>568</v>
      </c>
      <c r="L4" s="185" t="s">
        <v>439</v>
      </c>
      <c r="P4" s="185">
        <f>+fill_data!R11</f>
        <v>99.047010777159954</v>
      </c>
      <c r="Q4" s="186" t="s">
        <v>508</v>
      </c>
      <c r="S4" s="186"/>
      <c r="T4" s="186"/>
      <c r="W4" s="186"/>
    </row>
    <row r="5" spans="1:25" ht="15" x14ac:dyDescent="0.15">
      <c r="C5" s="271" t="s">
        <v>440</v>
      </c>
      <c r="D5" s="186"/>
      <c r="E5" s="351">
        <f>+fill_data!R4</f>
        <v>18.34</v>
      </c>
      <c r="F5" s="186" t="s">
        <v>437</v>
      </c>
      <c r="G5" s="186"/>
      <c r="H5" s="186" t="s">
        <v>441</v>
      </c>
      <c r="I5" s="191"/>
      <c r="J5" s="352">
        <f>+fill_data!R8</f>
        <v>228.9</v>
      </c>
      <c r="K5" s="186" t="s">
        <v>568</v>
      </c>
      <c r="L5" s="186" t="s">
        <v>442</v>
      </c>
      <c r="M5" s="186"/>
      <c r="P5" s="185">
        <f>+fill_data!R12</f>
        <v>350</v>
      </c>
      <c r="Q5" s="186" t="s">
        <v>508</v>
      </c>
      <c r="S5" s="186"/>
      <c r="T5" s="186"/>
      <c r="W5" s="186"/>
    </row>
    <row r="6" spans="1:25" ht="15" x14ac:dyDescent="0.15">
      <c r="C6" s="271" t="s">
        <v>443</v>
      </c>
      <c r="D6" s="186"/>
      <c r="E6" s="351">
        <f>+fill_data!R5</f>
        <v>1120</v>
      </c>
      <c r="F6" s="186" t="s">
        <v>444</v>
      </c>
      <c r="G6" s="186"/>
      <c r="H6" s="186" t="s">
        <v>445</v>
      </c>
      <c r="I6" s="191"/>
      <c r="J6" s="352">
        <f>+fill_data!R9</f>
        <v>221</v>
      </c>
      <c r="K6" s="186" t="s">
        <v>568</v>
      </c>
      <c r="L6" s="186" t="s">
        <v>446</v>
      </c>
      <c r="M6" s="186"/>
      <c r="P6" s="185">
        <f>+fill_data!R13</f>
        <v>141</v>
      </c>
      <c r="Q6" s="186" t="s">
        <v>508</v>
      </c>
      <c r="S6" s="186"/>
      <c r="T6" s="186"/>
      <c r="W6" s="186"/>
    </row>
    <row r="7" spans="1:25" ht="15" x14ac:dyDescent="0.15">
      <c r="C7" s="271" t="s">
        <v>447</v>
      </c>
      <c r="D7" s="186"/>
      <c r="E7" s="351">
        <f>+fill_data!R6</f>
        <v>1645</v>
      </c>
      <c r="F7" s="186" t="s">
        <v>444</v>
      </c>
      <c r="G7" s="186"/>
      <c r="H7" s="186" t="s">
        <v>448</v>
      </c>
      <c r="I7" s="191"/>
      <c r="J7" s="352">
        <f>+fill_data!R10</f>
        <v>208</v>
      </c>
      <c r="K7" s="186" t="s">
        <v>568</v>
      </c>
      <c r="L7" s="186" t="s">
        <v>449</v>
      </c>
      <c r="M7" s="186"/>
      <c r="P7" s="185">
        <f>+fill_data!R14</f>
        <v>7</v>
      </c>
      <c r="Q7" s="186" t="s">
        <v>508</v>
      </c>
      <c r="S7" s="186"/>
      <c r="T7" s="186"/>
      <c r="W7" s="186"/>
    </row>
    <row r="8" spans="1:25" ht="15" x14ac:dyDescent="0.15">
      <c r="C8" s="272" t="s">
        <v>582</v>
      </c>
      <c r="D8" s="420">
        <f>+C9+G9+L9+Q9</f>
        <v>0</v>
      </c>
      <c r="G8" s="272" t="s">
        <v>583</v>
      </c>
      <c r="H8" s="420">
        <f>+C10+G10+L10+Q10</f>
        <v>45798</v>
      </c>
      <c r="J8" s="187" t="str">
        <f>"ปริมาณน้ำในอ่างฯต้นฤดูแล้ง วันที่ 1 พฤศจิกายน "&amp;fill_data!E2</f>
        <v>ปริมาณน้ำในอ่างฯต้นฤดูแล้ง วันที่ 1 พฤศจิกายน 2566</v>
      </c>
      <c r="P8" s="421">
        <f>+fill_data!G2</f>
        <v>86.084000000000003</v>
      </c>
      <c r="Q8" s="186" t="s">
        <v>508</v>
      </c>
    </row>
    <row r="9" spans="1:25" ht="14.25" customHeight="1" x14ac:dyDescent="0.15">
      <c r="B9" s="272" t="s">
        <v>450</v>
      </c>
      <c r="C9" s="189">
        <f>+fill_data!K12</f>
        <v>0</v>
      </c>
      <c r="E9" s="187" t="s">
        <v>451</v>
      </c>
      <c r="G9" s="188">
        <f>+fill_data!K34</f>
        <v>0</v>
      </c>
      <c r="I9" s="187" t="s">
        <v>452</v>
      </c>
      <c r="L9" s="432">
        <f>+fill_data!D54</f>
        <v>0</v>
      </c>
      <c r="N9" s="190" t="s">
        <v>453</v>
      </c>
      <c r="Q9" s="188">
        <f>+fill_data!K53+fill_data!K54</f>
        <v>0</v>
      </c>
    </row>
    <row r="10" spans="1:25" x14ac:dyDescent="0.15">
      <c r="A10" s="186"/>
      <c r="B10" s="272" t="s">
        <v>578</v>
      </c>
      <c r="C10" s="294">
        <f>+fill_data!D12</f>
        <v>45731</v>
      </c>
      <c r="D10" s="191"/>
      <c r="E10" s="187" t="s">
        <v>579</v>
      </c>
      <c r="G10" s="188">
        <f>+fill_data!D34</f>
        <v>67</v>
      </c>
      <c r="I10" s="187" t="s">
        <v>580</v>
      </c>
      <c r="L10" s="432">
        <f>+L9</f>
        <v>0</v>
      </c>
      <c r="N10" s="187" t="s">
        <v>581</v>
      </c>
      <c r="Q10" s="188">
        <f>+Q9</f>
        <v>0</v>
      </c>
      <c r="W10" s="185" t="s">
        <v>894</v>
      </c>
      <c r="X10" s="185" t="s">
        <v>894</v>
      </c>
    </row>
    <row r="11" spans="1:25" x14ac:dyDescent="0.15">
      <c r="A11" s="192" t="s">
        <v>352</v>
      </c>
      <c r="B11" s="192" t="s">
        <v>353</v>
      </c>
      <c r="C11" s="192" t="s">
        <v>354</v>
      </c>
      <c r="D11" s="192" t="s">
        <v>355</v>
      </c>
      <c r="E11" s="192" t="s">
        <v>356</v>
      </c>
      <c r="F11" s="192" t="s">
        <v>357</v>
      </c>
      <c r="G11" s="192" t="s">
        <v>423</v>
      </c>
      <c r="H11" s="192" t="s">
        <v>358</v>
      </c>
      <c r="I11" s="192" t="s">
        <v>359</v>
      </c>
      <c r="J11" s="192" t="s">
        <v>360</v>
      </c>
      <c r="K11" s="192" t="s">
        <v>361</v>
      </c>
      <c r="L11" s="192" t="s">
        <v>362</v>
      </c>
      <c r="M11" s="192" t="s">
        <v>363</v>
      </c>
      <c r="N11" s="192" t="s">
        <v>364</v>
      </c>
      <c r="O11" s="193" t="s">
        <v>365</v>
      </c>
      <c r="P11" s="193" t="s">
        <v>425</v>
      </c>
      <c r="Q11" s="193" t="s">
        <v>426</v>
      </c>
      <c r="R11" s="193" t="s">
        <v>427</v>
      </c>
      <c r="S11" s="192" t="s">
        <v>428</v>
      </c>
      <c r="T11" s="192" t="s">
        <v>454</v>
      </c>
      <c r="U11" s="651" t="s">
        <v>657</v>
      </c>
      <c r="V11" s="651" t="s">
        <v>658</v>
      </c>
      <c r="W11" s="655" t="s">
        <v>890</v>
      </c>
      <c r="X11" s="646" t="s">
        <v>891</v>
      </c>
      <c r="Y11" s="562"/>
    </row>
    <row r="12" spans="1:25" s="197" customFormat="1" x14ac:dyDescent="0.15">
      <c r="A12" s="194" t="s">
        <v>2</v>
      </c>
      <c r="B12" s="195" t="s">
        <v>455</v>
      </c>
      <c r="C12" s="194" t="s">
        <v>588</v>
      </c>
      <c r="D12" s="195" t="s">
        <v>594</v>
      </c>
      <c r="E12" s="194" t="s">
        <v>589</v>
      </c>
      <c r="F12" s="195" t="s">
        <v>591</v>
      </c>
      <c r="G12" s="194" t="s">
        <v>593</v>
      </c>
      <c r="H12" s="194" t="s">
        <v>594</v>
      </c>
      <c r="I12" s="194" t="s">
        <v>456</v>
      </c>
      <c r="J12" s="194" t="s">
        <v>594</v>
      </c>
      <c r="K12" s="194" t="s">
        <v>595</v>
      </c>
      <c r="L12" s="194" t="s">
        <v>597</v>
      </c>
      <c r="M12" s="296" t="s">
        <v>420</v>
      </c>
      <c r="N12" s="297" t="s">
        <v>599</v>
      </c>
      <c r="O12" s="298" t="s">
        <v>405</v>
      </c>
      <c r="P12" s="196" t="s">
        <v>601</v>
      </c>
      <c r="Q12" s="196" t="s">
        <v>602</v>
      </c>
      <c r="R12" s="196" t="s">
        <v>603</v>
      </c>
      <c r="S12" s="194" t="s">
        <v>605</v>
      </c>
      <c r="T12" s="194" t="s">
        <v>594</v>
      </c>
      <c r="U12" s="652"/>
      <c r="V12" s="652"/>
      <c r="W12" s="655"/>
      <c r="X12" s="646"/>
      <c r="Y12" s="563" t="s">
        <v>594</v>
      </c>
    </row>
    <row r="13" spans="1:25" x14ac:dyDescent="0.15">
      <c r="A13" s="194"/>
      <c r="B13" s="194"/>
      <c r="C13" s="194"/>
      <c r="D13" s="194" t="s">
        <v>164</v>
      </c>
      <c r="E13" s="194" t="s">
        <v>590</v>
      </c>
      <c r="F13" s="194" t="s">
        <v>592</v>
      </c>
      <c r="G13" s="194"/>
      <c r="H13" s="194" t="s">
        <v>590</v>
      </c>
      <c r="I13" s="194"/>
      <c r="J13" s="194">
        <v>2</v>
      </c>
      <c r="K13" s="194" t="s">
        <v>596</v>
      </c>
      <c r="L13" s="195" t="s">
        <v>598</v>
      </c>
      <c r="M13" s="296"/>
      <c r="N13" s="296" t="s">
        <v>600</v>
      </c>
      <c r="O13" s="196"/>
      <c r="P13" s="196"/>
      <c r="Q13" s="196"/>
      <c r="R13" s="299" t="s">
        <v>604</v>
      </c>
      <c r="S13" s="194" t="s">
        <v>606</v>
      </c>
      <c r="T13" s="194" t="s">
        <v>607</v>
      </c>
      <c r="U13" s="652"/>
      <c r="V13" s="652"/>
      <c r="W13" s="655"/>
      <c r="X13" s="646"/>
      <c r="Y13" s="563" t="s">
        <v>883</v>
      </c>
    </row>
    <row r="14" spans="1:25" x14ac:dyDescent="0.15">
      <c r="A14" s="198" t="s">
        <v>402</v>
      </c>
      <c r="B14" s="195" t="s">
        <v>455</v>
      </c>
      <c r="C14" s="198" t="s">
        <v>457</v>
      </c>
      <c r="D14" s="195" t="s">
        <v>594</v>
      </c>
      <c r="E14" s="198" t="s">
        <v>458</v>
      </c>
      <c r="F14" s="198" t="s">
        <v>458</v>
      </c>
      <c r="G14" s="198" t="s">
        <v>459</v>
      </c>
      <c r="H14" s="198" t="s">
        <v>460</v>
      </c>
      <c r="I14" s="198" t="s">
        <v>460</v>
      </c>
      <c r="J14" s="198" t="s">
        <v>460</v>
      </c>
      <c r="K14" s="198" t="s">
        <v>460</v>
      </c>
      <c r="L14" s="198" t="s">
        <v>460</v>
      </c>
      <c r="M14" s="198" t="s">
        <v>460</v>
      </c>
      <c r="N14" s="198" t="s">
        <v>460</v>
      </c>
      <c r="O14" s="199" t="s">
        <v>460</v>
      </c>
      <c r="P14" s="199" t="s">
        <v>460</v>
      </c>
      <c r="Q14" s="199" t="s">
        <v>461</v>
      </c>
      <c r="R14" s="199" t="s">
        <v>460</v>
      </c>
      <c r="S14" s="198" t="s">
        <v>460</v>
      </c>
      <c r="T14" s="198" t="s">
        <v>460</v>
      </c>
      <c r="U14" s="653"/>
      <c r="V14" s="653"/>
      <c r="W14" s="655"/>
      <c r="X14" s="646"/>
      <c r="Y14" s="564" t="s">
        <v>460</v>
      </c>
    </row>
    <row r="15" spans="1:25" x14ac:dyDescent="0.15">
      <c r="A15" s="200">
        <v>1</v>
      </c>
      <c r="B15" s="259">
        <v>39753</v>
      </c>
      <c r="C15" s="373">
        <f t="shared" ref="C15:C78" si="0">+(D15-VLOOKUP(D15,capacitycurveุ,1))*VLOOKUP(D15,capacitycurveุ,6)/VLOOKUP(D15,capacitycurveุ,5)+VLOOKUP(D15,capacitycurveุ,2)</f>
        <v>217.20358582580772</v>
      </c>
      <c r="D15" s="318">
        <f>+P8</f>
        <v>86.084000000000003</v>
      </c>
      <c r="E15" s="327">
        <f>VLOOKUP(MONTH(B15),[0]!Evap,3)</f>
        <v>4.4333333333333336</v>
      </c>
      <c r="F15" s="318">
        <f>E15*0.78</f>
        <v>3.4580000000000002</v>
      </c>
      <c r="G15" s="318">
        <f t="shared" ref="G15:G78" si="1">+(D15-VLOOKUP(D15,capacitycurveุ,1))*VLOOKUP(D15,capacitycurveุ,7)/VLOOKUP(D15,capacitycurveุ,5)+VLOOKUP(D15,capacitycurveุ,3)</f>
        <v>12.422779840119514</v>
      </c>
      <c r="H15" s="318">
        <f t="shared" ref="H15:H78" si="2">F15/1000*G15</f>
        <v>4.2957972687133278E-2</v>
      </c>
      <c r="I15" s="318">
        <f>+fill_data!B59</f>
        <v>0.27298880219459531</v>
      </c>
      <c r="J15" s="318">
        <f t="shared" ref="J15:J78" si="3">D15-H15+I15</f>
        <v>86.314030829507459</v>
      </c>
      <c r="K15" s="318">
        <f>+fill_data!C59</f>
        <v>2E-3</v>
      </c>
      <c r="L15" s="318">
        <f>+fill_data!F59</f>
        <v>0</v>
      </c>
      <c r="M15" s="318">
        <f>+fill_data!D59</f>
        <v>3.6833333333333336E-2</v>
      </c>
      <c r="N15" s="318">
        <f>++fill_data!E59</f>
        <v>4.2299999999999997E-2</v>
      </c>
      <c r="O15" s="318">
        <f>VLOOKUP($A15,[0]!ความต้องการน้ำ,3)/7</f>
        <v>7.5885547300799769E-4</v>
      </c>
      <c r="P15" s="318">
        <f>VLOOKUP($A15,[0]!ฝนใช้การ,3)/7</f>
        <v>7.6500920810313052E-5</v>
      </c>
      <c r="Q15" s="318">
        <f>+fill_data!K2</f>
        <v>60</v>
      </c>
      <c r="R15" s="318">
        <f>IF((O15-P15)&lt;=0,0,+(O15-P15)/(Q15/100))</f>
        <v>1.1372575869961412E-3</v>
      </c>
      <c r="S15" s="318">
        <f>K15+L15+M15+N15+R15</f>
        <v>8.227059092032947E-2</v>
      </c>
      <c r="T15" s="318">
        <f t="shared" ref="T15:T78" si="4">J15-S15</f>
        <v>86.231760238587128</v>
      </c>
      <c r="U15" s="353">
        <f>+P6</f>
        <v>141</v>
      </c>
      <c r="V15" s="353">
        <f>+P7</f>
        <v>7</v>
      </c>
      <c r="W15" s="414">
        <v>38.909999999999997</v>
      </c>
      <c r="X15" s="414">
        <v>133.19999999999999</v>
      </c>
      <c r="Y15" s="565">
        <v>52.871560000000002</v>
      </c>
    </row>
    <row r="16" spans="1:25" x14ac:dyDescent="0.15">
      <c r="A16" s="201">
        <f>+A15</f>
        <v>1</v>
      </c>
      <c r="B16" s="260">
        <f t="shared" ref="B16:B79" si="5">+B15+1</f>
        <v>39754</v>
      </c>
      <c r="C16" s="374">
        <f t="shared" si="0"/>
        <v>217.21515088720912</v>
      </c>
      <c r="D16" s="319">
        <f>IF(T15&gt;U15,U15,T15)</f>
        <v>86.231760238587128</v>
      </c>
      <c r="E16" s="319">
        <f>VLOOKUP(MONTH(B16),[0]!Evap,3)</f>
        <v>4.4333333333333336</v>
      </c>
      <c r="F16" s="322">
        <f>E16*0.78</f>
        <v>3.4580000000000002</v>
      </c>
      <c r="G16" s="319">
        <f t="shared" si="1"/>
        <v>12.432967061920209</v>
      </c>
      <c r="H16" s="322">
        <f t="shared" si="2"/>
        <v>4.2993200100120088E-2</v>
      </c>
      <c r="I16" s="322">
        <f>+fill_data!B60</f>
        <v>0.27298880219459531</v>
      </c>
      <c r="J16" s="322">
        <f t="shared" si="3"/>
        <v>86.461755840681604</v>
      </c>
      <c r="K16" s="322">
        <f>+fill_data!C60</f>
        <v>2E-3</v>
      </c>
      <c r="L16" s="322">
        <f>+fill_data!F60</f>
        <v>0</v>
      </c>
      <c r="M16" s="322">
        <f>+fill_data!D60</f>
        <v>3.6833333333333336E-2</v>
      </c>
      <c r="N16" s="322">
        <f>++fill_data!E60</f>
        <v>4.2299999999999997E-2</v>
      </c>
      <c r="O16" s="322">
        <f>VLOOKUP($A16,[0]!ความต้องการน้ำ,3)/7</f>
        <v>7.5885547300799769E-4</v>
      </c>
      <c r="P16" s="322">
        <f>VLOOKUP($A16,[0]!ฝนใช้การ,3)/7</f>
        <v>7.6500920810313052E-5</v>
      </c>
      <c r="Q16" s="322">
        <f>+Q15</f>
        <v>60</v>
      </c>
      <c r="R16" s="322">
        <f>IF((O16-P16)&lt;=0,0,+(O16-P16)/(Q16/100))</f>
        <v>1.1372575869961412E-3</v>
      </c>
      <c r="S16" s="322">
        <f>K16+L16+M16+N16+R16</f>
        <v>8.227059092032947E-2</v>
      </c>
      <c r="T16" s="322">
        <f t="shared" si="4"/>
        <v>86.379485249761274</v>
      </c>
      <c r="U16" s="354">
        <f t="shared" ref="U16:U79" si="6">+U15</f>
        <v>141</v>
      </c>
      <c r="V16" s="354">
        <f t="shared" ref="V16:V80" si="7">+V15</f>
        <v>7</v>
      </c>
      <c r="W16" s="347">
        <v>38.881935483870969</v>
      </c>
      <c r="X16" s="347">
        <v>132.97032258064516</v>
      </c>
      <c r="Y16" s="566">
        <v>52.564749999999997</v>
      </c>
    </row>
    <row r="17" spans="1:25" x14ac:dyDescent="0.15">
      <c r="A17" s="201">
        <f>+A16</f>
        <v>1</v>
      </c>
      <c r="B17" s="260">
        <f t="shared" si="5"/>
        <v>39755</v>
      </c>
      <c r="C17" s="374">
        <f t="shared" si="0"/>
        <v>217.22671319139249</v>
      </c>
      <c r="D17" s="319">
        <f t="shared" ref="D17:D80" si="8">IF(T16&gt;U16,U16,T16)</f>
        <v>86.379485249761274</v>
      </c>
      <c r="E17" s="319">
        <f>VLOOKUP(MONTH(B17),[0]!Evap,3)</f>
        <v>4.4333333333333336</v>
      </c>
      <c r="F17" s="322">
        <f t="shared" ref="F17:F80" si="9">E17*0.78</f>
        <v>3.4580000000000002</v>
      </c>
      <c r="G17" s="319">
        <f t="shared" si="1"/>
        <v>12.443151854992626</v>
      </c>
      <c r="H17" s="322">
        <f t="shared" si="2"/>
        <v>4.3028419114564502E-2</v>
      </c>
      <c r="I17" s="322">
        <f>+fill_data!B61</f>
        <v>0.27298880219459531</v>
      </c>
      <c r="J17" s="322">
        <f t="shared" si="3"/>
        <v>86.6094456328413</v>
      </c>
      <c r="K17" s="322">
        <f>+fill_data!C61</f>
        <v>2E-3</v>
      </c>
      <c r="L17" s="322">
        <f>+fill_data!F61</f>
        <v>0</v>
      </c>
      <c r="M17" s="322">
        <f>+fill_data!D61</f>
        <v>3.6833333333333336E-2</v>
      </c>
      <c r="N17" s="322">
        <f>++fill_data!E61</f>
        <v>4.2299999999999997E-2</v>
      </c>
      <c r="O17" s="322">
        <f>VLOOKUP($A17,[0]!ความต้องการน้ำ,3)/7</f>
        <v>7.5885547300799769E-4</v>
      </c>
      <c r="P17" s="322">
        <f>VLOOKUP($A17,[0]!ฝนใช้การ,3)/7</f>
        <v>7.6500920810313052E-5</v>
      </c>
      <c r="Q17" s="322">
        <f t="shared" ref="Q17:Q80" si="10">+Q16</f>
        <v>60</v>
      </c>
      <c r="R17" s="322">
        <f t="shared" ref="R16:R79" si="11">IF((O17-P17)&lt;=0,0,+(O17-P17)/(Q17/100))</f>
        <v>1.1372575869961412E-3</v>
      </c>
      <c r="S17" s="322">
        <f t="shared" ref="S16:S78" si="12">K17+L17+M17+N17+R17</f>
        <v>8.227059092032947E-2</v>
      </c>
      <c r="T17" s="322">
        <f t="shared" si="4"/>
        <v>86.52717504192097</v>
      </c>
      <c r="U17" s="354">
        <f t="shared" si="6"/>
        <v>141</v>
      </c>
      <c r="V17" s="354">
        <f t="shared" si="7"/>
        <v>7</v>
      </c>
      <c r="W17" s="347">
        <v>38.853870967741933</v>
      </c>
      <c r="X17" s="347">
        <v>132.74064516129033</v>
      </c>
      <c r="Y17" s="566">
        <v>52.360210000000002</v>
      </c>
    </row>
    <row r="18" spans="1:25" x14ac:dyDescent="0.15">
      <c r="A18" s="201">
        <f>+A17</f>
        <v>1</v>
      </c>
      <c r="B18" s="260">
        <f t="shared" si="5"/>
        <v>39756</v>
      </c>
      <c r="C18" s="374">
        <f t="shared" si="0"/>
        <v>217.23827273901517</v>
      </c>
      <c r="D18" s="319">
        <f t="shared" si="8"/>
        <v>86.52717504192097</v>
      </c>
      <c r="E18" s="319">
        <f>VLOOKUP(MONTH(B18),[0]!Evap,3)</f>
        <v>4.4333333333333336</v>
      </c>
      <c r="F18" s="322">
        <f t="shared" si="9"/>
        <v>3.4580000000000002</v>
      </c>
      <c r="G18" s="319">
        <f t="shared" si="1"/>
        <v>12.453334219915799</v>
      </c>
      <c r="H18" s="322">
        <f t="shared" si="2"/>
        <v>4.3063629732468835E-2</v>
      </c>
      <c r="I18" s="322">
        <f>+fill_data!B62</f>
        <v>0.27298880219459531</v>
      </c>
      <c r="J18" s="322">
        <f t="shared" si="3"/>
        <v>86.757100214383087</v>
      </c>
      <c r="K18" s="322">
        <f>+fill_data!C62</f>
        <v>2E-3</v>
      </c>
      <c r="L18" s="322">
        <f>+fill_data!F62</f>
        <v>0</v>
      </c>
      <c r="M18" s="322">
        <f>+fill_data!D62</f>
        <v>3.6833333333333336E-2</v>
      </c>
      <c r="N18" s="322">
        <f>++fill_data!E62</f>
        <v>4.2299999999999997E-2</v>
      </c>
      <c r="O18" s="322">
        <f>VLOOKUP($A18,[0]!ความต้องการน้ำ,3)/7</f>
        <v>7.5885547300799769E-4</v>
      </c>
      <c r="P18" s="322">
        <f>VLOOKUP($A18,[0]!ฝนใช้การ,3)/7</f>
        <v>7.6500920810313052E-5</v>
      </c>
      <c r="Q18" s="322">
        <f t="shared" si="10"/>
        <v>60</v>
      </c>
      <c r="R18" s="322">
        <f t="shared" si="11"/>
        <v>1.1372575869961412E-3</v>
      </c>
      <c r="S18" s="322">
        <f t="shared" si="12"/>
        <v>8.227059092032947E-2</v>
      </c>
      <c r="T18" s="322">
        <f t="shared" si="4"/>
        <v>86.674829623462756</v>
      </c>
      <c r="U18" s="354">
        <f t="shared" si="6"/>
        <v>141</v>
      </c>
      <c r="V18" s="354">
        <f t="shared" si="7"/>
        <v>7</v>
      </c>
      <c r="W18" s="347">
        <v>38.825806451612905</v>
      </c>
      <c r="X18" s="347">
        <v>132.51096774193547</v>
      </c>
      <c r="Y18" s="566">
        <v>52.053400000000003</v>
      </c>
    </row>
    <row r="19" spans="1:25" x14ac:dyDescent="0.15">
      <c r="A19" s="201">
        <f>+A18</f>
        <v>1</v>
      </c>
      <c r="B19" s="260">
        <f t="shared" si="5"/>
        <v>39757</v>
      </c>
      <c r="C19" s="374">
        <f t="shared" si="0"/>
        <v>217.24982953073439</v>
      </c>
      <c r="D19" s="319">
        <f t="shared" si="8"/>
        <v>86.674829623462756</v>
      </c>
      <c r="E19" s="319">
        <f>VLOOKUP(MONTH(B19),[0]!Evap,3)</f>
        <v>4.4333333333333336</v>
      </c>
      <c r="F19" s="322">
        <f t="shared" si="9"/>
        <v>3.4580000000000002</v>
      </c>
      <c r="G19" s="319">
        <f t="shared" si="1"/>
        <v>12.463514157268621</v>
      </c>
      <c r="H19" s="322">
        <f t="shared" si="2"/>
        <v>4.3098831955834895E-2</v>
      </c>
      <c r="I19" s="322">
        <f>+fill_data!B63</f>
        <v>0.27298880219459531</v>
      </c>
      <c r="J19" s="322">
        <f t="shared" si="3"/>
        <v>86.904719593701515</v>
      </c>
      <c r="K19" s="322">
        <f>+fill_data!C63</f>
        <v>2E-3</v>
      </c>
      <c r="L19" s="322">
        <f>+fill_data!F63</f>
        <v>0</v>
      </c>
      <c r="M19" s="322">
        <f>+fill_data!D63</f>
        <v>3.6833333333333336E-2</v>
      </c>
      <c r="N19" s="322">
        <f>++fill_data!E63</f>
        <v>4.2299999999999997E-2</v>
      </c>
      <c r="O19" s="322">
        <f>VLOOKUP($A19,[0]!ความต้องการน้ำ,3)/7</f>
        <v>7.5885547300799769E-4</v>
      </c>
      <c r="P19" s="322">
        <f>VLOOKUP($A19,[0]!ฝนใช้การ,3)/7</f>
        <v>7.6500920810313052E-5</v>
      </c>
      <c r="Q19" s="322">
        <f t="shared" si="10"/>
        <v>60</v>
      </c>
      <c r="R19" s="322">
        <f t="shared" si="11"/>
        <v>1.1372575869961412E-3</v>
      </c>
      <c r="S19" s="322">
        <f t="shared" si="12"/>
        <v>8.227059092032947E-2</v>
      </c>
      <c r="T19" s="322">
        <f t="shared" si="4"/>
        <v>86.822449002781184</v>
      </c>
      <c r="U19" s="354">
        <f t="shared" si="6"/>
        <v>141</v>
      </c>
      <c r="V19" s="354">
        <f t="shared" si="7"/>
        <v>7</v>
      </c>
      <c r="W19" s="347">
        <v>38.79774193548387</v>
      </c>
      <c r="X19" s="347">
        <v>132.28129032258065</v>
      </c>
      <c r="Y19" s="566">
        <v>51.848860000000002</v>
      </c>
    </row>
    <row r="20" spans="1:25" x14ac:dyDescent="0.15">
      <c r="A20" s="201">
        <v>1</v>
      </c>
      <c r="B20" s="260">
        <f t="shared" si="5"/>
        <v>39758</v>
      </c>
      <c r="C20" s="374">
        <f t="shared" si="0"/>
        <v>217.2613835672071</v>
      </c>
      <c r="D20" s="319">
        <f t="shared" si="8"/>
        <v>86.822449002781184</v>
      </c>
      <c r="E20" s="319">
        <f>VLOOKUP(MONTH(B20),[0]!Evap,3)</f>
        <v>4.4333333333333336</v>
      </c>
      <c r="F20" s="322">
        <f t="shared" si="9"/>
        <v>3.4580000000000002</v>
      </c>
      <c r="G20" s="319">
        <f t="shared" si="1"/>
        <v>12.473691667629847</v>
      </c>
      <c r="H20" s="322">
        <f t="shared" si="2"/>
        <v>4.3134025786664011E-2</v>
      </c>
      <c r="I20" s="322">
        <f>+fill_data!B64</f>
        <v>0.27298880219459531</v>
      </c>
      <c r="J20" s="322">
        <f t="shared" si="3"/>
        <v>87.052303779189103</v>
      </c>
      <c r="K20" s="322">
        <f>+fill_data!C64</f>
        <v>2E-3</v>
      </c>
      <c r="L20" s="322">
        <f>+fill_data!F64</f>
        <v>0</v>
      </c>
      <c r="M20" s="322">
        <f>+fill_data!D64</f>
        <v>3.6833333333333336E-2</v>
      </c>
      <c r="N20" s="322">
        <f>++fill_data!E64</f>
        <v>4.2299999999999997E-2</v>
      </c>
      <c r="O20" s="322">
        <f>VLOOKUP($A20,[0]!ความต้องการน้ำ,3)/7</f>
        <v>7.5885547300799769E-4</v>
      </c>
      <c r="P20" s="322">
        <f>VLOOKUP($A20,[0]!ฝนใช้การ,3)/7</f>
        <v>7.6500920810313052E-5</v>
      </c>
      <c r="Q20" s="322">
        <f t="shared" si="10"/>
        <v>60</v>
      </c>
      <c r="R20" s="322">
        <f>IF((O20-P20)&lt;=0,0,+(O20-P20)/(Q20/100))</f>
        <v>1.1372575869961412E-3</v>
      </c>
      <c r="S20" s="322">
        <f>K20+L20+M20+N20+R20</f>
        <v>8.227059092032947E-2</v>
      </c>
      <c r="T20" s="322">
        <f t="shared" si="4"/>
        <v>86.970033188268772</v>
      </c>
      <c r="U20" s="354">
        <f t="shared" si="6"/>
        <v>141</v>
      </c>
      <c r="V20" s="354">
        <f t="shared" si="7"/>
        <v>7</v>
      </c>
      <c r="W20" s="347">
        <v>38.769677419354842</v>
      </c>
      <c r="X20" s="347">
        <v>132.05161290322579</v>
      </c>
      <c r="Y20" s="566">
        <v>51.542050000000003</v>
      </c>
    </row>
    <row r="21" spans="1:25" x14ac:dyDescent="0.15">
      <c r="A21" s="201">
        <f t="shared" ref="A21:A84" si="13">+A20</f>
        <v>1</v>
      </c>
      <c r="B21" s="260">
        <f t="shared" si="5"/>
        <v>39759</v>
      </c>
      <c r="C21" s="374">
        <f t="shared" si="0"/>
        <v>217.27293484909026</v>
      </c>
      <c r="D21" s="319">
        <f t="shared" si="8"/>
        <v>86.970033188268772</v>
      </c>
      <c r="E21" s="319">
        <f>VLOOKUP(MONTH(B21),[0]!Evap,3)</f>
        <v>4.4333333333333336</v>
      </c>
      <c r="F21" s="322">
        <f t="shared" si="9"/>
        <v>3.4580000000000002</v>
      </c>
      <c r="G21" s="319">
        <f t="shared" si="1"/>
        <v>12.483866751578093</v>
      </c>
      <c r="H21" s="322">
        <f t="shared" si="2"/>
        <v>4.3169211226957049E-2</v>
      </c>
      <c r="I21" s="322">
        <f>+fill_data!B65</f>
        <v>0.27298880219459531</v>
      </c>
      <c r="J21" s="322">
        <f t="shared" si="3"/>
        <v>87.199852779236409</v>
      </c>
      <c r="K21" s="322">
        <f>+fill_data!C65</f>
        <v>2E-3</v>
      </c>
      <c r="L21" s="322">
        <f>+fill_data!F65</f>
        <v>0</v>
      </c>
      <c r="M21" s="322">
        <f>+fill_data!D65</f>
        <v>3.6833333333333336E-2</v>
      </c>
      <c r="N21" s="322">
        <f>++fill_data!E65</f>
        <v>4.2299999999999997E-2</v>
      </c>
      <c r="O21" s="322">
        <f>VLOOKUP($A21,[0]!ความต้องการน้ำ,3)/7</f>
        <v>7.5885547300799769E-4</v>
      </c>
      <c r="P21" s="322">
        <f>VLOOKUP($A21,[0]!ฝนใช้การ,3)/7</f>
        <v>7.6500920810313052E-5</v>
      </c>
      <c r="Q21" s="322">
        <f t="shared" si="10"/>
        <v>60</v>
      </c>
      <c r="R21" s="322">
        <f t="shared" si="11"/>
        <v>1.1372575869961412E-3</v>
      </c>
      <c r="S21" s="322">
        <f t="shared" si="12"/>
        <v>8.227059092032947E-2</v>
      </c>
      <c r="T21" s="322">
        <f t="shared" si="4"/>
        <v>87.117582188316078</v>
      </c>
      <c r="U21" s="354">
        <f t="shared" si="6"/>
        <v>141</v>
      </c>
      <c r="V21" s="354">
        <f t="shared" si="7"/>
        <v>7</v>
      </c>
      <c r="W21" s="347">
        <v>38.741612903225807</v>
      </c>
      <c r="X21" s="347">
        <v>131.82193548387096</v>
      </c>
      <c r="Y21" s="566">
        <v>51.337510000000002</v>
      </c>
    </row>
    <row r="22" spans="1:25" x14ac:dyDescent="0.15">
      <c r="A22" s="201">
        <v>2</v>
      </c>
      <c r="B22" s="260">
        <f t="shared" si="5"/>
        <v>39760</v>
      </c>
      <c r="C22" s="374">
        <f t="shared" si="0"/>
        <v>217.28448337704054</v>
      </c>
      <c r="D22" s="319">
        <f t="shared" si="8"/>
        <v>87.117582188316078</v>
      </c>
      <c r="E22" s="319">
        <f>VLOOKUP(MONTH(B22),[0]!Evap,3)</f>
        <v>4.4333333333333336</v>
      </c>
      <c r="F22" s="322">
        <f t="shared" si="9"/>
        <v>3.4580000000000002</v>
      </c>
      <c r="G22" s="319">
        <f t="shared" si="1"/>
        <v>12.494039409691839</v>
      </c>
      <c r="H22" s="322">
        <f t="shared" si="2"/>
        <v>4.3204388278714381E-2</v>
      </c>
      <c r="I22" s="322">
        <f>+fill_data!B66</f>
        <v>0.27298880219459531</v>
      </c>
      <c r="J22" s="322">
        <f t="shared" si="3"/>
        <v>87.347366602231958</v>
      </c>
      <c r="K22" s="322">
        <f>+fill_data!C66</f>
        <v>2E-3</v>
      </c>
      <c r="L22" s="322">
        <f>+fill_data!F66</f>
        <v>0</v>
      </c>
      <c r="M22" s="322">
        <f>+fill_data!D66</f>
        <v>3.6833333333333336E-2</v>
      </c>
      <c r="N22" s="322">
        <f>++fill_data!E66</f>
        <v>4.2299999999999997E-2</v>
      </c>
      <c r="O22" s="322">
        <f>VLOOKUP($A22,[0]!ความต้องการน้ำ,3)/7</f>
        <v>7.6517585163329784E-4</v>
      </c>
      <c r="P22" s="322">
        <f>VLOOKUP($A22,[0]!ฝนใช้การ,3)/7</f>
        <v>7.6500920810313052E-5</v>
      </c>
      <c r="Q22" s="322">
        <f t="shared" si="10"/>
        <v>60</v>
      </c>
      <c r="R22" s="322">
        <f t="shared" si="11"/>
        <v>1.1477915513716413E-3</v>
      </c>
      <c r="S22" s="322">
        <f t="shared" si="12"/>
        <v>8.2281124884704973E-2</v>
      </c>
      <c r="T22" s="322">
        <f t="shared" si="4"/>
        <v>87.265085477347256</v>
      </c>
      <c r="U22" s="354">
        <f t="shared" si="6"/>
        <v>141</v>
      </c>
      <c r="V22" s="354">
        <f t="shared" si="7"/>
        <v>7</v>
      </c>
      <c r="W22" s="347">
        <v>38.713548387096779</v>
      </c>
      <c r="X22" s="347">
        <v>131.5922580645161</v>
      </c>
      <c r="Y22" s="566">
        <v>51.030700000000003</v>
      </c>
    </row>
    <row r="23" spans="1:25" x14ac:dyDescent="0.15">
      <c r="A23" s="201">
        <f t="shared" si="13"/>
        <v>2</v>
      </c>
      <c r="B23" s="260">
        <f t="shared" si="5"/>
        <v>39761</v>
      </c>
      <c r="C23" s="374">
        <f t="shared" si="0"/>
        <v>217.29602832723057</v>
      </c>
      <c r="D23" s="319">
        <f t="shared" si="8"/>
        <v>87.265085477347256</v>
      </c>
      <c r="E23" s="319">
        <f>VLOOKUP(MONTH(B23),[0]!Evap,3)</f>
        <v>4.4333333333333336</v>
      </c>
      <c r="F23" s="322">
        <f t="shared" si="9"/>
        <v>3.4580000000000002</v>
      </c>
      <c r="G23" s="319">
        <f t="shared" si="1"/>
        <v>12.504208916292944</v>
      </c>
      <c r="H23" s="322">
        <f t="shared" si="2"/>
        <v>4.3239554432541003E-2</v>
      </c>
      <c r="I23" s="322">
        <f>+fill_data!B67</f>
        <v>0.27298880219459531</v>
      </c>
      <c r="J23" s="322">
        <f t="shared" si="3"/>
        <v>87.4948347251093</v>
      </c>
      <c r="K23" s="322">
        <f>+fill_data!C67</f>
        <v>2E-3</v>
      </c>
      <c r="L23" s="322">
        <f>+fill_data!F67</f>
        <v>0</v>
      </c>
      <c r="M23" s="322">
        <f>+fill_data!D67</f>
        <v>3.6833333333333336E-2</v>
      </c>
      <c r="N23" s="322">
        <f>++fill_data!E67</f>
        <v>4.2299999999999997E-2</v>
      </c>
      <c r="O23" s="322">
        <f>VLOOKUP($A23,[0]!ความต้องการน้ำ,3)/7</f>
        <v>7.6517585163329784E-4</v>
      </c>
      <c r="P23" s="322">
        <f>VLOOKUP($A23,[0]!ฝนใช้การ,3)/7</f>
        <v>7.6500920810313052E-5</v>
      </c>
      <c r="Q23" s="322">
        <f t="shared" si="10"/>
        <v>60</v>
      </c>
      <c r="R23" s="322">
        <f t="shared" si="11"/>
        <v>1.1477915513716413E-3</v>
      </c>
      <c r="S23" s="322">
        <f t="shared" si="12"/>
        <v>8.2281124884704973E-2</v>
      </c>
      <c r="T23" s="322">
        <f t="shared" si="4"/>
        <v>87.412553600224598</v>
      </c>
      <c r="U23" s="354">
        <f t="shared" si="6"/>
        <v>141</v>
      </c>
      <c r="V23" s="354">
        <f t="shared" si="7"/>
        <v>7</v>
      </c>
      <c r="W23" s="347">
        <v>38.685483870967744</v>
      </c>
      <c r="X23" s="347">
        <v>131.36258064516127</v>
      </c>
      <c r="Y23" s="566">
        <v>50.826160000000002</v>
      </c>
    </row>
    <row r="24" spans="1:25" x14ac:dyDescent="0.15">
      <c r="A24" s="201">
        <f t="shared" si="13"/>
        <v>2</v>
      </c>
      <c r="B24" s="260">
        <f t="shared" si="5"/>
        <v>39762</v>
      </c>
      <c r="C24" s="374">
        <f t="shared" si="0"/>
        <v>217.30757052499726</v>
      </c>
      <c r="D24" s="319">
        <f t="shared" si="8"/>
        <v>87.412553600224598</v>
      </c>
      <c r="E24" s="319">
        <f>VLOOKUP(MONTH(B24),[0]!Evap,3)</f>
        <v>4.4333333333333336</v>
      </c>
      <c r="F24" s="322">
        <f t="shared" si="9"/>
        <v>3.4580000000000002</v>
      </c>
      <c r="G24" s="319">
        <f t="shared" si="1"/>
        <v>12.514375998389239</v>
      </c>
      <c r="H24" s="322">
        <f t="shared" si="2"/>
        <v>4.3274712202429989E-2</v>
      </c>
      <c r="I24" s="322">
        <f>+fill_data!B68</f>
        <v>0.27298880219459531</v>
      </c>
      <c r="J24" s="322">
        <f t="shared" si="3"/>
        <v>87.642267690216755</v>
      </c>
      <c r="K24" s="322">
        <f>+fill_data!C68</f>
        <v>2E-3</v>
      </c>
      <c r="L24" s="322">
        <f>+fill_data!F68</f>
        <v>0</v>
      </c>
      <c r="M24" s="322">
        <f>+fill_data!D68</f>
        <v>3.6833333333333336E-2</v>
      </c>
      <c r="N24" s="322">
        <f>++fill_data!E68</f>
        <v>4.2299999999999997E-2</v>
      </c>
      <c r="O24" s="322">
        <f>VLOOKUP($A24,[0]!ความต้องการน้ำ,3)/7</f>
        <v>7.6517585163329784E-4</v>
      </c>
      <c r="P24" s="322">
        <f>VLOOKUP($A24,[0]!ฝนใช้การ,3)/7</f>
        <v>7.6500920810313052E-5</v>
      </c>
      <c r="Q24" s="322">
        <f t="shared" si="10"/>
        <v>60</v>
      </c>
      <c r="R24" s="322">
        <f t="shared" si="11"/>
        <v>1.1477915513716413E-3</v>
      </c>
      <c r="S24" s="322">
        <f t="shared" si="12"/>
        <v>8.2281124884704973E-2</v>
      </c>
      <c r="T24" s="322">
        <f t="shared" si="4"/>
        <v>87.559986565332053</v>
      </c>
      <c r="U24" s="354">
        <f t="shared" si="6"/>
        <v>141</v>
      </c>
      <c r="V24" s="354">
        <f t="shared" si="7"/>
        <v>7</v>
      </c>
      <c r="W24" s="347">
        <v>38.657419354838716</v>
      </c>
      <c r="X24" s="347">
        <v>131.13290322580642</v>
      </c>
      <c r="Y24" s="566">
        <v>50.723889999999997</v>
      </c>
    </row>
    <row r="25" spans="1:25" x14ac:dyDescent="0.15">
      <c r="A25" s="201">
        <f t="shared" si="13"/>
        <v>2</v>
      </c>
      <c r="B25" s="260">
        <f t="shared" si="5"/>
        <v>39763</v>
      </c>
      <c r="C25" s="374">
        <f t="shared" si="0"/>
        <v>217.31910997099683</v>
      </c>
      <c r="D25" s="319">
        <f t="shared" si="8"/>
        <v>87.559986565332053</v>
      </c>
      <c r="E25" s="319">
        <f>VLOOKUP(MONTH(B25),[0]!Evap,3)</f>
        <v>4.4333333333333336</v>
      </c>
      <c r="F25" s="322">
        <f t="shared" si="9"/>
        <v>3.4580000000000002</v>
      </c>
      <c r="G25" s="319">
        <f t="shared" si="1"/>
        <v>12.52454065655875</v>
      </c>
      <c r="H25" s="322">
        <f t="shared" si="2"/>
        <v>4.330986159038016E-2</v>
      </c>
      <c r="I25" s="322">
        <f>+fill_data!B69</f>
        <v>0.27298880219459531</v>
      </c>
      <c r="J25" s="322">
        <f t="shared" si="3"/>
        <v>87.78966550593627</v>
      </c>
      <c r="K25" s="322">
        <f>+fill_data!C69</f>
        <v>2E-3</v>
      </c>
      <c r="L25" s="322">
        <f>+fill_data!F69</f>
        <v>0</v>
      </c>
      <c r="M25" s="322">
        <f>+fill_data!D69</f>
        <v>3.6833333333333336E-2</v>
      </c>
      <c r="N25" s="322">
        <f>++fill_data!E69</f>
        <v>4.2299999999999997E-2</v>
      </c>
      <c r="O25" s="322">
        <f>VLOOKUP($A25,[0]!ความต้องการน้ำ,3)/7</f>
        <v>7.6517585163329784E-4</v>
      </c>
      <c r="P25" s="322">
        <f>VLOOKUP($A25,[0]!ฝนใช้การ,3)/7</f>
        <v>7.6500920810313052E-5</v>
      </c>
      <c r="Q25" s="322">
        <f t="shared" si="10"/>
        <v>60</v>
      </c>
      <c r="R25" s="322">
        <f t="shared" si="11"/>
        <v>1.1477915513716413E-3</v>
      </c>
      <c r="S25" s="322">
        <f t="shared" si="12"/>
        <v>8.2281124884704973E-2</v>
      </c>
      <c r="T25" s="322">
        <f t="shared" si="4"/>
        <v>87.707384381051568</v>
      </c>
      <c r="U25" s="354">
        <f t="shared" si="6"/>
        <v>141</v>
      </c>
      <c r="V25" s="354">
        <f t="shared" si="7"/>
        <v>7</v>
      </c>
      <c r="W25" s="347">
        <v>38.629354838709681</v>
      </c>
      <c r="X25" s="347">
        <v>130.90322580645159</v>
      </c>
      <c r="Y25" s="566">
        <v>51.030700000000003</v>
      </c>
    </row>
    <row r="26" spans="1:25" x14ac:dyDescent="0.15">
      <c r="A26" s="201">
        <f t="shared" si="13"/>
        <v>2</v>
      </c>
      <c r="B26" s="260">
        <f t="shared" si="5"/>
        <v>39764</v>
      </c>
      <c r="C26" s="374">
        <f t="shared" si="0"/>
        <v>217.33064666588533</v>
      </c>
      <c r="D26" s="319">
        <f t="shared" si="8"/>
        <v>87.707384381051568</v>
      </c>
      <c r="E26" s="319">
        <f>VLOOKUP(MONTH(B26),[0]!Evap,3)</f>
        <v>4.4333333333333336</v>
      </c>
      <c r="F26" s="322">
        <f t="shared" si="9"/>
        <v>3.4580000000000002</v>
      </c>
      <c r="G26" s="319">
        <f t="shared" si="1"/>
        <v>12.534702891379366</v>
      </c>
      <c r="H26" s="322">
        <f t="shared" si="2"/>
        <v>4.3345002598389852E-2</v>
      </c>
      <c r="I26" s="322">
        <f>+fill_data!B70</f>
        <v>0.27298880219459531</v>
      </c>
      <c r="J26" s="322">
        <f t="shared" si="3"/>
        <v>87.937028180647772</v>
      </c>
      <c r="K26" s="322">
        <f>+fill_data!C70</f>
        <v>2E-3</v>
      </c>
      <c r="L26" s="322">
        <f>+fill_data!F70</f>
        <v>0</v>
      </c>
      <c r="M26" s="322">
        <f>+fill_data!D70</f>
        <v>3.6833333333333336E-2</v>
      </c>
      <c r="N26" s="322">
        <f>++fill_data!E70</f>
        <v>4.2299999999999997E-2</v>
      </c>
      <c r="O26" s="322">
        <f>VLOOKUP($A26,[0]!ความต้องการน้ำ,3)/7</f>
        <v>7.6517585163329784E-4</v>
      </c>
      <c r="P26" s="322">
        <f>VLOOKUP($A26,[0]!ฝนใช้การ,3)/7</f>
        <v>7.6500920810313052E-5</v>
      </c>
      <c r="Q26" s="322">
        <f t="shared" si="10"/>
        <v>60</v>
      </c>
      <c r="R26" s="322">
        <f t="shared" si="11"/>
        <v>1.1477915513716413E-3</v>
      </c>
      <c r="S26" s="322">
        <f t="shared" si="12"/>
        <v>8.2281124884704973E-2</v>
      </c>
      <c r="T26" s="322">
        <f t="shared" si="4"/>
        <v>87.85474705576307</v>
      </c>
      <c r="U26" s="354">
        <f t="shared" si="6"/>
        <v>141</v>
      </c>
      <c r="V26" s="354">
        <f t="shared" si="7"/>
        <v>7</v>
      </c>
      <c r="W26" s="347">
        <v>38.601290322580653</v>
      </c>
      <c r="X26" s="347">
        <v>130.67354838709676</v>
      </c>
      <c r="Y26" s="566">
        <v>51.337510000000002</v>
      </c>
    </row>
    <row r="27" spans="1:25" x14ac:dyDescent="0.15">
      <c r="A27" s="201">
        <f t="shared" si="13"/>
        <v>2</v>
      </c>
      <c r="B27" s="260">
        <f t="shared" si="5"/>
        <v>39765</v>
      </c>
      <c r="C27" s="374">
        <f t="shared" si="0"/>
        <v>217.34218061031859</v>
      </c>
      <c r="D27" s="319">
        <f t="shared" si="8"/>
        <v>87.85474705576307</v>
      </c>
      <c r="E27" s="319">
        <f>VLOOKUP(MONTH(B27),[0]!Evap,3)</f>
        <v>4.4333333333333336</v>
      </c>
      <c r="F27" s="322">
        <f t="shared" si="9"/>
        <v>3.4580000000000002</v>
      </c>
      <c r="G27" s="319">
        <f t="shared" si="1"/>
        <v>12.544862703428834</v>
      </c>
      <c r="H27" s="322">
        <f t="shared" si="2"/>
        <v>4.3380135228456906E-2</v>
      </c>
      <c r="I27" s="322">
        <f>+fill_data!B71</f>
        <v>0.27298880219459531</v>
      </c>
      <c r="J27" s="322">
        <f t="shared" si="3"/>
        <v>88.0843557227292</v>
      </c>
      <c r="K27" s="322">
        <f>+fill_data!C71</f>
        <v>2E-3</v>
      </c>
      <c r="L27" s="322">
        <f>+fill_data!F71</f>
        <v>0</v>
      </c>
      <c r="M27" s="322">
        <f>+fill_data!D71</f>
        <v>3.6833333333333336E-2</v>
      </c>
      <c r="N27" s="322">
        <f>++fill_data!E71</f>
        <v>4.2299999999999997E-2</v>
      </c>
      <c r="O27" s="322">
        <f>VLOOKUP($A27,[0]!ความต้องการน้ำ,3)/7</f>
        <v>7.6517585163329784E-4</v>
      </c>
      <c r="P27" s="322">
        <f>VLOOKUP($A27,[0]!ฝนใช้การ,3)/7</f>
        <v>7.6500920810313052E-5</v>
      </c>
      <c r="Q27" s="322">
        <f t="shared" si="10"/>
        <v>60</v>
      </c>
      <c r="R27" s="322">
        <f t="shared" si="11"/>
        <v>1.1477915513716413E-3</v>
      </c>
      <c r="S27" s="322">
        <f t="shared" si="12"/>
        <v>8.2281124884704973E-2</v>
      </c>
      <c r="T27" s="322">
        <f t="shared" si="4"/>
        <v>88.002074597844498</v>
      </c>
      <c r="U27" s="354">
        <f t="shared" si="6"/>
        <v>141</v>
      </c>
      <c r="V27" s="354">
        <f t="shared" si="7"/>
        <v>7</v>
      </c>
      <c r="W27" s="347">
        <v>38.573225806451617</v>
      </c>
      <c r="X27" s="347">
        <v>130.4438709677419</v>
      </c>
      <c r="Y27" s="566">
        <v>51.337510000000002</v>
      </c>
    </row>
    <row r="28" spans="1:25" x14ac:dyDescent="0.15">
      <c r="A28" s="201">
        <f t="shared" si="13"/>
        <v>2</v>
      </c>
      <c r="B28" s="260">
        <f t="shared" si="5"/>
        <v>39766</v>
      </c>
      <c r="C28" s="374">
        <f t="shared" si="0"/>
        <v>217.35371180495244</v>
      </c>
      <c r="D28" s="319">
        <f t="shared" si="8"/>
        <v>88.002074597844498</v>
      </c>
      <c r="E28" s="319">
        <f>VLOOKUP(MONTH(B28),[0]!Evap,3)</f>
        <v>4.4333333333333336</v>
      </c>
      <c r="F28" s="322">
        <f t="shared" si="9"/>
        <v>3.4580000000000002</v>
      </c>
      <c r="G28" s="319">
        <f t="shared" si="1"/>
        <v>12.555020093284762</v>
      </c>
      <c r="H28" s="322">
        <f t="shared" si="2"/>
        <v>4.3415259482578711E-2</v>
      </c>
      <c r="I28" s="322">
        <f>+fill_data!B72</f>
        <v>0.27298880219459531</v>
      </c>
      <c r="J28" s="322">
        <f t="shared" si="3"/>
        <v>88.231648140556516</v>
      </c>
      <c r="K28" s="322">
        <f>+fill_data!C72</f>
        <v>2E-3</v>
      </c>
      <c r="L28" s="322">
        <f>+fill_data!F72</f>
        <v>0</v>
      </c>
      <c r="M28" s="322">
        <f>+fill_data!D72</f>
        <v>3.6833333333333336E-2</v>
      </c>
      <c r="N28" s="322">
        <f>++fill_data!E72</f>
        <v>4.2299999999999997E-2</v>
      </c>
      <c r="O28" s="322">
        <f>VLOOKUP($A28,[0]!ความต้องการน้ำ,3)/7</f>
        <v>7.6517585163329784E-4</v>
      </c>
      <c r="P28" s="322">
        <f>VLOOKUP($A28,[0]!ฝนใช้การ,3)/7</f>
        <v>7.6500920810313052E-5</v>
      </c>
      <c r="Q28" s="322">
        <f t="shared" si="10"/>
        <v>60</v>
      </c>
      <c r="R28" s="322">
        <f t="shared" si="11"/>
        <v>1.1477915513716413E-3</v>
      </c>
      <c r="S28" s="322">
        <f t="shared" si="12"/>
        <v>8.2281124884704973E-2</v>
      </c>
      <c r="T28" s="322">
        <f t="shared" si="4"/>
        <v>88.149367015671814</v>
      </c>
      <c r="U28" s="354">
        <f t="shared" si="6"/>
        <v>141</v>
      </c>
      <c r="V28" s="354">
        <f t="shared" si="7"/>
        <v>7</v>
      </c>
      <c r="W28" s="347">
        <v>38.545161290322589</v>
      </c>
      <c r="X28" s="347">
        <v>130.21419354838707</v>
      </c>
      <c r="Y28" s="566">
        <v>51.337510000000002</v>
      </c>
    </row>
    <row r="29" spans="1:25" x14ac:dyDescent="0.15">
      <c r="A29" s="201">
        <v>3</v>
      </c>
      <c r="B29" s="260">
        <f t="shared" si="5"/>
        <v>39767</v>
      </c>
      <c r="C29" s="374">
        <f t="shared" si="0"/>
        <v>217.36524025044241</v>
      </c>
      <c r="D29" s="319">
        <f t="shared" si="8"/>
        <v>88.149367015671814</v>
      </c>
      <c r="E29" s="319">
        <f>VLOOKUP(MONTH(B29),[0]!Evap,3)</f>
        <v>4.4333333333333336</v>
      </c>
      <c r="F29" s="322">
        <f t="shared" si="9"/>
        <v>3.4580000000000002</v>
      </c>
      <c r="G29" s="319">
        <f t="shared" si="1"/>
        <v>12.565175061524629</v>
      </c>
      <c r="H29" s="322">
        <f t="shared" si="2"/>
        <v>4.3450375362752168E-2</v>
      </c>
      <c r="I29" s="322">
        <f>+fill_data!B73</f>
        <v>0.27298880219459531</v>
      </c>
      <c r="J29" s="322">
        <f t="shared" si="3"/>
        <v>88.378905442503651</v>
      </c>
      <c r="K29" s="322">
        <f>+fill_data!C73</f>
        <v>2E-3</v>
      </c>
      <c r="L29" s="322">
        <f>+fill_data!F73</f>
        <v>0</v>
      </c>
      <c r="M29" s="322">
        <f>+fill_data!D73</f>
        <v>3.6833333333333336E-2</v>
      </c>
      <c r="N29" s="322">
        <f>++fill_data!E73</f>
        <v>4.2299999999999997E-2</v>
      </c>
      <c r="O29" s="322">
        <f>VLOOKUP($A29,[0]!ความต้องการน้ำ,3)/7</f>
        <v>8.4354854658701941E-4</v>
      </c>
      <c r="P29" s="322">
        <f>VLOOKUP($A29,[0]!ฝนใช้การ,3)/7</f>
        <v>7.6500920810313052E-5</v>
      </c>
      <c r="Q29" s="322">
        <f t="shared" si="10"/>
        <v>60</v>
      </c>
      <c r="R29" s="322">
        <f t="shared" si="11"/>
        <v>1.2784127096278439E-3</v>
      </c>
      <c r="S29" s="322">
        <f t="shared" si="12"/>
        <v>8.2411746042961184E-2</v>
      </c>
      <c r="T29" s="322">
        <f t="shared" si="4"/>
        <v>88.296493696460686</v>
      </c>
      <c r="U29" s="354">
        <f t="shared" si="6"/>
        <v>141</v>
      </c>
      <c r="V29" s="354">
        <f t="shared" si="7"/>
        <v>7</v>
      </c>
      <c r="W29" s="347">
        <v>38.517096774193554</v>
      </c>
      <c r="X29" s="347">
        <v>129.98451612903222</v>
      </c>
      <c r="Y29" s="566">
        <v>51.235239999999997</v>
      </c>
    </row>
    <row r="30" spans="1:25" x14ac:dyDescent="0.15">
      <c r="A30" s="201">
        <f t="shared" si="13"/>
        <v>3</v>
      </c>
      <c r="B30" s="260">
        <f t="shared" si="5"/>
        <v>39768</v>
      </c>
      <c r="C30" s="374">
        <f t="shared" si="0"/>
        <v>217.37675572384293</v>
      </c>
      <c r="D30" s="319">
        <f t="shared" si="8"/>
        <v>88.296493696460686</v>
      </c>
      <c r="E30" s="319">
        <f>VLOOKUP(MONTH(B30),[0]!Evap,3)</f>
        <v>4.4333333333333336</v>
      </c>
      <c r="F30" s="322">
        <f t="shared" si="9"/>
        <v>3.4580000000000002</v>
      </c>
      <c r="G30" s="319">
        <f t="shared" si="1"/>
        <v>12.57531860314535</v>
      </c>
      <c r="H30" s="322">
        <f t="shared" si="2"/>
        <v>4.3485451729676619E-2</v>
      </c>
      <c r="I30" s="322">
        <f>+fill_data!B74</f>
        <v>0.27298880219459531</v>
      </c>
      <c r="J30" s="322">
        <f t="shared" si="3"/>
        <v>88.525997046925596</v>
      </c>
      <c r="K30" s="322">
        <f>+fill_data!C74</f>
        <v>2E-3</v>
      </c>
      <c r="L30" s="322">
        <f>+fill_data!F74</f>
        <v>0</v>
      </c>
      <c r="M30" s="322">
        <f>+fill_data!D74</f>
        <v>3.6833333333333336E-2</v>
      </c>
      <c r="N30" s="322">
        <f>++fill_data!E74</f>
        <v>4.2299999999999997E-2</v>
      </c>
      <c r="O30" s="322">
        <f>VLOOKUP($A30,[0]!ความต้องการน้ำ,3)/7</f>
        <v>8.4354854658701941E-4</v>
      </c>
      <c r="P30" s="322">
        <f>VLOOKUP($A30,[0]!ฝนใช้การ,3)/7</f>
        <v>7.6500920810313052E-5</v>
      </c>
      <c r="Q30" s="322">
        <f t="shared" si="10"/>
        <v>60</v>
      </c>
      <c r="R30" s="322">
        <f t="shared" si="11"/>
        <v>1.2784127096278439E-3</v>
      </c>
      <c r="S30" s="322">
        <f t="shared" si="12"/>
        <v>8.2411746042961184E-2</v>
      </c>
      <c r="T30" s="322">
        <f t="shared" si="4"/>
        <v>88.443585300882631</v>
      </c>
      <c r="U30" s="354">
        <f t="shared" si="6"/>
        <v>141</v>
      </c>
      <c r="V30" s="354">
        <f t="shared" si="7"/>
        <v>7</v>
      </c>
      <c r="W30" s="347">
        <v>38.489032258064526</v>
      </c>
      <c r="X30" s="347">
        <v>129.75483870967739</v>
      </c>
      <c r="Y30" s="566">
        <v>51.235239999999997</v>
      </c>
    </row>
    <row r="31" spans="1:25" x14ac:dyDescent="0.15">
      <c r="A31" s="201">
        <f t="shared" si="13"/>
        <v>3</v>
      </c>
      <c r="B31" s="260">
        <f t="shared" si="5"/>
        <v>39769</v>
      </c>
      <c r="C31" s="374">
        <f t="shared" si="0"/>
        <v>217.38826845184769</v>
      </c>
      <c r="D31" s="319">
        <f t="shared" si="8"/>
        <v>88.443585300882631</v>
      </c>
      <c r="E31" s="319">
        <f>VLOOKUP(MONTH(B31),[0]!Evap,3)</f>
        <v>4.4333333333333336</v>
      </c>
      <c r="F31" s="322">
        <f t="shared" si="9"/>
        <v>3.4580000000000002</v>
      </c>
      <c r="G31" s="319">
        <f t="shared" si="1"/>
        <v>12.585459726451555</v>
      </c>
      <c r="H31" s="322">
        <f t="shared" si="2"/>
        <v>4.3520519734069479E-2</v>
      </c>
      <c r="I31" s="322">
        <f>+fill_data!B75</f>
        <v>0.27298880219459531</v>
      </c>
      <c r="J31" s="322">
        <f t="shared" si="3"/>
        <v>88.673053583343147</v>
      </c>
      <c r="K31" s="322">
        <f>+fill_data!C75</f>
        <v>2E-3</v>
      </c>
      <c r="L31" s="322">
        <f>+fill_data!F75</f>
        <v>0</v>
      </c>
      <c r="M31" s="322">
        <f>+fill_data!D75</f>
        <v>3.6833333333333336E-2</v>
      </c>
      <c r="N31" s="322">
        <f>++fill_data!E75</f>
        <v>4.2299999999999997E-2</v>
      </c>
      <c r="O31" s="322">
        <f>VLOOKUP($A31,[0]!ความต้องการน้ำ,3)/7</f>
        <v>8.4354854658701941E-4</v>
      </c>
      <c r="P31" s="322">
        <f>VLOOKUP($A31,[0]!ฝนใช้การ,3)/7</f>
        <v>7.6500920810313052E-5</v>
      </c>
      <c r="Q31" s="322">
        <f t="shared" si="10"/>
        <v>60</v>
      </c>
      <c r="R31" s="322">
        <f t="shared" si="11"/>
        <v>1.2784127096278439E-3</v>
      </c>
      <c r="S31" s="322">
        <f t="shared" si="12"/>
        <v>8.2411746042961184E-2</v>
      </c>
      <c r="T31" s="322">
        <f t="shared" si="4"/>
        <v>88.590641837300183</v>
      </c>
      <c r="U31" s="354">
        <f t="shared" si="6"/>
        <v>141</v>
      </c>
      <c r="V31" s="354">
        <f t="shared" si="7"/>
        <v>7</v>
      </c>
      <c r="W31" s="347">
        <v>38.460967741935491</v>
      </c>
      <c r="X31" s="347">
        <v>129.52516129032253</v>
      </c>
      <c r="Y31" s="566">
        <v>51.235239999999997</v>
      </c>
    </row>
    <row r="32" spans="1:25" x14ac:dyDescent="0.15">
      <c r="A32" s="201">
        <f t="shared" si="13"/>
        <v>3</v>
      </c>
      <c r="B32" s="260">
        <f t="shared" si="5"/>
        <v>39770</v>
      </c>
      <c r="C32" s="374">
        <f t="shared" si="0"/>
        <v>217.39977843511119</v>
      </c>
      <c r="D32" s="319">
        <f t="shared" si="8"/>
        <v>88.590641837300183</v>
      </c>
      <c r="E32" s="319">
        <f>VLOOKUP(MONTH(B32),[0]!Evap,3)</f>
        <v>4.4333333333333336</v>
      </c>
      <c r="F32" s="322">
        <f t="shared" si="9"/>
        <v>3.4580000000000002</v>
      </c>
      <c r="G32" s="319">
        <f t="shared" si="1"/>
        <v>12.595598432019793</v>
      </c>
      <c r="H32" s="322">
        <f t="shared" si="2"/>
        <v>4.3555579377924446E-2</v>
      </c>
      <c r="I32" s="322">
        <f>+fill_data!B76</f>
        <v>0.27298880219459531</v>
      </c>
      <c r="J32" s="322">
        <f t="shared" si="3"/>
        <v>88.820075060116849</v>
      </c>
      <c r="K32" s="322">
        <f>+fill_data!C76</f>
        <v>2E-3</v>
      </c>
      <c r="L32" s="322">
        <f>+fill_data!F76</f>
        <v>0</v>
      </c>
      <c r="M32" s="322">
        <f>+fill_data!D76</f>
        <v>3.6833333333333336E-2</v>
      </c>
      <c r="N32" s="322">
        <f>++fill_data!E76</f>
        <v>4.2299999999999997E-2</v>
      </c>
      <c r="O32" s="322">
        <f>VLOOKUP($A32,[0]!ความต้องการน้ำ,3)/7</f>
        <v>8.4354854658701941E-4</v>
      </c>
      <c r="P32" s="322">
        <f>VLOOKUP($A32,[0]!ฝนใช้การ,3)/7</f>
        <v>7.6500920810313052E-5</v>
      </c>
      <c r="Q32" s="322">
        <f t="shared" si="10"/>
        <v>60</v>
      </c>
      <c r="R32" s="322">
        <f t="shared" si="11"/>
        <v>1.2784127096278439E-3</v>
      </c>
      <c r="S32" s="322">
        <f t="shared" si="12"/>
        <v>8.2411746042961184E-2</v>
      </c>
      <c r="T32" s="322">
        <f t="shared" si="4"/>
        <v>88.737663314073885</v>
      </c>
      <c r="U32" s="354">
        <f t="shared" si="6"/>
        <v>141</v>
      </c>
      <c r="V32" s="354">
        <f t="shared" si="7"/>
        <v>7</v>
      </c>
      <c r="W32" s="347">
        <v>38.432903225806463</v>
      </c>
      <c r="X32" s="347">
        <v>129.2954838709677</v>
      </c>
      <c r="Y32" s="566">
        <v>51.235239999999997</v>
      </c>
    </row>
    <row r="33" spans="1:25" x14ac:dyDescent="0.15">
      <c r="A33" s="201">
        <f t="shared" si="13"/>
        <v>3</v>
      </c>
      <c r="B33" s="260">
        <f t="shared" si="5"/>
        <v>39771</v>
      </c>
      <c r="C33" s="374">
        <f t="shared" si="0"/>
        <v>217.4112856742878</v>
      </c>
      <c r="D33" s="319">
        <f t="shared" si="8"/>
        <v>88.737663314073885</v>
      </c>
      <c r="E33" s="319">
        <f>VLOOKUP(MONTH(B33),[0]!Evap,3)</f>
        <v>4.4333333333333336</v>
      </c>
      <c r="F33" s="322">
        <f t="shared" si="9"/>
        <v>3.4580000000000002</v>
      </c>
      <c r="G33" s="319">
        <f t="shared" si="1"/>
        <v>12.605734720426474</v>
      </c>
      <c r="H33" s="322">
        <f t="shared" si="2"/>
        <v>4.359063066323475E-2</v>
      </c>
      <c r="I33" s="322">
        <f>+fill_data!B77</f>
        <v>0.27298880219459531</v>
      </c>
      <c r="J33" s="322">
        <f t="shared" si="3"/>
        <v>88.967061485605242</v>
      </c>
      <c r="K33" s="322">
        <f>+fill_data!C77</f>
        <v>2E-3</v>
      </c>
      <c r="L33" s="322">
        <f>+fill_data!F77</f>
        <v>0</v>
      </c>
      <c r="M33" s="322">
        <f>+fill_data!D77</f>
        <v>3.6833333333333336E-2</v>
      </c>
      <c r="N33" s="322">
        <f>++fill_data!E77</f>
        <v>4.2299999999999997E-2</v>
      </c>
      <c r="O33" s="322">
        <f>VLOOKUP($A33,[0]!ความต้องการน้ำ,3)/7</f>
        <v>8.4354854658701941E-4</v>
      </c>
      <c r="P33" s="322">
        <f>VLOOKUP($A33,[0]!ฝนใช้การ,3)/7</f>
        <v>7.6500920810313052E-5</v>
      </c>
      <c r="Q33" s="322">
        <f t="shared" si="10"/>
        <v>60</v>
      </c>
      <c r="R33" s="322">
        <f t="shared" si="11"/>
        <v>1.2784127096278439E-3</v>
      </c>
      <c r="S33" s="322">
        <f t="shared" si="12"/>
        <v>8.2411746042961184E-2</v>
      </c>
      <c r="T33" s="322">
        <f t="shared" si="4"/>
        <v>88.884649739562278</v>
      </c>
      <c r="U33" s="354">
        <f t="shared" si="6"/>
        <v>141</v>
      </c>
      <c r="V33" s="354">
        <f t="shared" si="7"/>
        <v>7</v>
      </c>
      <c r="W33" s="347">
        <v>38.404838709677428</v>
      </c>
      <c r="X33" s="347">
        <v>129.06580645161287</v>
      </c>
      <c r="Y33" s="566">
        <v>51.235239999999997</v>
      </c>
    </row>
    <row r="34" spans="1:25" x14ac:dyDescent="0.15">
      <c r="A34" s="201">
        <f t="shared" si="13"/>
        <v>3</v>
      </c>
      <c r="B34" s="260">
        <f t="shared" si="5"/>
        <v>39772</v>
      </c>
      <c r="C34" s="374">
        <f t="shared" si="0"/>
        <v>217.4227901700317</v>
      </c>
      <c r="D34" s="319">
        <f t="shared" si="8"/>
        <v>88.884649739562278</v>
      </c>
      <c r="E34" s="319">
        <f>VLOOKUP(MONTH(B34),[0]!Evap,3)</f>
        <v>4.4333333333333336</v>
      </c>
      <c r="F34" s="322">
        <f t="shared" si="9"/>
        <v>3.4580000000000002</v>
      </c>
      <c r="G34" s="319">
        <f t="shared" si="1"/>
        <v>12.615868592247875</v>
      </c>
      <c r="H34" s="322">
        <f t="shared" si="2"/>
        <v>4.3625673591993153E-2</v>
      </c>
      <c r="I34" s="322">
        <f>+fill_data!B78</f>
        <v>0.27298880219459531</v>
      </c>
      <c r="J34" s="322">
        <f t="shared" si="3"/>
        <v>89.114012868164878</v>
      </c>
      <c r="K34" s="322">
        <f>+fill_data!C78</f>
        <v>2E-3</v>
      </c>
      <c r="L34" s="322">
        <f>+fill_data!F78</f>
        <v>0</v>
      </c>
      <c r="M34" s="322">
        <f>+fill_data!D78</f>
        <v>3.6833333333333336E-2</v>
      </c>
      <c r="N34" s="322">
        <f>++fill_data!E78</f>
        <v>4.2299999999999997E-2</v>
      </c>
      <c r="O34" s="322">
        <f>VLOOKUP($A34,[0]!ความต้องการน้ำ,3)/7</f>
        <v>8.4354854658701941E-4</v>
      </c>
      <c r="P34" s="322">
        <f>VLOOKUP($A34,[0]!ฝนใช้การ,3)/7</f>
        <v>7.6500920810313052E-5</v>
      </c>
      <c r="Q34" s="322">
        <f t="shared" si="10"/>
        <v>60</v>
      </c>
      <c r="R34" s="322">
        <f t="shared" si="11"/>
        <v>1.2784127096278439E-3</v>
      </c>
      <c r="S34" s="322">
        <f t="shared" si="12"/>
        <v>8.2411746042961184E-2</v>
      </c>
      <c r="T34" s="322">
        <f t="shared" si="4"/>
        <v>89.031601122121913</v>
      </c>
      <c r="U34" s="354">
        <f t="shared" si="6"/>
        <v>141</v>
      </c>
      <c r="V34" s="354">
        <f t="shared" si="7"/>
        <v>7</v>
      </c>
      <c r="W34" s="347">
        <v>38.3767741935484</v>
      </c>
      <c r="X34" s="347">
        <v>128.83612903225801</v>
      </c>
      <c r="Y34" s="566">
        <v>51.235239999999997</v>
      </c>
    </row>
    <row r="35" spans="1:25" x14ac:dyDescent="0.15">
      <c r="A35" s="201">
        <f t="shared" si="13"/>
        <v>3</v>
      </c>
      <c r="B35" s="260">
        <f t="shared" si="5"/>
        <v>39773</v>
      </c>
      <c r="C35" s="374">
        <f t="shared" si="0"/>
        <v>217.43429192299703</v>
      </c>
      <c r="D35" s="319">
        <f t="shared" si="8"/>
        <v>89.031601122121913</v>
      </c>
      <c r="E35" s="319">
        <f>VLOOKUP(MONTH(B35),[0]!Evap,3)</f>
        <v>4.4333333333333336</v>
      </c>
      <c r="F35" s="322">
        <f t="shared" si="9"/>
        <v>3.4580000000000002</v>
      </c>
      <c r="G35" s="319">
        <f t="shared" si="1"/>
        <v>12.62600004806013</v>
      </c>
      <c r="H35" s="322">
        <f t="shared" si="2"/>
        <v>4.3660708166191928E-2</v>
      </c>
      <c r="I35" s="322">
        <f>+fill_data!B79</f>
        <v>0.27298880219459531</v>
      </c>
      <c r="J35" s="322">
        <f t="shared" si="3"/>
        <v>89.260929216150316</v>
      </c>
      <c r="K35" s="322">
        <f>+fill_data!C79</f>
        <v>2E-3</v>
      </c>
      <c r="L35" s="322">
        <f>+fill_data!F79</f>
        <v>0</v>
      </c>
      <c r="M35" s="322">
        <f>+fill_data!D79</f>
        <v>3.6833333333333336E-2</v>
      </c>
      <c r="N35" s="322">
        <f>++fill_data!E79</f>
        <v>4.2299999999999997E-2</v>
      </c>
      <c r="O35" s="322">
        <f>VLOOKUP($A35,[0]!ความต้องการน้ำ,3)/7</f>
        <v>8.4354854658701941E-4</v>
      </c>
      <c r="P35" s="322">
        <f>VLOOKUP($A35,[0]!ฝนใช้การ,3)/7</f>
        <v>7.6500920810313052E-5</v>
      </c>
      <c r="Q35" s="322">
        <f t="shared" si="10"/>
        <v>60</v>
      </c>
      <c r="R35" s="322">
        <f t="shared" si="11"/>
        <v>1.2784127096278439E-3</v>
      </c>
      <c r="S35" s="322">
        <f t="shared" si="12"/>
        <v>8.2411746042961184E-2</v>
      </c>
      <c r="T35" s="322">
        <f t="shared" si="4"/>
        <v>89.178517470107352</v>
      </c>
      <c r="U35" s="354">
        <f t="shared" si="6"/>
        <v>141</v>
      </c>
      <c r="V35" s="354">
        <f t="shared" si="7"/>
        <v>7</v>
      </c>
      <c r="W35" s="347">
        <v>38.348709677419365</v>
      </c>
      <c r="X35" s="347">
        <v>128.60645161290319</v>
      </c>
      <c r="Y35" s="566">
        <v>51.235239999999997</v>
      </c>
    </row>
    <row r="36" spans="1:25" x14ac:dyDescent="0.15">
      <c r="A36" s="201">
        <v>4</v>
      </c>
      <c r="B36" s="260">
        <f t="shared" si="5"/>
        <v>39774</v>
      </c>
      <c r="C36" s="374">
        <f t="shared" si="0"/>
        <v>217.44579093383763</v>
      </c>
      <c r="D36" s="319">
        <f t="shared" si="8"/>
        <v>89.178517470107352</v>
      </c>
      <c r="E36" s="319">
        <f>VLOOKUP(MONTH(B36),[0]!Evap,3)</f>
        <v>4.4333333333333336</v>
      </c>
      <c r="F36" s="322">
        <f t="shared" si="9"/>
        <v>3.4580000000000002</v>
      </c>
      <c r="G36" s="319">
        <f t="shared" si="1"/>
        <v>12.636129088439237</v>
      </c>
      <c r="H36" s="322">
        <f t="shared" si="2"/>
        <v>4.3695734387822885E-2</v>
      </c>
      <c r="I36" s="322">
        <f>+fill_data!B80</f>
        <v>0.27298880219459531</v>
      </c>
      <c r="J36" s="322">
        <f t="shared" si="3"/>
        <v>89.407810537914116</v>
      </c>
      <c r="K36" s="322">
        <f>+fill_data!C80</f>
        <v>2E-3</v>
      </c>
      <c r="L36" s="322">
        <f>+fill_data!F80</f>
        <v>0</v>
      </c>
      <c r="M36" s="322">
        <f>+fill_data!D80</f>
        <v>3.6833333333333336E-2</v>
      </c>
      <c r="N36" s="322">
        <f>++fill_data!E80</f>
        <v>4.2299999999999997E-2</v>
      </c>
      <c r="O36" s="322">
        <f>VLOOKUP($A36,[0]!ความต้องการน้ำ,3)/7</f>
        <v>8.4354854658701941E-4</v>
      </c>
      <c r="P36" s="322">
        <f>VLOOKUP($A36,[0]!ฝนใช้การ,3)/7</f>
        <v>7.6500920810313052E-5</v>
      </c>
      <c r="Q36" s="322">
        <f t="shared" si="10"/>
        <v>60</v>
      </c>
      <c r="R36" s="322">
        <f t="shared" si="11"/>
        <v>1.2784127096278439E-3</v>
      </c>
      <c r="S36" s="322">
        <f t="shared" si="12"/>
        <v>8.2411746042961184E-2</v>
      </c>
      <c r="T36" s="322">
        <f t="shared" si="4"/>
        <v>89.325398791871152</v>
      </c>
      <c r="U36" s="354">
        <f t="shared" si="6"/>
        <v>141</v>
      </c>
      <c r="V36" s="354">
        <f t="shared" si="7"/>
        <v>7</v>
      </c>
      <c r="W36" s="347">
        <v>38.320645161290329</v>
      </c>
      <c r="X36" s="347">
        <v>128.37677419354833</v>
      </c>
      <c r="Y36" s="566">
        <v>51.235239999999997</v>
      </c>
    </row>
    <row r="37" spans="1:25" x14ac:dyDescent="0.15">
      <c r="A37" s="201">
        <f t="shared" si="13"/>
        <v>4</v>
      </c>
      <c r="B37" s="260">
        <f t="shared" si="5"/>
        <v>39775</v>
      </c>
      <c r="C37" s="374">
        <f t="shared" si="0"/>
        <v>217.45728720320724</v>
      </c>
      <c r="D37" s="319">
        <f t="shared" si="8"/>
        <v>89.325398791871152</v>
      </c>
      <c r="E37" s="319">
        <f>VLOOKUP(MONTH(B37),[0]!Evap,3)</f>
        <v>4.4333333333333336</v>
      </c>
      <c r="F37" s="322">
        <f t="shared" si="9"/>
        <v>3.4580000000000002</v>
      </c>
      <c r="G37" s="319">
        <f t="shared" si="1"/>
        <v>12.646255713961059</v>
      </c>
      <c r="H37" s="322">
        <f t="shared" si="2"/>
        <v>4.3730752258877348E-2</v>
      </c>
      <c r="I37" s="322">
        <f>+fill_data!B81</f>
        <v>0.27298880219459531</v>
      </c>
      <c r="J37" s="322">
        <f t="shared" si="3"/>
        <v>89.55465684180686</v>
      </c>
      <c r="K37" s="322">
        <f>+fill_data!C81</f>
        <v>2E-3</v>
      </c>
      <c r="L37" s="322">
        <f>+fill_data!F81</f>
        <v>0</v>
      </c>
      <c r="M37" s="322">
        <f>+fill_data!D81</f>
        <v>3.6833333333333336E-2</v>
      </c>
      <c r="N37" s="322">
        <f>++fill_data!E81</f>
        <v>4.2299999999999997E-2</v>
      </c>
      <c r="O37" s="322">
        <f>VLOOKUP($A37,[0]!ความต้องการน้ำ,3)/7</f>
        <v>8.4354854658701941E-4</v>
      </c>
      <c r="P37" s="322">
        <f>VLOOKUP($A37,[0]!ฝนใช้การ,3)/7</f>
        <v>7.6500920810313052E-5</v>
      </c>
      <c r="Q37" s="322">
        <f t="shared" si="10"/>
        <v>60</v>
      </c>
      <c r="R37" s="322">
        <f t="shared" si="11"/>
        <v>1.2784127096278439E-3</v>
      </c>
      <c r="S37" s="322">
        <f t="shared" si="12"/>
        <v>8.2411746042961184E-2</v>
      </c>
      <c r="T37" s="322">
        <f t="shared" si="4"/>
        <v>89.472245095763896</v>
      </c>
      <c r="U37" s="354">
        <f t="shared" si="6"/>
        <v>141</v>
      </c>
      <c r="V37" s="354">
        <f t="shared" si="7"/>
        <v>7</v>
      </c>
      <c r="W37" s="347">
        <v>38.292580645161301</v>
      </c>
      <c r="X37" s="347">
        <v>128.1470967741935</v>
      </c>
      <c r="Y37" s="566">
        <v>51.235239999999997</v>
      </c>
    </row>
    <row r="38" spans="1:25" x14ac:dyDescent="0.15">
      <c r="A38" s="201">
        <f t="shared" si="13"/>
        <v>4</v>
      </c>
      <c r="B38" s="260">
        <f t="shared" si="5"/>
        <v>39776</v>
      </c>
      <c r="C38" s="374">
        <f t="shared" si="0"/>
        <v>217.46878073175949</v>
      </c>
      <c r="D38" s="319">
        <f t="shared" si="8"/>
        <v>89.472245095763896</v>
      </c>
      <c r="E38" s="319">
        <f>VLOOKUP(MONTH(B38),[0]!Evap,3)</f>
        <v>4.4333333333333336</v>
      </c>
      <c r="F38" s="322">
        <f t="shared" si="9"/>
        <v>3.4580000000000002</v>
      </c>
      <c r="G38" s="319">
        <f t="shared" si="1"/>
        <v>12.656379925201321</v>
      </c>
      <c r="H38" s="322">
        <f t="shared" si="2"/>
        <v>4.3765761781346169E-2</v>
      </c>
      <c r="I38" s="322">
        <f>+fill_data!B82</f>
        <v>0.27298880219459531</v>
      </c>
      <c r="J38" s="322">
        <f t="shared" si="3"/>
        <v>89.701468136177141</v>
      </c>
      <c r="K38" s="322">
        <f>+fill_data!C82</f>
        <v>2E-3</v>
      </c>
      <c r="L38" s="322">
        <f>+fill_data!F82</f>
        <v>0</v>
      </c>
      <c r="M38" s="322">
        <f>+fill_data!D82</f>
        <v>3.6833333333333336E-2</v>
      </c>
      <c r="N38" s="322">
        <f>++fill_data!E82</f>
        <v>4.2299999999999997E-2</v>
      </c>
      <c r="O38" s="322">
        <f>VLOOKUP($A38,[0]!ความต้องการน้ำ,3)/7</f>
        <v>8.4354854658701941E-4</v>
      </c>
      <c r="P38" s="322">
        <f>VLOOKUP($A38,[0]!ฝนใช้การ,3)/7</f>
        <v>7.6500920810313052E-5</v>
      </c>
      <c r="Q38" s="322">
        <f t="shared" si="10"/>
        <v>60</v>
      </c>
      <c r="R38" s="322">
        <f t="shared" si="11"/>
        <v>1.2784127096278439E-3</v>
      </c>
      <c r="S38" s="322">
        <f t="shared" si="12"/>
        <v>8.2411746042961184E-2</v>
      </c>
      <c r="T38" s="322">
        <f t="shared" si="4"/>
        <v>89.619056390134176</v>
      </c>
      <c r="U38" s="354">
        <f t="shared" si="6"/>
        <v>141</v>
      </c>
      <c r="V38" s="354">
        <f t="shared" si="7"/>
        <v>7</v>
      </c>
      <c r="W38" s="347">
        <v>38.264516129032266</v>
      </c>
      <c r="X38" s="347">
        <v>127.91741935483866</v>
      </c>
      <c r="Y38" s="566">
        <v>51.235239999999997</v>
      </c>
    </row>
    <row r="39" spans="1:25" x14ac:dyDescent="0.15">
      <c r="A39" s="201">
        <f t="shared" si="13"/>
        <v>4</v>
      </c>
      <c r="B39" s="260">
        <f t="shared" si="5"/>
        <v>39777</v>
      </c>
      <c r="C39" s="374">
        <f t="shared" si="0"/>
        <v>217.48027152014782</v>
      </c>
      <c r="D39" s="319">
        <f t="shared" si="8"/>
        <v>89.619056390134176</v>
      </c>
      <c r="E39" s="319">
        <f>VLOOKUP(MONTH(B39),[0]!Evap,3)</f>
        <v>4.4333333333333336</v>
      </c>
      <c r="F39" s="322">
        <f t="shared" si="9"/>
        <v>3.4580000000000002</v>
      </c>
      <c r="G39" s="319">
        <f t="shared" si="1"/>
        <v>12.66650172273561</v>
      </c>
      <c r="H39" s="322">
        <f t="shared" si="2"/>
        <v>4.3800762957219741E-2</v>
      </c>
      <c r="I39" s="322">
        <f>+fill_data!B83</f>
        <v>0.27298880219459531</v>
      </c>
      <c r="J39" s="322">
        <f t="shared" si="3"/>
        <v>89.848244429371547</v>
      </c>
      <c r="K39" s="322">
        <f>+fill_data!C83</f>
        <v>2E-3</v>
      </c>
      <c r="L39" s="322">
        <f>+fill_data!F83</f>
        <v>0</v>
      </c>
      <c r="M39" s="322">
        <f>+fill_data!D83</f>
        <v>3.6833333333333336E-2</v>
      </c>
      <c r="N39" s="322">
        <f>++fill_data!E83</f>
        <v>4.2299999999999997E-2</v>
      </c>
      <c r="O39" s="322">
        <f>VLOOKUP($A39,[0]!ความต้องการน้ำ,3)/7</f>
        <v>8.4354854658701941E-4</v>
      </c>
      <c r="P39" s="322">
        <f>VLOOKUP($A39,[0]!ฝนใช้การ,3)/7</f>
        <v>7.6500920810313052E-5</v>
      </c>
      <c r="Q39" s="322">
        <f t="shared" si="10"/>
        <v>60</v>
      </c>
      <c r="R39" s="322">
        <f t="shared" si="11"/>
        <v>1.2784127096278439E-3</v>
      </c>
      <c r="S39" s="322">
        <f>K39+L39+M39+N39+R39</f>
        <v>8.2411746042961184E-2</v>
      </c>
      <c r="T39" s="322">
        <f t="shared" si="4"/>
        <v>89.765832683328583</v>
      </c>
      <c r="U39" s="354">
        <f t="shared" si="6"/>
        <v>141</v>
      </c>
      <c r="V39" s="354">
        <f t="shared" si="7"/>
        <v>7</v>
      </c>
      <c r="W39" s="347">
        <v>38.236451612903238</v>
      </c>
      <c r="X39" s="347">
        <v>127.68774193548381</v>
      </c>
      <c r="Y39" s="566">
        <v>51.235239999999997</v>
      </c>
    </row>
    <row r="40" spans="1:25" x14ac:dyDescent="0.15">
      <c r="A40" s="201">
        <f t="shared" si="13"/>
        <v>4</v>
      </c>
      <c r="B40" s="260">
        <f t="shared" si="5"/>
        <v>39778</v>
      </c>
      <c r="C40" s="374">
        <f t="shared" si="0"/>
        <v>217.49175956902548</v>
      </c>
      <c r="D40" s="319">
        <f t="shared" si="8"/>
        <v>89.765832683328583</v>
      </c>
      <c r="E40" s="319">
        <f>VLOOKUP(MONTH(B40),[0]!Evap,3)</f>
        <v>4.4333333333333336</v>
      </c>
      <c r="F40" s="322">
        <f t="shared" si="9"/>
        <v>3.4580000000000002</v>
      </c>
      <c r="G40" s="319">
        <f t="shared" si="1"/>
        <v>12.676621107139374</v>
      </c>
      <c r="H40" s="322">
        <f t="shared" si="2"/>
        <v>4.383575578848796E-2</v>
      </c>
      <c r="I40" s="322">
        <f>+fill_data!B84</f>
        <v>0.27298880219459531</v>
      </c>
      <c r="J40" s="322">
        <f t="shared" si="3"/>
        <v>89.99498572973468</v>
      </c>
      <c r="K40" s="322">
        <f>+fill_data!C84</f>
        <v>2E-3</v>
      </c>
      <c r="L40" s="322">
        <f>+fill_data!F84</f>
        <v>0</v>
      </c>
      <c r="M40" s="322">
        <f>+fill_data!D84</f>
        <v>3.6833333333333336E-2</v>
      </c>
      <c r="N40" s="322">
        <f>++fill_data!E84</f>
        <v>4.2299999999999997E-2</v>
      </c>
      <c r="O40" s="322">
        <f>VLOOKUP($A40,[0]!ความต้องการน้ำ,3)/7</f>
        <v>8.4354854658701941E-4</v>
      </c>
      <c r="P40" s="322">
        <f>VLOOKUP($A40,[0]!ฝนใช้การ,3)/7</f>
        <v>7.6500920810313052E-5</v>
      </c>
      <c r="Q40" s="322">
        <f t="shared" si="10"/>
        <v>60</v>
      </c>
      <c r="R40" s="322">
        <f t="shared" si="11"/>
        <v>1.2784127096278439E-3</v>
      </c>
      <c r="S40" s="322">
        <f t="shared" si="12"/>
        <v>8.2411746042961184E-2</v>
      </c>
      <c r="T40" s="322">
        <f t="shared" si="4"/>
        <v>89.912573983691715</v>
      </c>
      <c r="U40" s="354">
        <f t="shared" si="6"/>
        <v>141</v>
      </c>
      <c r="V40" s="354">
        <f t="shared" si="7"/>
        <v>7</v>
      </c>
      <c r="W40" s="347">
        <v>38.208387096774203</v>
      </c>
      <c r="X40" s="347">
        <v>127.45806451612897</v>
      </c>
      <c r="Y40" s="566">
        <v>51.13297</v>
      </c>
    </row>
    <row r="41" spans="1:25" x14ac:dyDescent="0.15">
      <c r="A41" s="201">
        <f t="shared" si="13"/>
        <v>4</v>
      </c>
      <c r="B41" s="260">
        <f t="shared" si="5"/>
        <v>39779</v>
      </c>
      <c r="C41" s="374">
        <f t="shared" si="0"/>
        <v>217.50313224545778</v>
      </c>
      <c r="D41" s="319">
        <f t="shared" si="8"/>
        <v>89.912573983691715</v>
      </c>
      <c r="E41" s="319">
        <f>VLOOKUP(MONTH(B41),[0]!Evap,3)</f>
        <v>4.4333333333333336</v>
      </c>
      <c r="F41" s="322">
        <f t="shared" si="9"/>
        <v>3.4580000000000002</v>
      </c>
      <c r="G41" s="319">
        <f t="shared" si="1"/>
        <v>12.686632373558909</v>
      </c>
      <c r="H41" s="322">
        <f t="shared" si="2"/>
        <v>4.3870374747766713E-2</v>
      </c>
      <c r="I41" s="322">
        <f>+fill_data!B85</f>
        <v>0.27298880219459531</v>
      </c>
      <c r="J41" s="322">
        <f t="shared" si="3"/>
        <v>90.141692411138536</v>
      </c>
      <c r="K41" s="322">
        <f>+fill_data!C85</f>
        <v>2E-3</v>
      </c>
      <c r="L41" s="322">
        <f>+fill_data!F85</f>
        <v>0</v>
      </c>
      <c r="M41" s="322">
        <f>+fill_data!D85</f>
        <v>3.6833333333333336E-2</v>
      </c>
      <c r="N41" s="322">
        <f>++fill_data!E85</f>
        <v>4.2299999999999997E-2</v>
      </c>
      <c r="O41" s="322">
        <f>VLOOKUP($A41,[0]!ความต้องการน้ำ,3)/7</f>
        <v>8.4354854658701941E-4</v>
      </c>
      <c r="P41" s="322">
        <f>VLOOKUP($A41,[0]!ฝนใช้การ,3)/7</f>
        <v>7.6500920810313052E-5</v>
      </c>
      <c r="Q41" s="322">
        <f t="shared" si="10"/>
        <v>60</v>
      </c>
      <c r="R41" s="322">
        <f t="shared" si="11"/>
        <v>1.2784127096278439E-3</v>
      </c>
      <c r="S41" s="322">
        <f t="shared" si="12"/>
        <v>8.2411746042961184E-2</v>
      </c>
      <c r="T41" s="322">
        <f t="shared" si="4"/>
        <v>90.059280665095571</v>
      </c>
      <c r="U41" s="354">
        <f t="shared" si="6"/>
        <v>141</v>
      </c>
      <c r="V41" s="354">
        <f t="shared" si="7"/>
        <v>7</v>
      </c>
      <c r="W41" s="347">
        <v>38.180322580645175</v>
      </c>
      <c r="X41" s="347">
        <v>127.22838709677413</v>
      </c>
      <c r="Y41" s="566">
        <v>51.13297</v>
      </c>
    </row>
    <row r="42" spans="1:25" x14ac:dyDescent="0.15">
      <c r="A42" s="201">
        <f t="shared" si="13"/>
        <v>4</v>
      </c>
      <c r="B42" s="260">
        <f t="shared" si="5"/>
        <v>39780</v>
      </c>
      <c r="C42" s="374">
        <f t="shared" si="0"/>
        <v>217.51421627124728</v>
      </c>
      <c r="D42" s="319">
        <f t="shared" si="8"/>
        <v>90.059280665095571</v>
      </c>
      <c r="E42" s="319">
        <f>VLOOKUP(MONTH(B42),[0]!Evap,3)</f>
        <v>4.4333333333333336</v>
      </c>
      <c r="F42" s="322">
        <f t="shared" si="9"/>
        <v>3.4580000000000002</v>
      </c>
      <c r="G42" s="319">
        <f t="shared" si="1"/>
        <v>12.696372900555188</v>
      </c>
      <c r="H42" s="322">
        <f t="shared" si="2"/>
        <v>4.3904057490119844E-2</v>
      </c>
      <c r="I42" s="322">
        <f>+fill_data!B86</f>
        <v>0.27298880219459531</v>
      </c>
      <c r="J42" s="322">
        <f t="shared" si="3"/>
        <v>90.288365409800036</v>
      </c>
      <c r="K42" s="322">
        <f>+fill_data!C86</f>
        <v>2E-3</v>
      </c>
      <c r="L42" s="322">
        <f>+fill_data!F86</f>
        <v>0</v>
      </c>
      <c r="M42" s="322">
        <f>+fill_data!D86</f>
        <v>3.6833333333333336E-2</v>
      </c>
      <c r="N42" s="322">
        <f>++fill_data!E86</f>
        <v>4.2299999999999997E-2</v>
      </c>
      <c r="O42" s="322">
        <f>VLOOKUP($A42,[0]!ความต้องการน้ำ,3)/7</f>
        <v>8.4354854658701941E-4</v>
      </c>
      <c r="P42" s="322">
        <f>VLOOKUP($A42,[0]!ฝนใช้การ,3)/7</f>
        <v>7.6500920810313052E-5</v>
      </c>
      <c r="Q42" s="322">
        <f t="shared" si="10"/>
        <v>60</v>
      </c>
      <c r="R42" s="322">
        <f t="shared" si="11"/>
        <v>1.2784127096278439E-3</v>
      </c>
      <c r="S42" s="322">
        <f t="shared" si="12"/>
        <v>8.2411746042961184E-2</v>
      </c>
      <c r="T42" s="322">
        <f t="shared" si="4"/>
        <v>90.205953663757072</v>
      </c>
      <c r="U42" s="354">
        <f t="shared" si="6"/>
        <v>141</v>
      </c>
      <c r="V42" s="354">
        <f t="shared" si="7"/>
        <v>7</v>
      </c>
      <c r="W42" s="347">
        <v>38.15225806451614</v>
      </c>
      <c r="X42" s="347">
        <v>126.99870967741928</v>
      </c>
      <c r="Y42" s="566">
        <v>51.13297</v>
      </c>
    </row>
    <row r="43" spans="1:25" x14ac:dyDescent="0.15">
      <c r="A43" s="201">
        <v>5</v>
      </c>
      <c r="B43" s="260">
        <f t="shared" si="5"/>
        <v>39781</v>
      </c>
      <c r="C43" s="374">
        <f t="shared" si="0"/>
        <v>217.52529775222845</v>
      </c>
      <c r="D43" s="319">
        <f t="shared" si="8"/>
        <v>90.205953663757072</v>
      </c>
      <c r="E43" s="319">
        <f>VLOOKUP(MONTH(B43),[0]!Evap,3)</f>
        <v>4.4333333333333336</v>
      </c>
      <c r="F43" s="322">
        <f t="shared" si="9"/>
        <v>3.4580000000000002</v>
      </c>
      <c r="G43" s="319">
        <f t="shared" si="1"/>
        <v>12.706111191200279</v>
      </c>
      <c r="H43" s="322">
        <f t="shared" si="2"/>
        <v>4.3937732499170566E-2</v>
      </c>
      <c r="I43" s="322">
        <f>+fill_data!B87</f>
        <v>0.27298880219459531</v>
      </c>
      <c r="J43" s="322">
        <f t="shared" si="3"/>
        <v>90.435004733452487</v>
      </c>
      <c r="K43" s="322">
        <f>+fill_data!C87</f>
        <v>2E-3</v>
      </c>
      <c r="L43" s="322">
        <f>+fill_data!F87</f>
        <v>0</v>
      </c>
      <c r="M43" s="322">
        <f>+fill_data!D87</f>
        <v>3.6833333333333336E-2</v>
      </c>
      <c r="N43" s="322">
        <f>++fill_data!E87</f>
        <v>4.2299999999999997E-2</v>
      </c>
      <c r="O43" s="322">
        <f>VLOOKUP($A43,[0]!ความต้องการน้ำ,3)/7</f>
        <v>8.1531212771908325E-4</v>
      </c>
      <c r="P43" s="322">
        <f>VLOOKUP($A43,[0]!ฝนใช้การ,3)/7</f>
        <v>1.2449032258064516E-5</v>
      </c>
      <c r="Q43" s="322">
        <f t="shared" si="10"/>
        <v>60</v>
      </c>
      <c r="R43" s="322">
        <f t="shared" si="11"/>
        <v>1.338105159101698E-3</v>
      </c>
      <c r="S43" s="322">
        <f t="shared" si="12"/>
        <v>8.2471438492435031E-2</v>
      </c>
      <c r="T43" s="322">
        <f t="shared" si="4"/>
        <v>90.352533294960054</v>
      </c>
      <c r="U43" s="354">
        <f t="shared" si="6"/>
        <v>141</v>
      </c>
      <c r="V43" s="354">
        <f t="shared" si="7"/>
        <v>7</v>
      </c>
      <c r="W43" s="347">
        <v>38.124193548387112</v>
      </c>
      <c r="X43" s="347">
        <v>126.76903225806444</v>
      </c>
      <c r="Y43" s="566">
        <v>51.13297</v>
      </c>
    </row>
    <row r="44" spans="1:25" x14ac:dyDescent="0.15">
      <c r="A44" s="201">
        <f t="shared" si="13"/>
        <v>5</v>
      </c>
      <c r="B44" s="260">
        <f t="shared" si="5"/>
        <v>39782</v>
      </c>
      <c r="C44" s="374">
        <f t="shared" si="0"/>
        <v>217.53637217908428</v>
      </c>
      <c r="D44" s="319">
        <f t="shared" si="8"/>
        <v>90.352533294960054</v>
      </c>
      <c r="E44" s="319">
        <f>VLOOKUP(MONTH(B44),[0]!Evap,3)</f>
        <v>4.4333333333333336</v>
      </c>
      <c r="F44" s="322">
        <f t="shared" si="9"/>
        <v>3.4580000000000002</v>
      </c>
      <c r="G44" s="319">
        <f t="shared" si="1"/>
        <v>12.715843282753131</v>
      </c>
      <c r="H44" s="322">
        <f t="shared" si="2"/>
        <v>4.3971386071760328E-2</v>
      </c>
      <c r="I44" s="322">
        <f>+fill_data!B88</f>
        <v>0.27298880219459531</v>
      </c>
      <c r="J44" s="322">
        <f t="shared" si="3"/>
        <v>90.581550711082883</v>
      </c>
      <c r="K44" s="322">
        <f>+fill_data!C88</f>
        <v>2E-3</v>
      </c>
      <c r="L44" s="322">
        <f>+fill_data!F88</f>
        <v>0</v>
      </c>
      <c r="M44" s="322">
        <f>+fill_data!D88</f>
        <v>3.6833333333333336E-2</v>
      </c>
      <c r="N44" s="322">
        <f>++fill_data!E88</f>
        <v>4.2299999999999997E-2</v>
      </c>
      <c r="O44" s="322">
        <f>VLOOKUP($A44,[0]!ความต้องการน้ำ,3)/7</f>
        <v>8.1531212771908325E-4</v>
      </c>
      <c r="P44" s="322">
        <f>VLOOKUP($A44,[0]!ฝนใช้การ,3)/7</f>
        <v>1.2449032258064516E-5</v>
      </c>
      <c r="Q44" s="322">
        <f t="shared" si="10"/>
        <v>60</v>
      </c>
      <c r="R44" s="322">
        <f t="shared" si="11"/>
        <v>1.338105159101698E-3</v>
      </c>
      <c r="S44" s="322">
        <f t="shared" si="12"/>
        <v>8.2471438492435031E-2</v>
      </c>
      <c r="T44" s="322">
        <f t="shared" si="4"/>
        <v>90.49907927259045</v>
      </c>
      <c r="U44" s="354">
        <f t="shared" si="6"/>
        <v>141</v>
      </c>
      <c r="V44" s="354">
        <f t="shared" si="7"/>
        <v>7</v>
      </c>
      <c r="W44" s="347">
        <v>38.096129032258077</v>
      </c>
      <c r="X44" s="347">
        <v>126.53935483870961</v>
      </c>
      <c r="Y44" s="566">
        <v>51.13297</v>
      </c>
    </row>
    <row r="45" spans="1:25" x14ac:dyDescent="0.15">
      <c r="A45" s="201">
        <f t="shared" si="13"/>
        <v>5</v>
      </c>
      <c r="B45" s="260">
        <f t="shared" si="5"/>
        <v>39783</v>
      </c>
      <c r="C45" s="374">
        <f t="shared" si="0"/>
        <v>217.54744406333563</v>
      </c>
      <c r="D45" s="319">
        <f t="shared" si="8"/>
        <v>90.49907927259045</v>
      </c>
      <c r="E45" s="319">
        <f>VLOOKUP(MONTH(B45),[0]!Evap,3)</f>
        <v>4.6419354838709683</v>
      </c>
      <c r="F45" s="322">
        <f t="shared" si="9"/>
        <v>3.6207096774193555</v>
      </c>
      <c r="G45" s="319">
        <f t="shared" si="1"/>
        <v>12.725573139891507</v>
      </c>
      <c r="H45" s="322">
        <f t="shared" si="2"/>
        <v>4.6075605818312992E-2</v>
      </c>
      <c r="I45" s="322">
        <f>+fill_data!B89</f>
        <v>8.7861979126042822E-2</v>
      </c>
      <c r="J45" s="322">
        <f t="shared" si="3"/>
        <v>90.54086564589818</v>
      </c>
      <c r="K45" s="322">
        <f>+fill_data!C89</f>
        <v>1.9354838709677419E-3</v>
      </c>
      <c r="L45" s="322">
        <f>+fill_data!F89</f>
        <v>0</v>
      </c>
      <c r="M45" s="322">
        <f>+fill_data!D89</f>
        <v>3.7258064516129036E-2</v>
      </c>
      <c r="N45" s="322">
        <f>++fill_data!E89</f>
        <v>4.2299999999999997E-2</v>
      </c>
      <c r="O45" s="322">
        <f>VLOOKUP($A45,[0]!ความต้องการน้ำ,3)/7</f>
        <v>8.1531212771908325E-4</v>
      </c>
      <c r="P45" s="322">
        <f>VLOOKUP($A45,[0]!ฝนใช้การ,3)/7</f>
        <v>1.2449032258064516E-5</v>
      </c>
      <c r="Q45" s="322">
        <f t="shared" si="10"/>
        <v>60</v>
      </c>
      <c r="R45" s="322">
        <f t="shared" si="11"/>
        <v>1.338105159101698E-3</v>
      </c>
      <c r="S45" s="322">
        <f t="shared" si="12"/>
        <v>8.2831653546198467E-2</v>
      </c>
      <c r="T45" s="322">
        <f t="shared" si="4"/>
        <v>90.458033992351986</v>
      </c>
      <c r="U45" s="354">
        <f t="shared" si="6"/>
        <v>141</v>
      </c>
      <c r="V45" s="354">
        <f t="shared" si="7"/>
        <v>7</v>
      </c>
      <c r="W45" s="347">
        <v>38.068064516129049</v>
      </c>
      <c r="X45" s="347">
        <v>126.30967741935477</v>
      </c>
      <c r="Y45" s="566">
        <v>51.13297</v>
      </c>
    </row>
    <row r="46" spans="1:25" x14ac:dyDescent="0.15">
      <c r="A46" s="201">
        <f t="shared" si="13"/>
        <v>5</v>
      </c>
      <c r="B46" s="260">
        <f t="shared" si="5"/>
        <v>39784</v>
      </c>
      <c r="C46" s="374">
        <f t="shared" si="0"/>
        <v>217.54434299840563</v>
      </c>
      <c r="D46" s="319">
        <f t="shared" si="8"/>
        <v>90.458033992351986</v>
      </c>
      <c r="E46" s="319">
        <f>VLOOKUP(MONTH(B46),[0]!Evap,3)</f>
        <v>4.6419354838709683</v>
      </c>
      <c r="F46" s="322">
        <f t="shared" si="9"/>
        <v>3.6207096774193555</v>
      </c>
      <c r="G46" s="319">
        <f t="shared" si="1"/>
        <v>12.722847956168403</v>
      </c>
      <c r="H46" s="322">
        <f t="shared" si="2"/>
        <v>4.6065738719234008E-2</v>
      </c>
      <c r="I46" s="322">
        <f>+fill_data!B90</f>
        <v>8.7861979126042822E-2</v>
      </c>
      <c r="J46" s="322">
        <f t="shared" si="3"/>
        <v>90.499830232758796</v>
      </c>
      <c r="K46" s="322">
        <f>+fill_data!C90</f>
        <v>1.9354838709677419E-3</v>
      </c>
      <c r="L46" s="322">
        <f>+fill_data!F90</f>
        <v>0</v>
      </c>
      <c r="M46" s="322">
        <f>+fill_data!D90</f>
        <v>3.7258064516129036E-2</v>
      </c>
      <c r="N46" s="322">
        <f>++fill_data!E90</f>
        <v>4.2299999999999997E-2</v>
      </c>
      <c r="O46" s="322">
        <f>VLOOKUP($A46,[0]!ความต้องการน้ำ,3)/7</f>
        <v>8.1531212771908325E-4</v>
      </c>
      <c r="P46" s="322">
        <f>VLOOKUP($A46,[0]!ฝนใช้การ,3)/7</f>
        <v>1.2449032258064516E-5</v>
      </c>
      <c r="Q46" s="322">
        <f t="shared" si="10"/>
        <v>60</v>
      </c>
      <c r="R46" s="322">
        <f t="shared" si="11"/>
        <v>1.338105159101698E-3</v>
      </c>
      <c r="S46" s="322">
        <f t="shared" si="12"/>
        <v>8.2831653546198467E-2</v>
      </c>
      <c r="T46" s="322">
        <f t="shared" si="4"/>
        <v>90.416998579212603</v>
      </c>
      <c r="U46" s="354">
        <f t="shared" si="6"/>
        <v>141</v>
      </c>
      <c r="V46" s="354">
        <f t="shared" si="7"/>
        <v>7</v>
      </c>
      <c r="W46" s="347">
        <v>38.04</v>
      </c>
      <c r="X46" s="347">
        <v>126.08</v>
      </c>
      <c r="Y46" s="566">
        <v>51.13297</v>
      </c>
    </row>
    <row r="47" spans="1:25" x14ac:dyDescent="0.15">
      <c r="A47" s="201">
        <f t="shared" si="13"/>
        <v>5</v>
      </c>
      <c r="B47" s="260">
        <f t="shared" si="5"/>
        <v>39785</v>
      </c>
      <c r="C47" s="374">
        <f t="shared" si="0"/>
        <v>217.54124267895753</v>
      </c>
      <c r="D47" s="319">
        <f t="shared" si="8"/>
        <v>90.416998579212603</v>
      </c>
      <c r="E47" s="319">
        <f>VLOOKUP(MONTH(B47),[0]!Evap,3)</f>
        <v>4.6419354838709683</v>
      </c>
      <c r="F47" s="322">
        <f t="shared" si="9"/>
        <v>3.6207096774193555</v>
      </c>
      <c r="G47" s="319">
        <f t="shared" si="1"/>
        <v>12.720123427567096</v>
      </c>
      <c r="H47" s="322">
        <f t="shared" si="2"/>
        <v>4.6055873992160844E-2</v>
      </c>
      <c r="I47" s="322">
        <f>+fill_data!B91</f>
        <v>8.7861979126042822E-2</v>
      </c>
      <c r="J47" s="322">
        <f t="shared" si="3"/>
        <v>90.458804684346489</v>
      </c>
      <c r="K47" s="322">
        <f>+fill_data!C91</f>
        <v>1.9354838709677419E-3</v>
      </c>
      <c r="L47" s="322">
        <f>+fill_data!F91</f>
        <v>0</v>
      </c>
      <c r="M47" s="322">
        <f>+fill_data!D91</f>
        <v>3.7258064516129036E-2</v>
      </c>
      <c r="N47" s="322">
        <f>++fill_data!E91</f>
        <v>4.2299999999999997E-2</v>
      </c>
      <c r="O47" s="322">
        <f>VLOOKUP($A47,[0]!ความต้องการน้ำ,3)/7</f>
        <v>8.1531212771908325E-4</v>
      </c>
      <c r="P47" s="322">
        <f>VLOOKUP($A47,[0]!ฝนใช้การ,3)/7</f>
        <v>1.2449032258064516E-5</v>
      </c>
      <c r="Q47" s="322">
        <f t="shared" si="10"/>
        <v>60</v>
      </c>
      <c r="R47" s="322">
        <f t="shared" si="11"/>
        <v>1.338105159101698E-3</v>
      </c>
      <c r="S47" s="322">
        <f t="shared" si="12"/>
        <v>8.2831653546198467E-2</v>
      </c>
      <c r="T47" s="322">
        <f t="shared" si="4"/>
        <v>90.375973030800296</v>
      </c>
      <c r="U47" s="354">
        <f t="shared" si="6"/>
        <v>141</v>
      </c>
      <c r="V47" s="354">
        <f t="shared" si="7"/>
        <v>7</v>
      </c>
      <c r="W47" s="347">
        <v>37.86035714285714</v>
      </c>
      <c r="X47" s="347">
        <v>125.92678571428571</v>
      </c>
      <c r="Y47" s="566">
        <v>51.13297</v>
      </c>
    </row>
    <row r="48" spans="1:25" x14ac:dyDescent="0.15">
      <c r="A48" s="201">
        <f t="shared" si="13"/>
        <v>5</v>
      </c>
      <c r="B48" s="260">
        <f t="shared" si="5"/>
        <v>39786</v>
      </c>
      <c r="C48" s="374">
        <f t="shared" si="0"/>
        <v>217.53814310481218</v>
      </c>
      <c r="D48" s="319">
        <f t="shared" si="8"/>
        <v>90.375973030800296</v>
      </c>
      <c r="E48" s="319">
        <f>VLOOKUP(MONTH(B48),[0]!Evap,3)</f>
        <v>4.6419354838709683</v>
      </c>
      <c r="F48" s="322">
        <f t="shared" si="9"/>
        <v>3.6207096774193555</v>
      </c>
      <c r="G48" s="319">
        <f t="shared" si="1"/>
        <v>12.717399553930099</v>
      </c>
      <c r="H48" s="322">
        <f t="shared" si="2"/>
        <v>4.6046011636523304E-2</v>
      </c>
      <c r="I48" s="322">
        <f>+fill_data!B92</f>
        <v>8.7861979126042822E-2</v>
      </c>
      <c r="J48" s="322">
        <f t="shared" si="3"/>
        <v>90.417788998289822</v>
      </c>
      <c r="K48" s="322">
        <f>+fill_data!C92</f>
        <v>1.9354838709677419E-3</v>
      </c>
      <c r="L48" s="322">
        <f>+fill_data!F92</f>
        <v>0</v>
      </c>
      <c r="M48" s="322">
        <f>+fill_data!D92</f>
        <v>3.7258064516129036E-2</v>
      </c>
      <c r="N48" s="322">
        <f>++fill_data!E92</f>
        <v>4.2299999999999997E-2</v>
      </c>
      <c r="O48" s="322">
        <f>VLOOKUP($A48,[0]!ความต้องการน้ำ,3)/7</f>
        <v>8.1531212771908325E-4</v>
      </c>
      <c r="P48" s="322">
        <f>VLOOKUP($A48,[0]!ฝนใช้การ,3)/7</f>
        <v>1.2449032258064516E-5</v>
      </c>
      <c r="Q48" s="322">
        <f t="shared" si="10"/>
        <v>60</v>
      </c>
      <c r="R48" s="322">
        <f t="shared" si="11"/>
        <v>1.338105159101698E-3</v>
      </c>
      <c r="S48" s="322">
        <f t="shared" si="12"/>
        <v>8.2831653546198467E-2</v>
      </c>
      <c r="T48" s="322">
        <f t="shared" si="4"/>
        <v>90.334957344743628</v>
      </c>
      <c r="U48" s="354">
        <f t="shared" si="6"/>
        <v>141</v>
      </c>
      <c r="V48" s="354">
        <f t="shared" si="7"/>
        <v>7</v>
      </c>
      <c r="W48" s="347">
        <v>37.680714285714281</v>
      </c>
      <c r="X48" s="347">
        <v>125.77357142857143</v>
      </c>
      <c r="Y48" s="566">
        <v>51.030700000000003</v>
      </c>
    </row>
    <row r="49" spans="1:25" x14ac:dyDescent="0.15">
      <c r="A49" s="201">
        <f t="shared" si="13"/>
        <v>5</v>
      </c>
      <c r="B49" s="260">
        <f t="shared" si="5"/>
        <v>39787</v>
      </c>
      <c r="C49" s="374">
        <f t="shared" si="0"/>
        <v>217.53504427579037</v>
      </c>
      <c r="D49" s="319">
        <f t="shared" si="8"/>
        <v>90.334957344743628</v>
      </c>
      <c r="E49" s="319">
        <f>VLOOKUP(MONTH(B49),[0]!Evap,3)</f>
        <v>4.6419354838709683</v>
      </c>
      <c r="F49" s="322">
        <f t="shared" si="9"/>
        <v>3.6207096774193555</v>
      </c>
      <c r="G49" s="319">
        <f t="shared" si="1"/>
        <v>12.714676335099961</v>
      </c>
      <c r="H49" s="322">
        <f t="shared" si="2"/>
        <v>4.6036151651751296E-2</v>
      </c>
      <c r="I49" s="322">
        <f>+fill_data!B93</f>
        <v>8.7861979126042822E-2</v>
      </c>
      <c r="J49" s="322">
        <f t="shared" si="3"/>
        <v>90.376783172217927</v>
      </c>
      <c r="K49" s="322">
        <f>+fill_data!C93</f>
        <v>1.9354838709677419E-3</v>
      </c>
      <c r="L49" s="322">
        <f>+fill_data!F93</f>
        <v>0</v>
      </c>
      <c r="M49" s="322">
        <f>+fill_data!D93</f>
        <v>3.7258064516129036E-2</v>
      </c>
      <c r="N49" s="322">
        <f>++fill_data!E93</f>
        <v>4.2299999999999997E-2</v>
      </c>
      <c r="O49" s="322">
        <f>VLOOKUP($A49,[0]!ความต้องการน้ำ,3)/7</f>
        <v>8.1531212771908325E-4</v>
      </c>
      <c r="P49" s="322">
        <f>VLOOKUP($A49,[0]!ฝนใช้การ,3)/7</f>
        <v>1.2449032258064516E-5</v>
      </c>
      <c r="Q49" s="322">
        <f t="shared" si="10"/>
        <v>60</v>
      </c>
      <c r="R49" s="322">
        <f t="shared" si="11"/>
        <v>1.338105159101698E-3</v>
      </c>
      <c r="S49" s="322">
        <f t="shared" si="12"/>
        <v>8.2831653546198467E-2</v>
      </c>
      <c r="T49" s="322">
        <f t="shared" si="4"/>
        <v>90.293951518671733</v>
      </c>
      <c r="U49" s="354">
        <f t="shared" si="6"/>
        <v>141</v>
      </c>
      <c r="V49" s="354">
        <f t="shared" si="7"/>
        <v>7</v>
      </c>
      <c r="W49" s="347">
        <v>37.501071428571429</v>
      </c>
      <c r="X49" s="347">
        <v>125.62035714285715</v>
      </c>
      <c r="Y49" s="566">
        <v>51.030700000000003</v>
      </c>
    </row>
    <row r="50" spans="1:25" x14ac:dyDescent="0.15">
      <c r="A50" s="201">
        <v>6</v>
      </c>
      <c r="B50" s="260">
        <f t="shared" si="5"/>
        <v>39788</v>
      </c>
      <c r="C50" s="374">
        <f t="shared" si="0"/>
        <v>217.53194619171302</v>
      </c>
      <c r="D50" s="319">
        <f t="shared" si="8"/>
        <v>90.293951518671733</v>
      </c>
      <c r="E50" s="319">
        <f>VLOOKUP(MONTH(B50),[0]!Evap,3)</f>
        <v>4.6419354838709683</v>
      </c>
      <c r="F50" s="322">
        <f t="shared" si="9"/>
        <v>3.6207096774193555</v>
      </c>
      <c r="G50" s="319">
        <f t="shared" si="1"/>
        <v>12.711953770919273</v>
      </c>
      <c r="H50" s="322">
        <f t="shared" si="2"/>
        <v>4.602629403727488E-2</v>
      </c>
      <c r="I50" s="322">
        <f>+fill_data!B94</f>
        <v>8.7861979126042822E-2</v>
      </c>
      <c r="J50" s="322">
        <f t="shared" si="3"/>
        <v>90.335787203760503</v>
      </c>
      <c r="K50" s="322">
        <f>+fill_data!C94</f>
        <v>1.9354838709677419E-3</v>
      </c>
      <c r="L50" s="322">
        <f>+fill_data!F94</f>
        <v>0</v>
      </c>
      <c r="M50" s="322">
        <f>+fill_data!D94</f>
        <v>3.7258064516129036E-2</v>
      </c>
      <c r="N50" s="322">
        <f>++fill_data!E94</f>
        <v>4.2299999999999997E-2</v>
      </c>
      <c r="O50" s="322">
        <f>VLOOKUP($A50,[0]!ความต้องการน้ำ,3)/7</f>
        <v>8.0755063353212604E-4</v>
      </c>
      <c r="P50" s="322">
        <f>VLOOKUP($A50,[0]!ฝนใช้การ,3)/7</f>
        <v>1.2449032258064516E-5</v>
      </c>
      <c r="Q50" s="322">
        <f t="shared" si="10"/>
        <v>60</v>
      </c>
      <c r="R50" s="322">
        <f t="shared" si="11"/>
        <v>1.3251693354567693E-3</v>
      </c>
      <c r="S50" s="322">
        <f t="shared" si="12"/>
        <v>8.2818717722553545E-2</v>
      </c>
      <c r="T50" s="322">
        <f t="shared" si="4"/>
        <v>90.252968486037943</v>
      </c>
      <c r="U50" s="354">
        <f t="shared" si="6"/>
        <v>141</v>
      </c>
      <c r="V50" s="354">
        <f t="shared" si="7"/>
        <v>7</v>
      </c>
      <c r="W50" s="347">
        <v>37.321428571428569</v>
      </c>
      <c r="X50" s="347">
        <v>125.46714285714286</v>
      </c>
      <c r="Y50" s="566">
        <v>51.030700000000003</v>
      </c>
    </row>
    <row r="51" spans="1:25" x14ac:dyDescent="0.15">
      <c r="A51" s="201">
        <f t="shared" si="13"/>
        <v>6</v>
      </c>
      <c r="B51" s="260">
        <f t="shared" si="5"/>
        <v>39789</v>
      </c>
      <c r="C51" s="374">
        <f t="shared" si="0"/>
        <v>217.52884982973211</v>
      </c>
      <c r="D51" s="319">
        <f t="shared" si="8"/>
        <v>90.252968486037943</v>
      </c>
      <c r="E51" s="319">
        <f>VLOOKUP(MONTH(B51),[0]!Evap,3)</f>
        <v>4.6419354838709683</v>
      </c>
      <c r="F51" s="322">
        <f t="shared" si="9"/>
        <v>3.6207096774193555</v>
      </c>
      <c r="G51" s="319">
        <f t="shared" si="1"/>
        <v>12.709232720099099</v>
      </c>
      <c r="H51" s="322">
        <f t="shared" si="2"/>
        <v>4.6016441902237526E-2</v>
      </c>
      <c r="I51" s="322">
        <f>+fill_data!B95</f>
        <v>8.7861979126042822E-2</v>
      </c>
      <c r="J51" s="322">
        <f t="shared" si="3"/>
        <v>90.29481402326175</v>
      </c>
      <c r="K51" s="322">
        <f>+fill_data!C95</f>
        <v>1.9354838709677419E-3</v>
      </c>
      <c r="L51" s="322">
        <f>+fill_data!F95</f>
        <v>0</v>
      </c>
      <c r="M51" s="322">
        <f>+fill_data!D95</f>
        <v>3.7258064516129036E-2</v>
      </c>
      <c r="N51" s="322">
        <f>++fill_data!E95</f>
        <v>4.2299999999999997E-2</v>
      </c>
      <c r="O51" s="322">
        <f>VLOOKUP($A51,[0]!ความต้องการน้ำ,3)/7</f>
        <v>8.0755063353212604E-4</v>
      </c>
      <c r="P51" s="322">
        <f>VLOOKUP($A51,[0]!ฝนใช้การ,3)/7</f>
        <v>1.2449032258064516E-5</v>
      </c>
      <c r="Q51" s="322">
        <f t="shared" si="10"/>
        <v>60</v>
      </c>
      <c r="R51" s="322">
        <f t="shared" si="11"/>
        <v>1.3251693354567693E-3</v>
      </c>
      <c r="S51" s="322">
        <f t="shared" si="12"/>
        <v>8.2818717722553545E-2</v>
      </c>
      <c r="T51" s="322">
        <f t="shared" si="4"/>
        <v>90.21199530553919</v>
      </c>
      <c r="U51" s="354">
        <f t="shared" si="6"/>
        <v>141</v>
      </c>
      <c r="V51" s="354">
        <f t="shared" si="7"/>
        <v>7</v>
      </c>
      <c r="W51" s="347">
        <v>37.14178571428571</v>
      </c>
      <c r="X51" s="347">
        <v>125.31392857142858</v>
      </c>
      <c r="Y51" s="566">
        <v>51.030700000000003</v>
      </c>
    </row>
    <row r="52" spans="1:25" x14ac:dyDescent="0.15">
      <c r="A52" s="201">
        <f t="shared" si="13"/>
        <v>6</v>
      </c>
      <c r="B52" s="260">
        <f t="shared" si="5"/>
        <v>39790</v>
      </c>
      <c r="C52" s="374">
        <f t="shared" si="0"/>
        <v>217.52575421210256</v>
      </c>
      <c r="D52" s="319">
        <f t="shared" si="8"/>
        <v>90.21199530553919</v>
      </c>
      <c r="E52" s="319">
        <f>VLOOKUP(MONTH(B52),[0]!Evap,3)</f>
        <v>4.6419354838709683</v>
      </c>
      <c r="F52" s="322">
        <f t="shared" si="9"/>
        <v>3.6207096774193555</v>
      </c>
      <c r="G52" s="319">
        <f t="shared" si="1"/>
        <v>12.706512323407193</v>
      </c>
      <c r="H52" s="322">
        <f t="shared" si="2"/>
        <v>4.6006592135608725E-2</v>
      </c>
      <c r="I52" s="322">
        <f>+fill_data!B96</f>
        <v>8.7861979126042822E-2</v>
      </c>
      <c r="J52" s="322">
        <f t="shared" si="3"/>
        <v>90.253850692529625</v>
      </c>
      <c r="K52" s="322">
        <f>+fill_data!C96</f>
        <v>1.9354838709677419E-3</v>
      </c>
      <c r="L52" s="322">
        <f>+fill_data!F96</f>
        <v>0</v>
      </c>
      <c r="M52" s="322">
        <f>+fill_data!D96</f>
        <v>3.7258064516129036E-2</v>
      </c>
      <c r="N52" s="322">
        <f>++fill_data!E96</f>
        <v>4.2299999999999997E-2</v>
      </c>
      <c r="O52" s="322">
        <f>VLOOKUP($A52,[0]!ความต้องการน้ำ,3)/7</f>
        <v>8.0755063353212604E-4</v>
      </c>
      <c r="P52" s="322">
        <f>VLOOKUP($A52,[0]!ฝนใช้การ,3)/7</f>
        <v>1.2449032258064516E-5</v>
      </c>
      <c r="Q52" s="322">
        <f t="shared" si="10"/>
        <v>60</v>
      </c>
      <c r="R52" s="322">
        <f t="shared" si="11"/>
        <v>1.3251693354567693E-3</v>
      </c>
      <c r="S52" s="322">
        <f t="shared" si="12"/>
        <v>8.2818717722553545E-2</v>
      </c>
      <c r="T52" s="322">
        <f t="shared" si="4"/>
        <v>90.171031974807065</v>
      </c>
      <c r="U52" s="354">
        <f t="shared" si="6"/>
        <v>141</v>
      </c>
      <c r="V52" s="354">
        <f t="shared" si="7"/>
        <v>7</v>
      </c>
      <c r="W52" s="347">
        <v>36.962142857142851</v>
      </c>
      <c r="X52" s="347">
        <v>125.16071428571429</v>
      </c>
      <c r="Y52" s="566">
        <v>51.030700000000003</v>
      </c>
    </row>
    <row r="53" spans="1:25" x14ac:dyDescent="0.15">
      <c r="A53" s="201">
        <f t="shared" si="13"/>
        <v>6</v>
      </c>
      <c r="B53" s="260">
        <f t="shared" si="5"/>
        <v>39791</v>
      </c>
      <c r="C53" s="374">
        <f t="shared" si="0"/>
        <v>217.52265933864544</v>
      </c>
      <c r="D53" s="319">
        <f t="shared" si="8"/>
        <v>90.171031974807065</v>
      </c>
      <c r="E53" s="319">
        <f>VLOOKUP(MONTH(B53),[0]!Evap,3)</f>
        <v>4.6419354838709683</v>
      </c>
      <c r="F53" s="322">
        <f t="shared" si="9"/>
        <v>3.6207096774193555</v>
      </c>
      <c r="G53" s="319">
        <f t="shared" si="1"/>
        <v>12.703792580686304</v>
      </c>
      <c r="H53" s="322">
        <f t="shared" si="2"/>
        <v>4.5996744736819112E-2</v>
      </c>
      <c r="I53" s="322">
        <f>+fill_data!B97</f>
        <v>8.7861979126042822E-2</v>
      </c>
      <c r="J53" s="322">
        <f t="shared" si="3"/>
        <v>90.212897209196285</v>
      </c>
      <c r="K53" s="322">
        <f>+fill_data!C97</f>
        <v>1.9354838709677419E-3</v>
      </c>
      <c r="L53" s="322">
        <f>+fill_data!F97</f>
        <v>0</v>
      </c>
      <c r="M53" s="322">
        <f>+fill_data!D97</f>
        <v>3.7258064516129036E-2</v>
      </c>
      <c r="N53" s="322">
        <f>++fill_data!E97</f>
        <v>4.2299999999999997E-2</v>
      </c>
      <c r="O53" s="322">
        <f>VLOOKUP($A53,[0]!ความต้องการน้ำ,3)/7</f>
        <v>8.0755063353212604E-4</v>
      </c>
      <c r="P53" s="322">
        <f>VLOOKUP($A53,[0]!ฝนใช้การ,3)/7</f>
        <v>1.2449032258064516E-5</v>
      </c>
      <c r="Q53" s="322">
        <f t="shared" si="10"/>
        <v>60</v>
      </c>
      <c r="R53" s="322">
        <f t="shared" si="11"/>
        <v>1.3251693354567693E-3</v>
      </c>
      <c r="S53" s="322">
        <f t="shared" si="12"/>
        <v>8.2818717722553545E-2</v>
      </c>
      <c r="T53" s="322">
        <f t="shared" si="4"/>
        <v>90.130078491473725</v>
      </c>
      <c r="U53" s="354">
        <f t="shared" si="6"/>
        <v>141</v>
      </c>
      <c r="V53" s="354">
        <f t="shared" si="7"/>
        <v>7</v>
      </c>
      <c r="W53" s="347">
        <v>36.782499999999992</v>
      </c>
      <c r="X53" s="347">
        <v>125.00750000000002</v>
      </c>
      <c r="Y53" s="566">
        <v>50.928429999999999</v>
      </c>
    </row>
    <row r="54" spans="1:25" x14ac:dyDescent="0.15">
      <c r="A54" s="201">
        <f t="shared" si="13"/>
        <v>6</v>
      </c>
      <c r="B54" s="260">
        <f t="shared" si="5"/>
        <v>39792</v>
      </c>
      <c r="C54" s="374">
        <f t="shared" si="0"/>
        <v>217.51956520918185</v>
      </c>
      <c r="D54" s="319">
        <f t="shared" si="8"/>
        <v>90.130078491473725</v>
      </c>
      <c r="E54" s="319">
        <f>VLOOKUP(MONTH(B54),[0]!Evap,3)</f>
        <v>4.6419354838709683</v>
      </c>
      <c r="F54" s="322">
        <f t="shared" si="9"/>
        <v>3.6207096774193555</v>
      </c>
      <c r="G54" s="319">
        <f t="shared" si="1"/>
        <v>12.701073491779223</v>
      </c>
      <c r="H54" s="322">
        <f t="shared" si="2"/>
        <v>4.5986899705299476E-2</v>
      </c>
      <c r="I54" s="322">
        <f>+fill_data!B98</f>
        <v>8.7861979126042822E-2</v>
      </c>
      <c r="J54" s="322">
        <f t="shared" si="3"/>
        <v>90.171953570894473</v>
      </c>
      <c r="K54" s="322">
        <f>+fill_data!C98</f>
        <v>1.9354838709677419E-3</v>
      </c>
      <c r="L54" s="322">
        <f>+fill_data!F98</f>
        <v>0</v>
      </c>
      <c r="M54" s="322">
        <f>+fill_data!D98</f>
        <v>3.7258064516129036E-2</v>
      </c>
      <c r="N54" s="322">
        <f>++fill_data!E98</f>
        <v>4.2299999999999997E-2</v>
      </c>
      <c r="O54" s="322">
        <f>VLOOKUP($A54,[0]!ความต้องการน้ำ,3)/7</f>
        <v>8.0755063353212604E-4</v>
      </c>
      <c r="P54" s="322">
        <f>VLOOKUP($A54,[0]!ฝนใช้การ,3)/7</f>
        <v>1.2449032258064516E-5</v>
      </c>
      <c r="Q54" s="322">
        <f t="shared" si="10"/>
        <v>60</v>
      </c>
      <c r="R54" s="322">
        <f t="shared" si="11"/>
        <v>1.3251693354567693E-3</v>
      </c>
      <c r="S54" s="322">
        <f t="shared" si="12"/>
        <v>8.2818717722553545E-2</v>
      </c>
      <c r="T54" s="322">
        <f t="shared" si="4"/>
        <v>90.089134853171913</v>
      </c>
      <c r="U54" s="354">
        <f t="shared" si="6"/>
        <v>141</v>
      </c>
      <c r="V54" s="354">
        <f t="shared" si="7"/>
        <v>7</v>
      </c>
      <c r="W54" s="347">
        <v>36.602857142857133</v>
      </c>
      <c r="X54" s="347">
        <v>124.85428571428574</v>
      </c>
      <c r="Y54" s="566">
        <v>50.928429999999999</v>
      </c>
    </row>
    <row r="55" spans="1:25" x14ac:dyDescent="0.15">
      <c r="A55" s="201">
        <f t="shared" si="13"/>
        <v>6</v>
      </c>
      <c r="B55" s="260">
        <f t="shared" si="5"/>
        <v>39793</v>
      </c>
      <c r="C55" s="374">
        <f t="shared" si="0"/>
        <v>217.51647182353295</v>
      </c>
      <c r="D55" s="319">
        <f t="shared" si="8"/>
        <v>90.089134853171913</v>
      </c>
      <c r="E55" s="319">
        <f>VLOOKUP(MONTH(B55),[0]!Evap,3)</f>
        <v>4.6419354838709683</v>
      </c>
      <c r="F55" s="322">
        <f t="shared" si="9"/>
        <v>3.6207096774193555</v>
      </c>
      <c r="G55" s="319">
        <f t="shared" si="1"/>
        <v>12.698355056528774</v>
      </c>
      <c r="H55" s="322">
        <f t="shared" si="2"/>
        <v>4.5977057040480739E-2</v>
      </c>
      <c r="I55" s="322">
        <f>+fill_data!B99</f>
        <v>8.7861979126042822E-2</v>
      </c>
      <c r="J55" s="322">
        <f t="shared" si="3"/>
        <v>90.131019775257485</v>
      </c>
      <c r="K55" s="322">
        <f>+fill_data!C99</f>
        <v>1.9354838709677419E-3</v>
      </c>
      <c r="L55" s="322">
        <f>+fill_data!F99</f>
        <v>0</v>
      </c>
      <c r="M55" s="322">
        <f>+fill_data!D99</f>
        <v>3.7258064516129036E-2</v>
      </c>
      <c r="N55" s="322">
        <f>++fill_data!E99</f>
        <v>4.2299999999999997E-2</v>
      </c>
      <c r="O55" s="322">
        <f>VLOOKUP($A55,[0]!ความต้องการน้ำ,3)/7</f>
        <v>8.0755063353212604E-4</v>
      </c>
      <c r="P55" s="322">
        <f>VLOOKUP($A55,[0]!ฝนใช้การ,3)/7</f>
        <v>1.2449032258064516E-5</v>
      </c>
      <c r="Q55" s="322">
        <f t="shared" si="10"/>
        <v>60</v>
      </c>
      <c r="R55" s="322">
        <f t="shared" si="11"/>
        <v>1.3251693354567693E-3</v>
      </c>
      <c r="S55" s="322">
        <f t="shared" si="12"/>
        <v>8.2818717722553545E-2</v>
      </c>
      <c r="T55" s="322">
        <f t="shared" si="4"/>
        <v>90.048201057534925</v>
      </c>
      <c r="U55" s="354">
        <f t="shared" si="6"/>
        <v>141</v>
      </c>
      <c r="V55" s="354">
        <f t="shared" si="7"/>
        <v>7</v>
      </c>
      <c r="W55" s="347">
        <v>36.423214285714273</v>
      </c>
      <c r="X55" s="347">
        <v>124.70107142857145</v>
      </c>
      <c r="Y55" s="566">
        <v>50.928429999999999</v>
      </c>
    </row>
    <row r="56" spans="1:25" x14ac:dyDescent="0.15">
      <c r="A56" s="201">
        <f t="shared" si="13"/>
        <v>6</v>
      </c>
      <c r="B56" s="260">
        <f t="shared" si="5"/>
        <v>39794</v>
      </c>
      <c r="C56" s="374">
        <f t="shared" si="0"/>
        <v>217.51337918151992</v>
      </c>
      <c r="D56" s="319">
        <f t="shared" si="8"/>
        <v>90.048201057534925</v>
      </c>
      <c r="E56" s="319">
        <f>VLOOKUP(MONTH(B56),[0]!Evap,3)</f>
        <v>4.6419354838709683</v>
      </c>
      <c r="F56" s="322">
        <f t="shared" si="9"/>
        <v>3.6207096774193555</v>
      </c>
      <c r="G56" s="319">
        <f t="shared" si="1"/>
        <v>12.695637274777821</v>
      </c>
      <c r="H56" s="322">
        <f t="shared" si="2"/>
        <v>4.5967216741793951E-2</v>
      </c>
      <c r="I56" s="322">
        <f>+fill_data!B100</f>
        <v>8.7861979126042822E-2</v>
      </c>
      <c r="J56" s="322">
        <f t="shared" si="3"/>
        <v>90.090095819919171</v>
      </c>
      <c r="K56" s="322">
        <f>+fill_data!C100</f>
        <v>1.9354838709677419E-3</v>
      </c>
      <c r="L56" s="322">
        <f>+fill_data!F100</f>
        <v>0</v>
      </c>
      <c r="M56" s="322">
        <f>+fill_data!D100</f>
        <v>3.7258064516129036E-2</v>
      </c>
      <c r="N56" s="322">
        <f>++fill_data!E100</f>
        <v>4.2299999999999997E-2</v>
      </c>
      <c r="O56" s="322">
        <f>VLOOKUP($A56,[0]!ความต้องการน้ำ,3)/7</f>
        <v>8.0755063353212604E-4</v>
      </c>
      <c r="P56" s="322">
        <f>VLOOKUP($A56,[0]!ฝนใช้การ,3)/7</f>
        <v>1.2449032258064516E-5</v>
      </c>
      <c r="Q56" s="322">
        <f t="shared" si="10"/>
        <v>60</v>
      </c>
      <c r="R56" s="322">
        <f t="shared" si="11"/>
        <v>1.3251693354567693E-3</v>
      </c>
      <c r="S56" s="322">
        <f t="shared" si="12"/>
        <v>8.2818717722553545E-2</v>
      </c>
      <c r="T56" s="322">
        <f t="shared" si="4"/>
        <v>90.00727710219661</v>
      </c>
      <c r="U56" s="354">
        <f t="shared" si="6"/>
        <v>141</v>
      </c>
      <c r="V56" s="354">
        <f t="shared" si="7"/>
        <v>7</v>
      </c>
      <c r="W56" s="347">
        <v>36.243571428571421</v>
      </c>
      <c r="X56" s="347">
        <v>124.54785714285717</v>
      </c>
      <c r="Y56" s="566">
        <v>50.826160000000002</v>
      </c>
    </row>
    <row r="57" spans="1:25" x14ac:dyDescent="0.15">
      <c r="A57" s="201">
        <v>7</v>
      </c>
      <c r="B57" s="260">
        <f t="shared" si="5"/>
        <v>39795</v>
      </c>
      <c r="C57" s="374">
        <f t="shared" si="0"/>
        <v>217.51028728296399</v>
      </c>
      <c r="D57" s="319">
        <f t="shared" si="8"/>
        <v>90.00727710219661</v>
      </c>
      <c r="E57" s="319">
        <f>VLOOKUP(MONTH(B57),[0]!Evap,3)</f>
        <v>4.6419354838709683</v>
      </c>
      <c r="F57" s="322">
        <f t="shared" si="9"/>
        <v>3.6207096774193555</v>
      </c>
      <c r="G57" s="319">
        <f t="shared" si="1"/>
        <v>12.692920146369264</v>
      </c>
      <c r="H57" s="322">
        <f t="shared" si="2"/>
        <v>4.5957378808670298E-2</v>
      </c>
      <c r="I57" s="322">
        <f>+fill_data!B101</f>
        <v>8.7861979126042822E-2</v>
      </c>
      <c r="J57" s="322">
        <f t="shared" si="3"/>
        <v>90.049181702513991</v>
      </c>
      <c r="K57" s="322">
        <f>+fill_data!C101</f>
        <v>1.9354838709677419E-3</v>
      </c>
      <c r="L57" s="322">
        <f>+fill_data!F101</f>
        <v>0</v>
      </c>
      <c r="M57" s="322">
        <f>+fill_data!D101</f>
        <v>3.7258064516129036E-2</v>
      </c>
      <c r="N57" s="322">
        <f>++fill_data!E101</f>
        <v>4.2299999999999997E-2</v>
      </c>
      <c r="O57" s="322">
        <f>VLOOKUP($A57,[0]!ความต้องการน้ำ,3)/7</f>
        <v>7.1130810561385752E-4</v>
      </c>
      <c r="P57" s="322">
        <f>VLOOKUP($A57,[0]!ฝนใช้การ,3)/7</f>
        <v>1.2449032258064516E-5</v>
      </c>
      <c r="Q57" s="322">
        <f t="shared" si="10"/>
        <v>60</v>
      </c>
      <c r="R57" s="322">
        <f t="shared" si="11"/>
        <v>1.1647651222596552E-3</v>
      </c>
      <c r="S57" s="322">
        <f t="shared" si="12"/>
        <v>8.2658313509356429E-2</v>
      </c>
      <c r="T57" s="322">
        <f t="shared" si="4"/>
        <v>89.966523389004635</v>
      </c>
      <c r="U57" s="354">
        <f t="shared" si="6"/>
        <v>141</v>
      </c>
      <c r="V57" s="354">
        <f t="shared" si="7"/>
        <v>7</v>
      </c>
      <c r="W57" s="347">
        <v>36.063928571428562</v>
      </c>
      <c r="X57" s="347">
        <v>124.39464285714288</v>
      </c>
      <c r="Y57" s="566">
        <v>50.826160000000002</v>
      </c>
    </row>
    <row r="58" spans="1:25" x14ac:dyDescent="0.15">
      <c r="A58" s="201">
        <f t="shared" si="13"/>
        <v>7</v>
      </c>
      <c r="B58" s="260">
        <f t="shared" si="5"/>
        <v>39796</v>
      </c>
      <c r="C58" s="374">
        <f t="shared" si="0"/>
        <v>217.50720824659211</v>
      </c>
      <c r="D58" s="319">
        <f t="shared" si="8"/>
        <v>89.966523389004635</v>
      </c>
      <c r="E58" s="319">
        <f>VLOOKUP(MONTH(B58),[0]!Evap,3)</f>
        <v>4.6419354838709683</v>
      </c>
      <c r="F58" s="322">
        <f t="shared" si="9"/>
        <v>3.6207096774193555</v>
      </c>
      <c r="G58" s="319">
        <f t="shared" si="1"/>
        <v>12.690214321114775</v>
      </c>
      <c r="H58" s="322">
        <f t="shared" si="2"/>
        <v>4.5947581800985966E-2</v>
      </c>
      <c r="I58" s="322">
        <f>+fill_data!B102</f>
        <v>8.7861979126042822E-2</v>
      </c>
      <c r="J58" s="322">
        <f t="shared" si="3"/>
        <v>90.008437786329694</v>
      </c>
      <c r="K58" s="322">
        <f>+fill_data!C102</f>
        <v>1.9354838709677419E-3</v>
      </c>
      <c r="L58" s="322">
        <f>+fill_data!F102</f>
        <v>0</v>
      </c>
      <c r="M58" s="322">
        <f>+fill_data!D102</f>
        <v>3.7258064516129036E-2</v>
      </c>
      <c r="N58" s="322">
        <f>++fill_data!E102</f>
        <v>4.2299999999999997E-2</v>
      </c>
      <c r="O58" s="322">
        <f>VLOOKUP($A58,[0]!ความต้องการน้ำ,3)/7</f>
        <v>7.1130810561385752E-4</v>
      </c>
      <c r="P58" s="322">
        <f>VLOOKUP($A58,[0]!ฝนใช้การ,3)/7</f>
        <v>1.2449032258064516E-5</v>
      </c>
      <c r="Q58" s="322">
        <f t="shared" si="10"/>
        <v>60</v>
      </c>
      <c r="R58" s="322">
        <f t="shared" si="11"/>
        <v>1.1647651222596552E-3</v>
      </c>
      <c r="S58" s="322">
        <f t="shared" si="12"/>
        <v>8.2658313509356429E-2</v>
      </c>
      <c r="T58" s="322">
        <f t="shared" si="4"/>
        <v>89.925779472820338</v>
      </c>
      <c r="U58" s="354">
        <f t="shared" si="6"/>
        <v>141</v>
      </c>
      <c r="V58" s="354">
        <f t="shared" si="7"/>
        <v>7</v>
      </c>
      <c r="W58" s="347">
        <v>35.884285714285703</v>
      </c>
      <c r="X58" s="347">
        <v>124.2414285714286</v>
      </c>
      <c r="Y58" s="566">
        <v>50.826160000000002</v>
      </c>
    </row>
    <row r="59" spans="1:25" x14ac:dyDescent="0.15">
      <c r="A59" s="201">
        <f t="shared" si="13"/>
        <v>7</v>
      </c>
      <c r="B59" s="260">
        <f t="shared" si="5"/>
        <v>39797</v>
      </c>
      <c r="C59" s="374">
        <f t="shared" si="0"/>
        <v>217.50412995040662</v>
      </c>
      <c r="D59" s="319">
        <f t="shared" si="8"/>
        <v>89.925779472820338</v>
      </c>
      <c r="E59" s="319">
        <f>VLOOKUP(MONTH(B59),[0]!Evap,3)</f>
        <v>4.6419354838709683</v>
      </c>
      <c r="F59" s="322">
        <f t="shared" si="9"/>
        <v>3.6207096774193555</v>
      </c>
      <c r="G59" s="319">
        <f t="shared" si="1"/>
        <v>12.687509146328393</v>
      </c>
      <c r="H59" s="322">
        <f t="shared" si="2"/>
        <v>4.5937787148457802E-2</v>
      </c>
      <c r="I59" s="322">
        <f>+fill_data!B103</f>
        <v>8.7861979126042822E-2</v>
      </c>
      <c r="J59" s="322">
        <f t="shared" si="3"/>
        <v>89.967703664797924</v>
      </c>
      <c r="K59" s="322">
        <f>+fill_data!C103</f>
        <v>1.9354838709677419E-3</v>
      </c>
      <c r="L59" s="322">
        <f>+fill_data!F103</f>
        <v>0</v>
      </c>
      <c r="M59" s="322">
        <f>+fill_data!D103</f>
        <v>3.7258064516129036E-2</v>
      </c>
      <c r="N59" s="322">
        <f>++fill_data!E103</f>
        <v>4.2299999999999997E-2</v>
      </c>
      <c r="O59" s="322">
        <f>VLOOKUP($A59,[0]!ความต้องการน้ำ,3)/7</f>
        <v>7.1130810561385752E-4</v>
      </c>
      <c r="P59" s="322">
        <f>VLOOKUP($A59,[0]!ฝนใช้การ,3)/7</f>
        <v>1.2449032258064516E-5</v>
      </c>
      <c r="Q59" s="322">
        <f t="shared" si="10"/>
        <v>60</v>
      </c>
      <c r="R59" s="322">
        <f t="shared" si="11"/>
        <v>1.1647651222596552E-3</v>
      </c>
      <c r="S59" s="322">
        <f t="shared" si="12"/>
        <v>8.2658313509356429E-2</v>
      </c>
      <c r="T59" s="322">
        <f t="shared" si="4"/>
        <v>89.885045351288568</v>
      </c>
      <c r="U59" s="354">
        <f t="shared" si="6"/>
        <v>141</v>
      </c>
      <c r="V59" s="354">
        <f t="shared" si="7"/>
        <v>7</v>
      </c>
      <c r="W59" s="347">
        <v>35.704642857142844</v>
      </c>
      <c r="X59" s="347">
        <v>124.08821428571432</v>
      </c>
      <c r="Y59" s="566">
        <v>50.723889999999997</v>
      </c>
    </row>
    <row r="60" spans="1:25" x14ac:dyDescent="0.15">
      <c r="A60" s="201">
        <f t="shared" si="13"/>
        <v>7</v>
      </c>
      <c r="B60" s="260">
        <f t="shared" si="5"/>
        <v>39798</v>
      </c>
      <c r="C60" s="374">
        <f t="shared" si="0"/>
        <v>217.50105239422956</v>
      </c>
      <c r="D60" s="319">
        <f t="shared" si="8"/>
        <v>89.885045351288568</v>
      </c>
      <c r="E60" s="319">
        <f>VLOOKUP(MONTH(B60),[0]!Evap,3)</f>
        <v>4.6419354838709683</v>
      </c>
      <c r="F60" s="322">
        <f t="shared" si="9"/>
        <v>3.6207096774193555</v>
      </c>
      <c r="G60" s="319">
        <f t="shared" si="1"/>
        <v>12.684804621853754</v>
      </c>
      <c r="H60" s="322">
        <f t="shared" si="2"/>
        <v>4.5927994850519654E-2</v>
      </c>
      <c r="I60" s="322">
        <f>+fill_data!B104</f>
        <v>8.7861979126042822E-2</v>
      </c>
      <c r="J60" s="322">
        <f t="shared" si="3"/>
        <v>89.926979335564099</v>
      </c>
      <c r="K60" s="322">
        <f>+fill_data!C104</f>
        <v>1.9354838709677419E-3</v>
      </c>
      <c r="L60" s="322">
        <f>+fill_data!F104</f>
        <v>0</v>
      </c>
      <c r="M60" s="322">
        <f>+fill_data!D104</f>
        <v>3.7258064516129036E-2</v>
      </c>
      <c r="N60" s="322">
        <f>++fill_data!E104</f>
        <v>4.2299999999999997E-2</v>
      </c>
      <c r="O60" s="322">
        <f>VLOOKUP($A60,[0]!ความต้องการน้ำ,3)/7</f>
        <v>7.1130810561385752E-4</v>
      </c>
      <c r="P60" s="322">
        <f>VLOOKUP($A60,[0]!ฝนใช้การ,3)/7</f>
        <v>1.2449032258064516E-5</v>
      </c>
      <c r="Q60" s="322">
        <f t="shared" si="10"/>
        <v>60</v>
      </c>
      <c r="R60" s="322">
        <f t="shared" si="11"/>
        <v>1.1647651222596552E-3</v>
      </c>
      <c r="S60" s="322">
        <f t="shared" si="12"/>
        <v>8.2658313509356429E-2</v>
      </c>
      <c r="T60" s="322">
        <f t="shared" si="4"/>
        <v>89.844321022054743</v>
      </c>
      <c r="U60" s="354">
        <f t="shared" si="6"/>
        <v>141</v>
      </c>
      <c r="V60" s="354">
        <f t="shared" si="7"/>
        <v>7</v>
      </c>
      <c r="W60" s="347">
        <v>35.524999999999984</v>
      </c>
      <c r="X60" s="347">
        <v>123.93500000000003</v>
      </c>
      <c r="Y60" s="566">
        <v>50.723889999999997</v>
      </c>
    </row>
    <row r="61" spans="1:25" x14ac:dyDescent="0.15">
      <c r="A61" s="201">
        <f t="shared" si="13"/>
        <v>7</v>
      </c>
      <c r="B61" s="260">
        <f t="shared" si="5"/>
        <v>39799</v>
      </c>
      <c r="C61" s="374">
        <f t="shared" si="0"/>
        <v>217.49790278092973</v>
      </c>
      <c r="D61" s="319">
        <f t="shared" si="8"/>
        <v>89.844321022054743</v>
      </c>
      <c r="E61" s="319">
        <f>VLOOKUP(MONTH(B61),[0]!Evap,3)</f>
        <v>4.6419354838709683</v>
      </c>
      <c r="F61" s="322">
        <f t="shared" si="9"/>
        <v>3.6207096774193555</v>
      </c>
      <c r="G61" s="319">
        <f t="shared" si="1"/>
        <v>12.682032428365009</v>
      </c>
      <c r="H61" s="322">
        <f t="shared" si="2"/>
        <v>4.5917957542727275E-2</v>
      </c>
      <c r="I61" s="322">
        <f>+fill_data!B105</f>
        <v>8.7861979126042822E-2</v>
      </c>
      <c r="J61" s="322">
        <f t="shared" si="3"/>
        <v>89.886265043638062</v>
      </c>
      <c r="K61" s="322">
        <f>+fill_data!C105</f>
        <v>1.9354838709677419E-3</v>
      </c>
      <c r="L61" s="322">
        <f>+fill_data!F105</f>
        <v>0</v>
      </c>
      <c r="M61" s="322">
        <f>+fill_data!D105</f>
        <v>3.7258064516129036E-2</v>
      </c>
      <c r="N61" s="322">
        <f>++fill_data!E105</f>
        <v>4.2299999999999997E-2</v>
      </c>
      <c r="O61" s="322">
        <f>VLOOKUP($A61,[0]!ความต้องการน้ำ,3)/7</f>
        <v>7.1130810561385752E-4</v>
      </c>
      <c r="P61" s="322">
        <f>VLOOKUP($A61,[0]!ฝนใช้การ,3)/7</f>
        <v>1.2449032258064516E-5</v>
      </c>
      <c r="Q61" s="322">
        <f t="shared" si="10"/>
        <v>60</v>
      </c>
      <c r="R61" s="322">
        <f t="shared" si="11"/>
        <v>1.1647651222596552E-3</v>
      </c>
      <c r="S61" s="322">
        <f t="shared" si="12"/>
        <v>8.2658313509356429E-2</v>
      </c>
      <c r="T61" s="322">
        <f t="shared" si="4"/>
        <v>89.803606730128706</v>
      </c>
      <c r="U61" s="354">
        <f t="shared" si="6"/>
        <v>141</v>
      </c>
      <c r="V61" s="354">
        <f t="shared" si="7"/>
        <v>7</v>
      </c>
      <c r="W61" s="347">
        <v>35.345357142857125</v>
      </c>
      <c r="X61" s="347">
        <v>123.78178571428575</v>
      </c>
      <c r="Y61" s="566">
        <v>50.723889999999997</v>
      </c>
    </row>
    <row r="62" spans="1:25" x14ac:dyDescent="0.15">
      <c r="A62" s="201">
        <f t="shared" si="13"/>
        <v>7</v>
      </c>
      <c r="B62" s="260">
        <f t="shared" si="5"/>
        <v>39800</v>
      </c>
      <c r="C62" s="374">
        <f t="shared" si="0"/>
        <v>217.49471610980262</v>
      </c>
      <c r="D62" s="319">
        <f t="shared" si="8"/>
        <v>89.803606730128706</v>
      </c>
      <c r="E62" s="319">
        <f>VLOOKUP(MONTH(B62),[0]!Evap,3)</f>
        <v>4.6419354838709683</v>
      </c>
      <c r="F62" s="322">
        <f t="shared" si="9"/>
        <v>3.6207096774193555</v>
      </c>
      <c r="G62" s="319">
        <f t="shared" si="1"/>
        <v>12.679225411225117</v>
      </c>
      <c r="H62" s="322">
        <f t="shared" si="2"/>
        <v>4.5907794148604186E-2</v>
      </c>
      <c r="I62" s="322">
        <f>+fill_data!B106</f>
        <v>8.7861979126042822E-2</v>
      </c>
      <c r="J62" s="322">
        <f t="shared" si="3"/>
        <v>89.845560915106148</v>
      </c>
      <c r="K62" s="322">
        <f>+fill_data!C106</f>
        <v>1.9354838709677419E-3</v>
      </c>
      <c r="L62" s="322">
        <f>+fill_data!F106</f>
        <v>0</v>
      </c>
      <c r="M62" s="322">
        <f>+fill_data!D106</f>
        <v>3.7258064516129036E-2</v>
      </c>
      <c r="N62" s="322">
        <f>++fill_data!E106</f>
        <v>4.2299999999999997E-2</v>
      </c>
      <c r="O62" s="322">
        <f>VLOOKUP($A62,[0]!ความต้องการน้ำ,3)/7</f>
        <v>7.1130810561385752E-4</v>
      </c>
      <c r="P62" s="322">
        <f>VLOOKUP($A62,[0]!ฝนใช้การ,3)/7</f>
        <v>1.2449032258064516E-5</v>
      </c>
      <c r="Q62" s="322">
        <f t="shared" si="10"/>
        <v>60</v>
      </c>
      <c r="R62" s="322">
        <f t="shared" si="11"/>
        <v>1.1647651222596552E-3</v>
      </c>
      <c r="S62" s="322">
        <f t="shared" si="12"/>
        <v>8.2658313509356429E-2</v>
      </c>
      <c r="T62" s="322">
        <f t="shared" si="4"/>
        <v>89.762902601596792</v>
      </c>
      <c r="U62" s="354">
        <f t="shared" si="6"/>
        <v>141</v>
      </c>
      <c r="V62" s="354">
        <f t="shared" si="7"/>
        <v>7</v>
      </c>
      <c r="W62" s="347">
        <v>35.165714285714266</v>
      </c>
      <c r="X62" s="347">
        <v>123.62857142857146</v>
      </c>
      <c r="Y62" s="566">
        <v>50.62162</v>
      </c>
    </row>
    <row r="63" spans="1:25" x14ac:dyDescent="0.15">
      <c r="A63" s="201">
        <f t="shared" si="13"/>
        <v>7</v>
      </c>
      <c r="B63" s="260">
        <f t="shared" si="5"/>
        <v>39801</v>
      </c>
      <c r="C63" s="374">
        <f t="shared" si="0"/>
        <v>217.49153023415528</v>
      </c>
      <c r="D63" s="319">
        <f t="shared" si="8"/>
        <v>89.762902601596792</v>
      </c>
      <c r="E63" s="319">
        <f>VLOOKUP(MONTH(B63),[0]!Evap,3)</f>
        <v>4.6419354838709683</v>
      </c>
      <c r="F63" s="322">
        <f t="shared" si="9"/>
        <v>3.6207096774193555</v>
      </c>
      <c r="G63" s="319">
        <f t="shared" si="1"/>
        <v>12.676419094793014</v>
      </c>
      <c r="H63" s="322">
        <f t="shared" si="2"/>
        <v>4.589763329154057E-2</v>
      </c>
      <c r="I63" s="322">
        <f>+fill_data!B107</f>
        <v>8.7861979126042822E-2</v>
      </c>
      <c r="J63" s="322">
        <f t="shared" si="3"/>
        <v>89.804866947431293</v>
      </c>
      <c r="K63" s="322">
        <f>+fill_data!C107</f>
        <v>1.9354838709677419E-3</v>
      </c>
      <c r="L63" s="322">
        <f>+fill_data!F107</f>
        <v>0</v>
      </c>
      <c r="M63" s="322">
        <f>+fill_data!D107</f>
        <v>3.7258064516129036E-2</v>
      </c>
      <c r="N63" s="322">
        <f>++fill_data!E107</f>
        <v>4.2299999999999997E-2</v>
      </c>
      <c r="O63" s="322">
        <f>VLOOKUP($A63,[0]!ความต้องการน้ำ,3)/7</f>
        <v>7.1130810561385752E-4</v>
      </c>
      <c r="P63" s="322">
        <f>VLOOKUP($A63,[0]!ฝนใช้การ,3)/7</f>
        <v>1.2449032258064516E-5</v>
      </c>
      <c r="Q63" s="322">
        <f t="shared" si="10"/>
        <v>60</v>
      </c>
      <c r="R63" s="322">
        <f t="shared" si="11"/>
        <v>1.1647651222596552E-3</v>
      </c>
      <c r="S63" s="322">
        <f t="shared" si="12"/>
        <v>8.2658313509356429E-2</v>
      </c>
      <c r="T63" s="322">
        <f t="shared" si="4"/>
        <v>89.722208633921937</v>
      </c>
      <c r="U63" s="354">
        <f t="shared" si="6"/>
        <v>141</v>
      </c>
      <c r="V63" s="354">
        <f t="shared" si="7"/>
        <v>7</v>
      </c>
      <c r="W63" s="347">
        <v>34.986071428571414</v>
      </c>
      <c r="X63" s="347">
        <v>123.47535714285718</v>
      </c>
      <c r="Y63" s="566">
        <v>50.62162</v>
      </c>
    </row>
    <row r="64" spans="1:25" x14ac:dyDescent="0.15">
      <c r="A64" s="201">
        <v>8</v>
      </c>
      <c r="B64" s="260">
        <f t="shared" si="5"/>
        <v>39802</v>
      </c>
      <c r="C64" s="374">
        <f t="shared" si="0"/>
        <v>217.48834515378908</v>
      </c>
      <c r="D64" s="319">
        <f t="shared" si="8"/>
        <v>89.722208633921937</v>
      </c>
      <c r="E64" s="319">
        <f>VLOOKUP(MONTH(B64),[0]!Evap,3)</f>
        <v>4.6419354838709683</v>
      </c>
      <c r="F64" s="322">
        <f t="shared" si="9"/>
        <v>3.6207096774193555</v>
      </c>
      <c r="G64" s="319">
        <f t="shared" si="1"/>
        <v>12.673613478893783</v>
      </c>
      <c r="H64" s="322">
        <f t="shared" si="2"/>
        <v>4.5887474970903105E-2</v>
      </c>
      <c r="I64" s="322">
        <f>+fill_data!B108</f>
        <v>8.7861979126042822E-2</v>
      </c>
      <c r="J64" s="322">
        <f t="shared" si="3"/>
        <v>89.764183138077087</v>
      </c>
      <c r="K64" s="322">
        <f>+fill_data!C108</f>
        <v>1.9354838709677419E-3</v>
      </c>
      <c r="L64" s="322">
        <f>+fill_data!F108</f>
        <v>0</v>
      </c>
      <c r="M64" s="322">
        <f>+fill_data!D108</f>
        <v>3.7258064516129036E-2</v>
      </c>
      <c r="N64" s="322">
        <f>++fill_data!E108</f>
        <v>4.2299999999999997E-2</v>
      </c>
      <c r="O64" s="322">
        <f>VLOOKUP($A64,[0]!ความต้องการน้ำ,3)/7</f>
        <v>7.1130810561385752E-4</v>
      </c>
      <c r="P64" s="322">
        <f>VLOOKUP($A64,[0]!ฝนใช้การ,3)/7</f>
        <v>1.2449032258064516E-5</v>
      </c>
      <c r="Q64" s="322">
        <f t="shared" si="10"/>
        <v>60</v>
      </c>
      <c r="R64" s="322">
        <f t="shared" si="11"/>
        <v>1.1647651222596552E-3</v>
      </c>
      <c r="S64" s="322">
        <f t="shared" si="12"/>
        <v>8.2658313509356429E-2</v>
      </c>
      <c r="T64" s="322">
        <f t="shared" si="4"/>
        <v>89.681524824567731</v>
      </c>
      <c r="U64" s="354">
        <f t="shared" si="6"/>
        <v>141</v>
      </c>
      <c r="V64" s="354">
        <f t="shared" si="7"/>
        <v>7</v>
      </c>
      <c r="W64" s="347">
        <v>34.806428571428555</v>
      </c>
      <c r="X64" s="347">
        <v>123.32214285714289</v>
      </c>
      <c r="Y64" s="566">
        <v>50.62162</v>
      </c>
    </row>
    <row r="65" spans="1:25" x14ac:dyDescent="0.15">
      <c r="A65" s="201">
        <f t="shared" si="13"/>
        <v>8</v>
      </c>
      <c r="B65" s="260">
        <f t="shared" si="5"/>
        <v>39803</v>
      </c>
      <c r="C65" s="374">
        <f t="shared" si="0"/>
        <v>217.48516086850555</v>
      </c>
      <c r="D65" s="319">
        <f t="shared" si="8"/>
        <v>89.681524824567731</v>
      </c>
      <c r="E65" s="319">
        <f>VLOOKUP(MONTH(B65),[0]!Evap,3)</f>
        <v>4.6419354838709683</v>
      </c>
      <c r="F65" s="322">
        <f t="shared" si="9"/>
        <v>3.6207096774193555</v>
      </c>
      <c r="G65" s="319">
        <f t="shared" si="1"/>
        <v>12.670808563352557</v>
      </c>
      <c r="H65" s="322">
        <f t="shared" si="2"/>
        <v>4.587731918605864E-2</v>
      </c>
      <c r="I65" s="322">
        <f>+fill_data!B109</f>
        <v>8.7861979126042822E-2</v>
      </c>
      <c r="J65" s="322">
        <f t="shared" si="3"/>
        <v>89.723509484507716</v>
      </c>
      <c r="K65" s="322">
        <f>+fill_data!C109</f>
        <v>1.9354838709677419E-3</v>
      </c>
      <c r="L65" s="322">
        <f>+fill_data!F109</f>
        <v>0</v>
      </c>
      <c r="M65" s="322">
        <f>+fill_data!D109</f>
        <v>3.7258064516129036E-2</v>
      </c>
      <c r="N65" s="322">
        <f>++fill_data!E109</f>
        <v>4.2299999999999997E-2</v>
      </c>
      <c r="O65" s="322">
        <f>VLOOKUP($A65,[0]!ความต้องการน้ำ,3)/7</f>
        <v>7.1130810561385752E-4</v>
      </c>
      <c r="P65" s="322">
        <f>VLOOKUP($A65,[0]!ฝนใช้การ,3)/7</f>
        <v>1.2449032258064516E-5</v>
      </c>
      <c r="Q65" s="322">
        <f t="shared" si="10"/>
        <v>60</v>
      </c>
      <c r="R65" s="322">
        <f t="shared" si="11"/>
        <v>1.1647651222596552E-3</v>
      </c>
      <c r="S65" s="322">
        <f t="shared" si="12"/>
        <v>8.2658313509356429E-2</v>
      </c>
      <c r="T65" s="322">
        <f t="shared" si="4"/>
        <v>89.64085117099836</v>
      </c>
      <c r="U65" s="354">
        <f t="shared" si="6"/>
        <v>141</v>
      </c>
      <c r="V65" s="354">
        <f t="shared" si="7"/>
        <v>7</v>
      </c>
      <c r="W65" s="347">
        <v>34.626785714285695</v>
      </c>
      <c r="X65" s="347">
        <v>123.16892857142861</v>
      </c>
      <c r="Y65" s="566">
        <v>50.519350000000003</v>
      </c>
    </row>
    <row r="66" spans="1:25" x14ac:dyDescent="0.15">
      <c r="A66" s="201">
        <f t="shared" si="13"/>
        <v>8</v>
      </c>
      <c r="B66" s="260">
        <f t="shared" si="5"/>
        <v>39804</v>
      </c>
      <c r="C66" s="374">
        <f t="shared" si="0"/>
        <v>217.48197737810619</v>
      </c>
      <c r="D66" s="319">
        <f t="shared" si="8"/>
        <v>89.64085117099836</v>
      </c>
      <c r="E66" s="319">
        <f>VLOOKUP(MONTH(B66),[0]!Evap,3)</f>
        <v>4.6419354838709683</v>
      </c>
      <c r="F66" s="322">
        <f t="shared" si="9"/>
        <v>3.6207096774193555</v>
      </c>
      <c r="G66" s="319">
        <f t="shared" si="1"/>
        <v>12.668004347994502</v>
      </c>
      <c r="H66" s="322">
        <f t="shared" si="2"/>
        <v>4.5867165936374167E-2</v>
      </c>
      <c r="I66" s="322">
        <f>+fill_data!B110</f>
        <v>8.7861979126042822E-2</v>
      </c>
      <c r="J66" s="322">
        <f t="shared" si="3"/>
        <v>89.682845984188035</v>
      </c>
      <c r="K66" s="322">
        <f>+fill_data!C110</f>
        <v>1.9354838709677419E-3</v>
      </c>
      <c r="L66" s="322">
        <f>+fill_data!F110</f>
        <v>0</v>
      </c>
      <c r="M66" s="322">
        <f>+fill_data!D110</f>
        <v>3.7258064516129036E-2</v>
      </c>
      <c r="N66" s="322">
        <f>++fill_data!E110</f>
        <v>4.2299999999999997E-2</v>
      </c>
      <c r="O66" s="322">
        <f>VLOOKUP($A66,[0]!ความต้องการน้ำ,3)/7</f>
        <v>7.1130810561385752E-4</v>
      </c>
      <c r="P66" s="322">
        <f>VLOOKUP($A66,[0]!ฝนใช้การ,3)/7</f>
        <v>1.2449032258064516E-5</v>
      </c>
      <c r="Q66" s="322">
        <f t="shared" si="10"/>
        <v>60</v>
      </c>
      <c r="R66" s="322">
        <f t="shared" si="11"/>
        <v>1.1647651222596552E-3</v>
      </c>
      <c r="S66" s="322">
        <f t="shared" si="12"/>
        <v>8.2658313509356429E-2</v>
      </c>
      <c r="T66" s="322">
        <f t="shared" si="4"/>
        <v>89.600187670678679</v>
      </c>
      <c r="U66" s="354">
        <f t="shared" si="6"/>
        <v>141</v>
      </c>
      <c r="V66" s="354">
        <f t="shared" si="7"/>
        <v>7</v>
      </c>
      <c r="W66" s="347">
        <v>34.447142857142836</v>
      </c>
      <c r="X66" s="347">
        <v>123.01571428571432</v>
      </c>
      <c r="Y66" s="566">
        <v>50.519350000000003</v>
      </c>
    </row>
    <row r="67" spans="1:25" x14ac:dyDescent="0.15">
      <c r="A67" s="201">
        <f t="shared" si="13"/>
        <v>8</v>
      </c>
      <c r="B67" s="260">
        <f t="shared" si="5"/>
        <v>39805</v>
      </c>
      <c r="C67" s="374">
        <f t="shared" si="0"/>
        <v>217.47879468239259</v>
      </c>
      <c r="D67" s="319">
        <f t="shared" si="8"/>
        <v>89.600187670678679</v>
      </c>
      <c r="E67" s="319">
        <f>VLOOKUP(MONTH(B67),[0]!Evap,3)</f>
        <v>4.6419354838709683</v>
      </c>
      <c r="F67" s="322">
        <f t="shared" si="9"/>
        <v>3.6207096774193555</v>
      </c>
      <c r="G67" s="319">
        <f t="shared" si="1"/>
        <v>12.665200832644837</v>
      </c>
      <c r="H67" s="322">
        <f t="shared" si="2"/>
        <v>4.5857015221216844E-2</v>
      </c>
      <c r="I67" s="322">
        <f>+fill_data!B111</f>
        <v>8.7861979126042822E-2</v>
      </c>
      <c r="J67" s="322">
        <f t="shared" si="3"/>
        <v>89.642192634583509</v>
      </c>
      <c r="K67" s="322">
        <f>+fill_data!C111</f>
        <v>1.9354838709677419E-3</v>
      </c>
      <c r="L67" s="322">
        <f>+fill_data!F111</f>
        <v>0</v>
      </c>
      <c r="M67" s="322">
        <f>+fill_data!D111</f>
        <v>3.7258064516129036E-2</v>
      </c>
      <c r="N67" s="322">
        <f>++fill_data!E111</f>
        <v>4.2299999999999997E-2</v>
      </c>
      <c r="O67" s="322">
        <f>VLOOKUP($A67,[0]!ความต้องการน้ำ,3)/7</f>
        <v>7.1130810561385752E-4</v>
      </c>
      <c r="P67" s="322">
        <f>VLOOKUP($A67,[0]!ฝนใช้การ,3)/7</f>
        <v>1.2449032258064516E-5</v>
      </c>
      <c r="Q67" s="322">
        <f t="shared" si="10"/>
        <v>60</v>
      </c>
      <c r="R67" s="322">
        <f t="shared" si="11"/>
        <v>1.1647651222596552E-3</v>
      </c>
      <c r="S67" s="322">
        <f t="shared" si="12"/>
        <v>8.2658313509356429E-2</v>
      </c>
      <c r="T67" s="322">
        <f t="shared" si="4"/>
        <v>89.559534321074153</v>
      </c>
      <c r="U67" s="354">
        <f t="shared" si="6"/>
        <v>141</v>
      </c>
      <c r="V67" s="354">
        <f t="shared" si="7"/>
        <v>7</v>
      </c>
      <c r="W67" s="347">
        <v>34.267499999999977</v>
      </c>
      <c r="X67" s="347">
        <v>122.86250000000004</v>
      </c>
      <c r="Y67" s="566">
        <v>50.519350000000003</v>
      </c>
    </row>
    <row r="68" spans="1:25" x14ac:dyDescent="0.15">
      <c r="A68" s="201">
        <f t="shared" si="13"/>
        <v>8</v>
      </c>
      <c r="B68" s="260">
        <f t="shared" si="5"/>
        <v>39806</v>
      </c>
      <c r="C68" s="374">
        <f t="shared" si="0"/>
        <v>217.47561278116635</v>
      </c>
      <c r="D68" s="319">
        <f t="shared" si="8"/>
        <v>89.559534321074153</v>
      </c>
      <c r="E68" s="319">
        <f>VLOOKUP(MONTH(B68),[0]!Evap,3)</f>
        <v>4.6419354838709683</v>
      </c>
      <c r="F68" s="322">
        <f t="shared" si="9"/>
        <v>3.6207096774193555</v>
      </c>
      <c r="G68" s="319">
        <f t="shared" si="1"/>
        <v>12.662398017128819</v>
      </c>
      <c r="H68" s="322">
        <f t="shared" si="2"/>
        <v>4.584686703995397E-2</v>
      </c>
      <c r="I68" s="322">
        <f>+fill_data!B112</f>
        <v>8.7861979126042822E-2</v>
      </c>
      <c r="J68" s="322">
        <f t="shared" si="3"/>
        <v>89.601549433160244</v>
      </c>
      <c r="K68" s="322">
        <f>+fill_data!C112</f>
        <v>1.9354838709677419E-3</v>
      </c>
      <c r="L68" s="322">
        <f>+fill_data!F112</f>
        <v>0</v>
      </c>
      <c r="M68" s="322">
        <f>+fill_data!D112</f>
        <v>3.7258064516129036E-2</v>
      </c>
      <c r="N68" s="322">
        <f>++fill_data!E112</f>
        <v>4.2299999999999997E-2</v>
      </c>
      <c r="O68" s="322">
        <f>VLOOKUP($A68,[0]!ความต้องการน้ำ,3)/7</f>
        <v>7.1130810561385752E-4</v>
      </c>
      <c r="P68" s="322">
        <f>VLOOKUP($A68,[0]!ฝนใช้การ,3)/7</f>
        <v>1.2449032258064516E-5</v>
      </c>
      <c r="Q68" s="322">
        <f t="shared" si="10"/>
        <v>60</v>
      </c>
      <c r="R68" s="322">
        <f t="shared" si="11"/>
        <v>1.1647651222596552E-3</v>
      </c>
      <c r="S68" s="322">
        <f t="shared" si="12"/>
        <v>8.2658313509356429E-2</v>
      </c>
      <c r="T68" s="322">
        <f t="shared" si="4"/>
        <v>89.518891119650888</v>
      </c>
      <c r="U68" s="354">
        <f t="shared" si="6"/>
        <v>141</v>
      </c>
      <c r="V68" s="354">
        <f t="shared" si="7"/>
        <v>7</v>
      </c>
      <c r="W68" s="347">
        <v>34.087857142857118</v>
      </c>
      <c r="X68" s="347">
        <v>122.70928571428576</v>
      </c>
      <c r="Y68" s="566">
        <v>50.417079999999999</v>
      </c>
    </row>
    <row r="69" spans="1:25" x14ac:dyDescent="0.15">
      <c r="A69" s="201">
        <f t="shared" si="13"/>
        <v>8</v>
      </c>
      <c r="B69" s="260">
        <f t="shared" si="5"/>
        <v>39807</v>
      </c>
      <c r="C69" s="374">
        <f t="shared" si="0"/>
        <v>217.47243167422917</v>
      </c>
      <c r="D69" s="319">
        <f t="shared" si="8"/>
        <v>89.518891119650888</v>
      </c>
      <c r="E69" s="319">
        <f>VLOOKUP(MONTH(B69),[0]!Evap,3)</f>
        <v>4.6419354838709683</v>
      </c>
      <c r="F69" s="322">
        <f t="shared" si="9"/>
        <v>3.6207096774193555</v>
      </c>
      <c r="G69" s="319">
        <f t="shared" si="1"/>
        <v>12.659595901271752</v>
      </c>
      <c r="H69" s="322">
        <f t="shared" si="2"/>
        <v>4.5836721391953043E-2</v>
      </c>
      <c r="I69" s="322">
        <f>+fill_data!B113</f>
        <v>8.7861979126042822E-2</v>
      </c>
      <c r="J69" s="322">
        <f t="shared" si="3"/>
        <v>89.560916377384984</v>
      </c>
      <c r="K69" s="322">
        <f>+fill_data!C113</f>
        <v>1.9354838709677419E-3</v>
      </c>
      <c r="L69" s="322">
        <f>+fill_data!F113</f>
        <v>0</v>
      </c>
      <c r="M69" s="322">
        <f>+fill_data!D113</f>
        <v>3.7258064516129036E-2</v>
      </c>
      <c r="N69" s="322">
        <f>++fill_data!E113</f>
        <v>4.2299999999999997E-2</v>
      </c>
      <c r="O69" s="322">
        <f>VLOOKUP($A69,[0]!ความต้องการน้ำ,3)/7</f>
        <v>7.1130810561385752E-4</v>
      </c>
      <c r="P69" s="322">
        <f>VLOOKUP($A69,[0]!ฝนใช้การ,3)/7</f>
        <v>1.2449032258064516E-5</v>
      </c>
      <c r="Q69" s="322">
        <f t="shared" si="10"/>
        <v>60</v>
      </c>
      <c r="R69" s="322">
        <f t="shared" si="11"/>
        <v>1.1647651222596552E-3</v>
      </c>
      <c r="S69" s="322">
        <f t="shared" si="12"/>
        <v>8.2658313509356429E-2</v>
      </c>
      <c r="T69" s="322">
        <f t="shared" si="4"/>
        <v>89.478258063875629</v>
      </c>
      <c r="U69" s="354">
        <f t="shared" si="6"/>
        <v>141</v>
      </c>
      <c r="V69" s="354">
        <f t="shared" si="7"/>
        <v>7</v>
      </c>
      <c r="W69" s="347">
        <v>33.908214285714259</v>
      </c>
      <c r="X69" s="347">
        <v>122.55607142857147</v>
      </c>
      <c r="Y69" s="566">
        <v>50.417079999999999</v>
      </c>
    </row>
    <row r="70" spans="1:25" x14ac:dyDescent="0.15">
      <c r="A70" s="201">
        <f t="shared" si="13"/>
        <v>8</v>
      </c>
      <c r="B70" s="260">
        <f t="shared" si="5"/>
        <v>39808</v>
      </c>
      <c r="C70" s="374">
        <f t="shared" si="0"/>
        <v>217.46925136138273</v>
      </c>
      <c r="D70" s="319">
        <f t="shared" si="8"/>
        <v>89.478258063875629</v>
      </c>
      <c r="E70" s="319">
        <f>VLOOKUP(MONTH(B70),[0]!Evap,3)</f>
        <v>4.6419354838709683</v>
      </c>
      <c r="F70" s="322">
        <f t="shared" si="9"/>
        <v>3.6207096774193555</v>
      </c>
      <c r="G70" s="319">
        <f t="shared" si="1"/>
        <v>12.656794484898981</v>
      </c>
      <c r="H70" s="322">
        <f t="shared" si="2"/>
        <v>4.5826578276581667E-2</v>
      </c>
      <c r="I70" s="322">
        <f>+fill_data!B114</f>
        <v>8.7861979126042822E-2</v>
      </c>
      <c r="J70" s="322">
        <f t="shared" si="3"/>
        <v>89.5202934647251</v>
      </c>
      <c r="K70" s="322">
        <f>+fill_data!C114</f>
        <v>1.9354838709677419E-3</v>
      </c>
      <c r="L70" s="322">
        <f>+fill_data!F114</f>
        <v>0</v>
      </c>
      <c r="M70" s="322">
        <f>+fill_data!D114</f>
        <v>3.7258064516129036E-2</v>
      </c>
      <c r="N70" s="322">
        <f>++fill_data!E114</f>
        <v>4.2299999999999997E-2</v>
      </c>
      <c r="O70" s="322">
        <f>VLOOKUP($A70,[0]!ความต้องการน้ำ,3)/7</f>
        <v>7.1130810561385752E-4</v>
      </c>
      <c r="P70" s="322">
        <f>VLOOKUP($A70,[0]!ฝนใช้การ,3)/7</f>
        <v>1.2449032258064516E-5</v>
      </c>
      <c r="Q70" s="322">
        <f t="shared" si="10"/>
        <v>60</v>
      </c>
      <c r="R70" s="322">
        <f t="shared" si="11"/>
        <v>1.1647651222596552E-3</v>
      </c>
      <c r="S70" s="322">
        <f t="shared" si="12"/>
        <v>8.2658313509356429E-2</v>
      </c>
      <c r="T70" s="322">
        <f t="shared" si="4"/>
        <v>89.437635151215744</v>
      </c>
      <c r="U70" s="354">
        <f t="shared" si="6"/>
        <v>141</v>
      </c>
      <c r="V70" s="354">
        <f t="shared" si="7"/>
        <v>7</v>
      </c>
      <c r="W70" s="347">
        <v>33.728571428571406</v>
      </c>
      <c r="X70" s="347">
        <v>122.4028571428572</v>
      </c>
      <c r="Y70" s="566">
        <v>50.11027</v>
      </c>
    </row>
    <row r="71" spans="1:25" x14ac:dyDescent="0.15">
      <c r="A71" s="201">
        <v>9</v>
      </c>
      <c r="B71" s="260">
        <f t="shared" si="5"/>
        <v>39809</v>
      </c>
      <c r="C71" s="374">
        <f t="shared" si="0"/>
        <v>217.46607184242887</v>
      </c>
      <c r="D71" s="319">
        <f t="shared" si="8"/>
        <v>89.437635151215744</v>
      </c>
      <c r="E71" s="319">
        <f>VLOOKUP(MONTH(B71),[0]!Evap,3)</f>
        <v>4.6419354838709683</v>
      </c>
      <c r="F71" s="322">
        <f t="shared" si="9"/>
        <v>3.6207096774193555</v>
      </c>
      <c r="G71" s="319">
        <f t="shared" si="1"/>
        <v>12.653993767835896</v>
      </c>
      <c r="H71" s="322">
        <f t="shared" si="2"/>
        <v>4.5816437693207646E-2</v>
      </c>
      <c r="I71" s="322">
        <f>+fill_data!B115</f>
        <v>8.7861979126042822E-2</v>
      </c>
      <c r="J71" s="322">
        <f t="shared" si="3"/>
        <v>89.479680692648586</v>
      </c>
      <c r="K71" s="322">
        <f>+fill_data!C115</f>
        <v>1.9354838709677419E-3</v>
      </c>
      <c r="L71" s="322">
        <f>+fill_data!F115</f>
        <v>0</v>
      </c>
      <c r="M71" s="322">
        <f>+fill_data!D115</f>
        <v>3.7258064516129036E-2</v>
      </c>
      <c r="N71" s="322">
        <f>++fill_data!E115</f>
        <v>4.2299999999999997E-2</v>
      </c>
      <c r="O71" s="322">
        <f>VLOOKUP($A71,[0]!ความต้องการน้ำ,3)/7</f>
        <v>7.3252626394796976E-4</v>
      </c>
      <c r="P71" s="322">
        <f>VLOOKUP($A71,[0]!ฝนใช้การ,3)/7</f>
        <v>1.590709677419355E-5</v>
      </c>
      <c r="Q71" s="322">
        <f t="shared" si="10"/>
        <v>60</v>
      </c>
      <c r="R71" s="322">
        <f t="shared" si="11"/>
        <v>1.1943652786229604E-3</v>
      </c>
      <c r="S71" s="322">
        <f t="shared" si="12"/>
        <v>8.2687913665719731E-2</v>
      </c>
      <c r="T71" s="322">
        <f t="shared" si="4"/>
        <v>89.396992778982863</v>
      </c>
      <c r="U71" s="354">
        <f t="shared" si="6"/>
        <v>141</v>
      </c>
      <c r="V71" s="354">
        <f t="shared" si="7"/>
        <v>7</v>
      </c>
      <c r="W71" s="347">
        <v>33.548928571428547</v>
      </c>
      <c r="X71" s="347">
        <v>122.24964285714292</v>
      </c>
      <c r="Y71" s="566">
        <v>49.805599999999998</v>
      </c>
    </row>
    <row r="72" spans="1:25" x14ac:dyDescent="0.15">
      <c r="A72" s="201">
        <f t="shared" si="13"/>
        <v>9</v>
      </c>
      <c r="B72" s="260">
        <f t="shared" si="5"/>
        <v>39810</v>
      </c>
      <c r="C72" s="374">
        <f t="shared" si="0"/>
        <v>217.46289080039168</v>
      </c>
      <c r="D72" s="319">
        <f t="shared" si="8"/>
        <v>89.396992778982863</v>
      </c>
      <c r="E72" s="319">
        <f>VLOOKUP(MONTH(B72),[0]!Evap,3)</f>
        <v>4.6419354838709683</v>
      </c>
      <c r="F72" s="322">
        <f t="shared" si="9"/>
        <v>3.6207096774193555</v>
      </c>
      <c r="G72" s="319">
        <f t="shared" si="1"/>
        <v>12.651191709146755</v>
      </c>
      <c r="H72" s="322">
        <f t="shared" si="2"/>
        <v>4.5806292252195173E-2</v>
      </c>
      <c r="I72" s="322">
        <f>+fill_data!B116</f>
        <v>8.7861979126042822E-2</v>
      </c>
      <c r="J72" s="322">
        <f t="shared" si="3"/>
        <v>89.439048465856715</v>
      </c>
      <c r="K72" s="322">
        <f>+fill_data!C116</f>
        <v>1.9354838709677419E-3</v>
      </c>
      <c r="L72" s="322">
        <f>+fill_data!F116</f>
        <v>0</v>
      </c>
      <c r="M72" s="322">
        <f>+fill_data!D116</f>
        <v>3.7258064516129036E-2</v>
      </c>
      <c r="N72" s="322">
        <f>++fill_data!E116</f>
        <v>4.2299999999999997E-2</v>
      </c>
      <c r="O72" s="322">
        <f>VLOOKUP($A72,[0]!ความต้องการน้ำ,3)/7</f>
        <v>7.3252626394796976E-4</v>
      </c>
      <c r="P72" s="322">
        <f>VLOOKUP($A72,[0]!ฝนใช้การ,3)/7</f>
        <v>1.590709677419355E-5</v>
      </c>
      <c r="Q72" s="322">
        <f t="shared" si="10"/>
        <v>60</v>
      </c>
      <c r="R72" s="322">
        <f t="shared" si="11"/>
        <v>1.1943652786229604E-3</v>
      </c>
      <c r="S72" s="322">
        <f t="shared" si="12"/>
        <v>8.2687913665719731E-2</v>
      </c>
      <c r="T72" s="322">
        <f t="shared" si="4"/>
        <v>89.356360552190992</v>
      </c>
      <c r="U72" s="354">
        <f t="shared" si="6"/>
        <v>141</v>
      </c>
      <c r="V72" s="354">
        <f t="shared" si="7"/>
        <v>7</v>
      </c>
      <c r="W72" s="347">
        <v>33.369285714285688</v>
      </c>
      <c r="X72" s="347">
        <v>122.09642857142863</v>
      </c>
      <c r="Y72" s="566">
        <v>49.502000000000002</v>
      </c>
    </row>
    <row r="73" spans="1:25" x14ac:dyDescent="0.15">
      <c r="A73" s="201">
        <f t="shared" si="13"/>
        <v>9</v>
      </c>
      <c r="B73" s="260">
        <f t="shared" si="5"/>
        <v>39811</v>
      </c>
      <c r="C73" s="374">
        <f t="shared" si="0"/>
        <v>217.45971055242904</v>
      </c>
      <c r="D73" s="319">
        <f t="shared" si="8"/>
        <v>89.356360552190992</v>
      </c>
      <c r="E73" s="319">
        <f>VLOOKUP(MONTH(B73),[0]!Evap,3)</f>
        <v>4.6419354838709683</v>
      </c>
      <c r="F73" s="322">
        <f t="shared" si="9"/>
        <v>3.6207096774193555</v>
      </c>
      <c r="G73" s="319">
        <f t="shared" si="1"/>
        <v>12.648390349927638</v>
      </c>
      <c r="H73" s="322">
        <f t="shared" si="2"/>
        <v>4.5796149343760591E-2</v>
      </c>
      <c r="I73" s="322">
        <f>+fill_data!B117</f>
        <v>8.7861979126042822E-2</v>
      </c>
      <c r="J73" s="322">
        <f t="shared" si="3"/>
        <v>89.39842638197328</v>
      </c>
      <c r="K73" s="322">
        <f>+fill_data!C117</f>
        <v>1.9354838709677419E-3</v>
      </c>
      <c r="L73" s="322">
        <f>+fill_data!F117</f>
        <v>0</v>
      </c>
      <c r="M73" s="322">
        <f>+fill_data!D117</f>
        <v>3.7258064516129036E-2</v>
      </c>
      <c r="N73" s="322">
        <f>++fill_data!E117</f>
        <v>4.2299999999999997E-2</v>
      </c>
      <c r="O73" s="322">
        <f>VLOOKUP($A73,[0]!ความต้องการน้ำ,3)/7</f>
        <v>7.3252626394796976E-4</v>
      </c>
      <c r="P73" s="322">
        <f>VLOOKUP($A73,[0]!ฝนใช้การ,3)/7</f>
        <v>1.590709677419355E-5</v>
      </c>
      <c r="Q73" s="322">
        <f t="shared" si="10"/>
        <v>60</v>
      </c>
      <c r="R73" s="322">
        <f t="shared" si="11"/>
        <v>1.1943652786229604E-3</v>
      </c>
      <c r="S73" s="322">
        <f t="shared" si="12"/>
        <v>8.2687913665719731E-2</v>
      </c>
      <c r="T73" s="322">
        <f t="shared" si="4"/>
        <v>89.315738468307558</v>
      </c>
      <c r="U73" s="354">
        <f t="shared" si="6"/>
        <v>141</v>
      </c>
      <c r="V73" s="354">
        <f t="shared" si="7"/>
        <v>7</v>
      </c>
      <c r="W73" s="347">
        <v>33.189642857142829</v>
      </c>
      <c r="X73" s="347">
        <v>121.94321428571435</v>
      </c>
      <c r="Y73" s="566">
        <v>49.400799999999997</v>
      </c>
    </row>
    <row r="74" spans="1:25" x14ac:dyDescent="0.15">
      <c r="A74" s="201">
        <f t="shared" si="13"/>
        <v>9</v>
      </c>
      <c r="B74" s="260">
        <f t="shared" si="5"/>
        <v>39812</v>
      </c>
      <c r="C74" s="374">
        <f t="shared" si="0"/>
        <v>217.45653109834277</v>
      </c>
      <c r="D74" s="319">
        <f t="shared" si="8"/>
        <v>89.315738468307558</v>
      </c>
      <c r="E74" s="319">
        <f>VLOOKUP(MONTH(B74),[0]!Evap,3)</f>
        <v>4.6419354838709683</v>
      </c>
      <c r="F74" s="322">
        <f t="shared" si="9"/>
        <v>3.6207096774193555</v>
      </c>
      <c r="G74" s="319">
        <f t="shared" si="1"/>
        <v>12.64558969000394</v>
      </c>
      <c r="H74" s="322">
        <f t="shared" si="2"/>
        <v>4.5786008967271689E-2</v>
      </c>
      <c r="I74" s="322">
        <f>+fill_data!B118</f>
        <v>8.7861979126042822E-2</v>
      </c>
      <c r="J74" s="322">
        <f t="shared" si="3"/>
        <v>89.357814438466335</v>
      </c>
      <c r="K74" s="322">
        <f>+fill_data!C118</f>
        <v>1.9354838709677419E-3</v>
      </c>
      <c r="L74" s="322">
        <f>+fill_data!F118</f>
        <v>0</v>
      </c>
      <c r="M74" s="322">
        <f>+fill_data!D118</f>
        <v>3.7258064516129036E-2</v>
      </c>
      <c r="N74" s="322">
        <f>++fill_data!E118</f>
        <v>4.2299999999999997E-2</v>
      </c>
      <c r="O74" s="322">
        <f>VLOOKUP($A74,[0]!ความต้องการน้ำ,3)/7</f>
        <v>7.3252626394796976E-4</v>
      </c>
      <c r="P74" s="322">
        <f>VLOOKUP($A74,[0]!ฝนใช้การ,3)/7</f>
        <v>1.590709677419355E-5</v>
      </c>
      <c r="Q74" s="322">
        <f t="shared" si="10"/>
        <v>60</v>
      </c>
      <c r="R74" s="322">
        <f t="shared" si="11"/>
        <v>1.1943652786229604E-3</v>
      </c>
      <c r="S74" s="322">
        <f t="shared" si="12"/>
        <v>8.2687913665719731E-2</v>
      </c>
      <c r="T74" s="322">
        <f t="shared" si="4"/>
        <v>89.275126524800612</v>
      </c>
      <c r="U74" s="354">
        <f t="shared" si="6"/>
        <v>141</v>
      </c>
      <c r="V74" s="354">
        <f t="shared" si="7"/>
        <v>7</v>
      </c>
      <c r="W74" s="347">
        <v>33.01</v>
      </c>
      <c r="X74" s="347">
        <v>121.79</v>
      </c>
      <c r="Y74" s="566">
        <v>49.198399999999999</v>
      </c>
    </row>
    <row r="75" spans="1:25" x14ac:dyDescent="0.15">
      <c r="A75" s="201">
        <f t="shared" si="13"/>
        <v>9</v>
      </c>
      <c r="B75" s="260">
        <f t="shared" si="5"/>
        <v>39813</v>
      </c>
      <c r="C75" s="374">
        <f t="shared" si="0"/>
        <v>217.45335243793468</v>
      </c>
      <c r="D75" s="319">
        <f t="shared" si="8"/>
        <v>89.275126524800612</v>
      </c>
      <c r="E75" s="319">
        <f>VLOOKUP(MONTH(B75),[0]!Evap,3)</f>
        <v>4.6419354838709683</v>
      </c>
      <c r="F75" s="322">
        <f t="shared" si="9"/>
        <v>3.6207096774193555</v>
      </c>
      <c r="G75" s="319">
        <f t="shared" si="1"/>
        <v>12.642789729201098</v>
      </c>
      <c r="H75" s="322">
        <f t="shared" si="2"/>
        <v>4.5775871122096454E-2</v>
      </c>
      <c r="I75" s="322">
        <f>+fill_data!B119</f>
        <v>8.7861979126042822E-2</v>
      </c>
      <c r="J75" s="322">
        <f t="shared" si="3"/>
        <v>89.317212632804555</v>
      </c>
      <c r="K75" s="322">
        <f>+fill_data!C119</f>
        <v>1.9354838709677419E-3</v>
      </c>
      <c r="L75" s="322">
        <f>+fill_data!F119</f>
        <v>0</v>
      </c>
      <c r="M75" s="322">
        <f>+fill_data!D119</f>
        <v>3.7258064516129036E-2</v>
      </c>
      <c r="N75" s="322">
        <f>++fill_data!E119</f>
        <v>4.2299999999999997E-2</v>
      </c>
      <c r="O75" s="322">
        <f>VLOOKUP($A75,[0]!ความต้องการน้ำ,3)/7</f>
        <v>7.3252626394796976E-4</v>
      </c>
      <c r="P75" s="322">
        <f>VLOOKUP($A75,[0]!ฝนใช้การ,3)/7</f>
        <v>1.590709677419355E-5</v>
      </c>
      <c r="Q75" s="322">
        <f t="shared" si="10"/>
        <v>60</v>
      </c>
      <c r="R75" s="322">
        <f t="shared" si="11"/>
        <v>1.1943652786229604E-3</v>
      </c>
      <c r="S75" s="322">
        <f t="shared" si="12"/>
        <v>8.2687913665719731E-2</v>
      </c>
      <c r="T75" s="322">
        <f t="shared" si="4"/>
        <v>89.234524719138832</v>
      </c>
      <c r="U75" s="354">
        <f t="shared" si="6"/>
        <v>141</v>
      </c>
      <c r="V75" s="354">
        <f t="shared" si="7"/>
        <v>7</v>
      </c>
      <c r="W75" s="347">
        <v>32.86451612903226</v>
      </c>
      <c r="X75" s="347">
        <v>121.63741935483871</v>
      </c>
      <c r="Y75" s="566">
        <v>48.996000000000002</v>
      </c>
    </row>
    <row r="76" spans="1:25" x14ac:dyDescent="0.15">
      <c r="A76" s="201">
        <f t="shared" si="13"/>
        <v>9</v>
      </c>
      <c r="B76" s="260">
        <f t="shared" si="5"/>
        <v>39814</v>
      </c>
      <c r="C76" s="374">
        <f t="shared" si="0"/>
        <v>217.45017457100664</v>
      </c>
      <c r="D76" s="319">
        <f t="shared" si="8"/>
        <v>89.234524719138832</v>
      </c>
      <c r="E76" s="319">
        <f>VLOOKUP(MONTH(B76),[0]!Evap,3)</f>
        <v>4.4967741935483874</v>
      </c>
      <c r="F76" s="322">
        <f t="shared" si="9"/>
        <v>3.5074838709677421</v>
      </c>
      <c r="G76" s="319">
        <f t="shared" si="1"/>
        <v>12.639990467344591</v>
      </c>
      <c r="H76" s="322">
        <f t="shared" si="2"/>
        <v>4.433456269339716E-2</v>
      </c>
      <c r="I76" s="322">
        <f>+fill_data!B120</f>
        <v>5.5448690133525186E-2</v>
      </c>
      <c r="J76" s="322">
        <f t="shared" si="3"/>
        <v>89.24563884657897</v>
      </c>
      <c r="K76" s="322">
        <f>+fill_data!C120</f>
        <v>4.193548387096774E-3</v>
      </c>
      <c r="L76" s="322">
        <f>+fill_data!F120</f>
        <v>0</v>
      </c>
      <c r="M76" s="322">
        <f>+fill_data!D120</f>
        <v>3.8548387096774196E-2</v>
      </c>
      <c r="N76" s="322">
        <f>++fill_data!E120</f>
        <v>8.1870967741935474E-2</v>
      </c>
      <c r="O76" s="322">
        <f>VLOOKUP($A76,[0]!ความต้องการน้ำ,3)/7</f>
        <v>7.3252626394796976E-4</v>
      </c>
      <c r="P76" s="322">
        <f>VLOOKUP($A76,[0]!ฝนใช้การ,3)/7</f>
        <v>1.590709677419355E-5</v>
      </c>
      <c r="Q76" s="322">
        <f t="shared" si="10"/>
        <v>60</v>
      </c>
      <c r="R76" s="322">
        <f t="shared" si="11"/>
        <v>1.1943652786229604E-3</v>
      </c>
      <c r="S76" s="322">
        <f t="shared" si="12"/>
        <v>0.12580726850442941</v>
      </c>
      <c r="T76" s="322">
        <f t="shared" si="4"/>
        <v>89.119831578074539</v>
      </c>
      <c r="U76" s="354">
        <f t="shared" si="6"/>
        <v>141</v>
      </c>
      <c r="V76" s="354">
        <f t="shared" si="7"/>
        <v>7</v>
      </c>
      <c r="W76" s="348">
        <v>32.719032258064516</v>
      </c>
      <c r="X76" s="346">
        <v>121.48483870967743</v>
      </c>
      <c r="Y76" s="566">
        <v>48.793599999999998</v>
      </c>
    </row>
    <row r="77" spans="1:25" x14ac:dyDescent="0.15">
      <c r="A77" s="201">
        <f t="shared" si="13"/>
        <v>9</v>
      </c>
      <c r="B77" s="260">
        <f t="shared" si="5"/>
        <v>39815</v>
      </c>
      <c r="C77" s="374">
        <f t="shared" si="0"/>
        <v>217.44119764168238</v>
      </c>
      <c r="D77" s="319">
        <f t="shared" si="8"/>
        <v>89.119831578074539</v>
      </c>
      <c r="E77" s="319">
        <f>VLOOKUP(MONTH(B77),[0]!Evap,3)</f>
        <v>4.4967741935483874</v>
      </c>
      <c r="F77" s="322">
        <f t="shared" si="9"/>
        <v>3.5074838709677421</v>
      </c>
      <c r="G77" s="319">
        <f t="shared" si="1"/>
        <v>12.632083032447271</v>
      </c>
      <c r="H77" s="322">
        <f t="shared" si="2"/>
        <v>4.4306827493034086E-2</v>
      </c>
      <c r="I77" s="322">
        <f>+fill_data!B121</f>
        <v>5.5448690133525186E-2</v>
      </c>
      <c r="J77" s="322">
        <f t="shared" si="3"/>
        <v>89.130973440715039</v>
      </c>
      <c r="K77" s="322">
        <f>+fill_data!C121</f>
        <v>4.193548387096774E-3</v>
      </c>
      <c r="L77" s="322">
        <f>+fill_data!F121</f>
        <v>0</v>
      </c>
      <c r="M77" s="322">
        <f>+fill_data!D121</f>
        <v>3.8548387096774196E-2</v>
      </c>
      <c r="N77" s="322">
        <f>++fill_data!E121</f>
        <v>8.1870967741935474E-2</v>
      </c>
      <c r="O77" s="322">
        <f>VLOOKUP($A77,[0]!ความต้องการน้ำ,3)/7</f>
        <v>7.3252626394796976E-4</v>
      </c>
      <c r="P77" s="322">
        <f>VLOOKUP($A77,[0]!ฝนใช้การ,3)/7</f>
        <v>1.590709677419355E-5</v>
      </c>
      <c r="Q77" s="322">
        <f t="shared" si="10"/>
        <v>60</v>
      </c>
      <c r="R77" s="322">
        <f t="shared" si="11"/>
        <v>1.1943652786229604E-3</v>
      </c>
      <c r="S77" s="322">
        <f t="shared" si="12"/>
        <v>0.12580726850442941</v>
      </c>
      <c r="T77" s="322">
        <f t="shared" si="4"/>
        <v>89.005166172210608</v>
      </c>
      <c r="U77" s="354">
        <f t="shared" si="6"/>
        <v>141</v>
      </c>
      <c r="V77" s="354">
        <f t="shared" si="7"/>
        <v>7</v>
      </c>
      <c r="W77" s="348">
        <v>32.573548387096771</v>
      </c>
      <c r="X77" s="346">
        <v>121.33225806451614</v>
      </c>
      <c r="Y77" s="566">
        <v>48.692399999999999</v>
      </c>
    </row>
    <row r="78" spans="1:25" x14ac:dyDescent="0.15">
      <c r="A78" s="201">
        <v>10</v>
      </c>
      <c r="B78" s="260">
        <f t="shared" si="5"/>
        <v>39816</v>
      </c>
      <c r="C78" s="374">
        <f t="shared" si="0"/>
        <v>217.43222288316741</v>
      </c>
      <c r="D78" s="319">
        <f t="shared" si="8"/>
        <v>89.005166172210608</v>
      </c>
      <c r="E78" s="319">
        <f>VLOOKUP(MONTH(B78),[0]!Evap,3)</f>
        <v>4.4967741935483874</v>
      </c>
      <c r="F78" s="322">
        <f t="shared" si="9"/>
        <v>3.5074838709677421</v>
      </c>
      <c r="G78" s="319">
        <f t="shared" si="1"/>
        <v>12.624177509733096</v>
      </c>
      <c r="H78" s="322">
        <f t="shared" si="2"/>
        <v>4.4279098999622547E-2</v>
      </c>
      <c r="I78" s="322">
        <f>+fill_data!B122</f>
        <v>5.5448690133525186E-2</v>
      </c>
      <c r="J78" s="322">
        <f t="shared" si="3"/>
        <v>89.016335763344514</v>
      </c>
      <c r="K78" s="322">
        <f>+fill_data!C122</f>
        <v>4.193548387096774E-3</v>
      </c>
      <c r="L78" s="322">
        <f>+fill_data!F122</f>
        <v>0</v>
      </c>
      <c r="M78" s="322">
        <f>+fill_data!D122</f>
        <v>3.8548387096774196E-2</v>
      </c>
      <c r="N78" s="322">
        <f>++fill_data!E122</f>
        <v>8.1870967741935474E-2</v>
      </c>
      <c r="O78" s="322">
        <f>VLOOKUP($A78,[0]!ความต้องการน้ำ,3)/7</f>
        <v>7.2982862633630028E-4</v>
      </c>
      <c r="P78" s="322">
        <f>VLOOKUP($A78,[0]!ฝนใช้การ,3)/7</f>
        <v>1.590709677419355E-5</v>
      </c>
      <c r="Q78" s="322">
        <f t="shared" si="10"/>
        <v>60</v>
      </c>
      <c r="R78" s="322">
        <f t="shared" si="11"/>
        <v>1.1898692159368444E-3</v>
      </c>
      <c r="S78" s="322">
        <f t="shared" si="12"/>
        <v>0.12580277244174329</v>
      </c>
      <c r="T78" s="322">
        <f t="shared" si="4"/>
        <v>88.89053299090277</v>
      </c>
      <c r="U78" s="354">
        <f t="shared" si="6"/>
        <v>141</v>
      </c>
      <c r="V78" s="354">
        <f t="shared" si="7"/>
        <v>7</v>
      </c>
      <c r="W78" s="348">
        <v>32.428064516129034</v>
      </c>
      <c r="X78" s="346">
        <v>121.17967741935486</v>
      </c>
      <c r="Y78" s="566">
        <v>48.49</v>
      </c>
    </row>
    <row r="79" spans="1:25" x14ac:dyDescent="0.15">
      <c r="A79" s="201">
        <f t="shared" si="13"/>
        <v>10</v>
      </c>
      <c r="B79" s="260">
        <f t="shared" si="5"/>
        <v>39817</v>
      </c>
      <c r="C79" s="374">
        <f t="shared" ref="C79:C142" si="14">+(D79-VLOOKUP(D79,capacitycurveุ,1))*VLOOKUP(D79,capacitycurveุ,6)/VLOOKUP(D79,capacitycurveุ,5)+VLOOKUP(D79,capacitycurveุ,2)</f>
        <v>217.42325064683956</v>
      </c>
      <c r="D79" s="319">
        <f t="shared" si="8"/>
        <v>88.89053299090277</v>
      </c>
      <c r="E79" s="319">
        <f>VLOOKUP(MONTH(B79),[0]!Evap,3)</f>
        <v>4.4967741935483874</v>
      </c>
      <c r="F79" s="322">
        <f t="shared" si="9"/>
        <v>3.5074838709677421</v>
      </c>
      <c r="G79" s="319">
        <f t="shared" ref="G79:G142" si="15">+(D79-VLOOKUP(D79,capacitycurveุ,1))*VLOOKUP(D79,capacitycurveุ,7)/VLOOKUP(D79,capacitycurveุ,5)+VLOOKUP(D79,capacitycurveุ,3)</f>
        <v>12.616274208717421</v>
      </c>
      <c r="H79" s="322">
        <f t="shared" ref="H79:H142" si="16">F79/1000*G79</f>
        <v>4.4251378298782666E-2</v>
      </c>
      <c r="I79" s="322">
        <f>+fill_data!B123</f>
        <v>5.5448690133525186E-2</v>
      </c>
      <c r="J79" s="322">
        <f t="shared" ref="J79:J142" si="17">D79-H79+I79</f>
        <v>88.901730302737519</v>
      </c>
      <c r="K79" s="322">
        <f>+fill_data!C123</f>
        <v>4.193548387096774E-3</v>
      </c>
      <c r="L79" s="322">
        <f>+fill_data!F123</f>
        <v>0</v>
      </c>
      <c r="M79" s="322">
        <f>+fill_data!D123</f>
        <v>3.8548387096774196E-2</v>
      </c>
      <c r="N79" s="322">
        <f>++fill_data!E123</f>
        <v>8.1870967741935474E-2</v>
      </c>
      <c r="O79" s="322">
        <f>VLOOKUP($A79,[0]!ความต้องการน้ำ,3)/7</f>
        <v>7.2982862633630028E-4</v>
      </c>
      <c r="P79" s="322">
        <f>VLOOKUP($A79,[0]!ฝนใช้การ,3)/7</f>
        <v>1.590709677419355E-5</v>
      </c>
      <c r="Q79" s="322">
        <f t="shared" si="10"/>
        <v>60</v>
      </c>
      <c r="R79" s="322">
        <f t="shared" si="11"/>
        <v>1.1898692159368444E-3</v>
      </c>
      <c r="S79" s="322">
        <f t="shared" ref="S79:S142" si="18">K79+L79+M79+N79+R79</f>
        <v>0.12580277244174329</v>
      </c>
      <c r="T79" s="322">
        <f t="shared" ref="T79:T142" si="19">J79-S79</f>
        <v>88.775927530295775</v>
      </c>
      <c r="U79" s="354">
        <f t="shared" si="6"/>
        <v>141</v>
      </c>
      <c r="V79" s="354">
        <f t="shared" si="7"/>
        <v>7</v>
      </c>
      <c r="W79" s="348">
        <v>32.282580645161289</v>
      </c>
      <c r="X79" s="346">
        <v>121.02709677419357</v>
      </c>
      <c r="Y79" s="566">
        <v>48.287599999999998</v>
      </c>
    </row>
    <row r="80" spans="1:25" x14ac:dyDescent="0.15">
      <c r="A80" s="201">
        <f t="shared" si="13"/>
        <v>10</v>
      </c>
      <c r="B80" s="260">
        <f t="shared" ref="B80:B143" si="20">+B79+1</f>
        <v>39818</v>
      </c>
      <c r="C80" s="374">
        <f t="shared" si="14"/>
        <v>217.41428058018613</v>
      </c>
      <c r="D80" s="319">
        <f t="shared" si="8"/>
        <v>88.775927530295775</v>
      </c>
      <c r="E80" s="319">
        <f>VLOOKUP(MONTH(B80),[0]!Evap,3)</f>
        <v>4.4967741935483874</v>
      </c>
      <c r="F80" s="322">
        <f t="shared" si="9"/>
        <v>3.5074838709677421</v>
      </c>
      <c r="G80" s="319">
        <f t="shared" si="15"/>
        <v>12.608372818885231</v>
      </c>
      <c r="H80" s="322">
        <f t="shared" si="16"/>
        <v>4.4223664301388028E-2</v>
      </c>
      <c r="I80" s="322">
        <f>+fill_data!B124</f>
        <v>5.5448690133525186E-2</v>
      </c>
      <c r="J80" s="322">
        <f t="shared" si="17"/>
        <v>88.787152556127921</v>
      </c>
      <c r="K80" s="322">
        <f>+fill_data!C124</f>
        <v>4.193548387096774E-3</v>
      </c>
      <c r="L80" s="322">
        <f>+fill_data!F124</f>
        <v>0</v>
      </c>
      <c r="M80" s="322">
        <f>+fill_data!D124</f>
        <v>3.8548387096774196E-2</v>
      </c>
      <c r="N80" s="322">
        <f>++fill_data!E124</f>
        <v>8.1870967741935474E-2</v>
      </c>
      <c r="O80" s="322">
        <f>VLOOKUP($A80,[0]!ความต้องการน้ำ,3)/7</f>
        <v>7.2982862633630028E-4</v>
      </c>
      <c r="P80" s="322">
        <f>VLOOKUP($A80,[0]!ฝนใช้การ,3)/7</f>
        <v>1.590709677419355E-5</v>
      </c>
      <c r="Q80" s="322">
        <f t="shared" si="10"/>
        <v>60</v>
      </c>
      <c r="R80" s="322">
        <f t="shared" ref="R80:R143" si="21">IF((O80-P80)&lt;=0,0,+(O80-P80)/(Q80/100))</f>
        <v>1.1898692159368444E-3</v>
      </c>
      <c r="S80" s="322">
        <f t="shared" si="18"/>
        <v>0.12580277244174329</v>
      </c>
      <c r="T80" s="322">
        <f t="shared" si="19"/>
        <v>88.661349783686177</v>
      </c>
      <c r="U80" s="354">
        <f t="shared" ref="U80:U143" si="22">+U79</f>
        <v>141</v>
      </c>
      <c r="V80" s="354">
        <f t="shared" si="7"/>
        <v>7</v>
      </c>
      <c r="W80" s="348">
        <v>32.137096774193544</v>
      </c>
      <c r="X80" s="346">
        <v>120.87451612903229</v>
      </c>
      <c r="Y80" s="566">
        <v>48.0852</v>
      </c>
    </row>
    <row r="81" spans="1:25" x14ac:dyDescent="0.15">
      <c r="A81" s="201">
        <f t="shared" si="13"/>
        <v>10</v>
      </c>
      <c r="B81" s="260">
        <f t="shared" si="20"/>
        <v>39819</v>
      </c>
      <c r="C81" s="374">
        <f t="shared" si="14"/>
        <v>217.40531268268239</v>
      </c>
      <c r="D81" s="319">
        <f t="shared" ref="D81:D144" si="23">IF(T80&gt;U80,U80,T80)</f>
        <v>88.661349783686177</v>
      </c>
      <c r="E81" s="319">
        <f>VLOOKUP(MONTH(B81),[0]!Evap,3)</f>
        <v>4.4967741935483874</v>
      </c>
      <c r="F81" s="322">
        <f t="shared" ref="F81:F144" si="24">E81*0.78</f>
        <v>3.5074838709677421</v>
      </c>
      <c r="G81" s="319">
        <f t="shared" si="15"/>
        <v>12.600473339774364</v>
      </c>
      <c r="H81" s="322">
        <f t="shared" si="16"/>
        <v>4.4195957005817618E-2</v>
      </c>
      <c r="I81" s="322">
        <f>+fill_data!B125</f>
        <v>5.5448690133525186E-2</v>
      </c>
      <c r="J81" s="322">
        <f t="shared" si="17"/>
        <v>88.672602516813896</v>
      </c>
      <c r="K81" s="322">
        <f>+fill_data!C125</f>
        <v>4.193548387096774E-3</v>
      </c>
      <c r="L81" s="322">
        <f>+fill_data!F125</f>
        <v>0</v>
      </c>
      <c r="M81" s="322">
        <f>+fill_data!D125</f>
        <v>3.8548387096774196E-2</v>
      </c>
      <c r="N81" s="322">
        <f>++fill_data!E125</f>
        <v>8.1870967741935474E-2</v>
      </c>
      <c r="O81" s="322">
        <f>VLOOKUP($A81,[0]!ความต้องการน้ำ,3)/7</f>
        <v>7.2982862633630028E-4</v>
      </c>
      <c r="P81" s="322">
        <f>VLOOKUP($A81,[0]!ฝนใช้การ,3)/7</f>
        <v>1.590709677419355E-5</v>
      </c>
      <c r="Q81" s="322">
        <f t="shared" ref="Q81:Q144" si="25">+Q80</f>
        <v>60</v>
      </c>
      <c r="R81" s="322">
        <f t="shared" si="21"/>
        <v>1.1898692159368444E-3</v>
      </c>
      <c r="S81" s="322">
        <f t="shared" si="18"/>
        <v>0.12580277244174329</v>
      </c>
      <c r="T81" s="322">
        <f t="shared" si="19"/>
        <v>88.546799744372152</v>
      </c>
      <c r="U81" s="354">
        <f t="shared" si="22"/>
        <v>141</v>
      </c>
      <c r="V81" s="354">
        <f t="shared" ref="V81:V144" si="26">+V80</f>
        <v>7</v>
      </c>
      <c r="W81" s="348">
        <v>31.991612903225807</v>
      </c>
      <c r="X81" s="346">
        <v>120.72193548387099</v>
      </c>
      <c r="Y81" s="566">
        <v>47.882800000000003</v>
      </c>
    </row>
    <row r="82" spans="1:25" x14ac:dyDescent="0.15">
      <c r="A82" s="201">
        <f t="shared" si="13"/>
        <v>10</v>
      </c>
      <c r="B82" s="260">
        <f t="shared" si="20"/>
        <v>39820</v>
      </c>
      <c r="C82" s="374">
        <f t="shared" si="14"/>
        <v>217.39634695380386</v>
      </c>
      <c r="D82" s="319">
        <f t="shared" si="23"/>
        <v>88.546799744372152</v>
      </c>
      <c r="E82" s="319">
        <f>VLOOKUP(MONTH(B82),[0]!Evap,3)</f>
        <v>4.4967741935483874</v>
      </c>
      <c r="F82" s="322">
        <f t="shared" si="24"/>
        <v>3.5074838709677421</v>
      </c>
      <c r="G82" s="319">
        <f t="shared" si="15"/>
        <v>12.592575770922767</v>
      </c>
      <c r="H82" s="322">
        <f t="shared" si="16"/>
        <v>4.4168256410450787E-2</v>
      </c>
      <c r="I82" s="322">
        <f>+fill_data!B126</f>
        <v>5.5448690133525186E-2</v>
      </c>
      <c r="J82" s="322">
        <f t="shared" si="17"/>
        <v>88.558080178095238</v>
      </c>
      <c r="K82" s="322">
        <f>+fill_data!C126</f>
        <v>4.193548387096774E-3</v>
      </c>
      <c r="L82" s="322">
        <f>+fill_data!F126</f>
        <v>0</v>
      </c>
      <c r="M82" s="322">
        <f>+fill_data!D126</f>
        <v>3.8548387096774196E-2</v>
      </c>
      <c r="N82" s="322">
        <f>++fill_data!E126</f>
        <v>8.1870967741935474E-2</v>
      </c>
      <c r="O82" s="322">
        <f>VLOOKUP($A82,[0]!ความต้องการน้ำ,3)/7</f>
        <v>7.2982862633630028E-4</v>
      </c>
      <c r="P82" s="322">
        <f>VLOOKUP($A82,[0]!ฝนใช้การ,3)/7</f>
        <v>1.590709677419355E-5</v>
      </c>
      <c r="Q82" s="322">
        <f t="shared" si="25"/>
        <v>60</v>
      </c>
      <c r="R82" s="322">
        <f t="shared" si="21"/>
        <v>1.1898692159368444E-3</v>
      </c>
      <c r="S82" s="322">
        <f t="shared" si="18"/>
        <v>0.12580277244174329</v>
      </c>
      <c r="T82" s="322">
        <f t="shared" si="19"/>
        <v>88.432277405653494</v>
      </c>
      <c r="U82" s="354">
        <f t="shared" si="22"/>
        <v>141</v>
      </c>
      <c r="V82" s="354">
        <f t="shared" si="26"/>
        <v>7</v>
      </c>
      <c r="W82" s="348">
        <v>31.846129032258062</v>
      </c>
      <c r="X82" s="346">
        <v>120.56935483870971</v>
      </c>
      <c r="Y82" s="566">
        <v>47.781599999999997</v>
      </c>
    </row>
    <row r="83" spans="1:25" x14ac:dyDescent="0.15">
      <c r="A83" s="201">
        <f t="shared" si="13"/>
        <v>10</v>
      </c>
      <c r="B83" s="260">
        <f t="shared" si="20"/>
        <v>39821</v>
      </c>
      <c r="C83" s="374">
        <f t="shared" si="14"/>
        <v>217.38738339302608</v>
      </c>
      <c r="D83" s="319">
        <f t="shared" si="23"/>
        <v>88.432277405653494</v>
      </c>
      <c r="E83" s="319">
        <f>VLOOKUP(MONTH(B83),[0]!Evap,3)</f>
        <v>4.4967741935483874</v>
      </c>
      <c r="F83" s="322">
        <f t="shared" si="24"/>
        <v>3.5074838709677421</v>
      </c>
      <c r="G83" s="319">
        <f t="shared" si="15"/>
        <v>12.584680111868499</v>
      </c>
      <c r="H83" s="322">
        <f t="shared" si="16"/>
        <v>4.4140562513667277E-2</v>
      </c>
      <c r="I83" s="322">
        <f>+fill_data!B127</f>
        <v>5.5448690133525186E-2</v>
      </c>
      <c r="J83" s="322">
        <f t="shared" si="17"/>
        <v>88.443585533273364</v>
      </c>
      <c r="K83" s="322">
        <f>+fill_data!C127</f>
        <v>4.193548387096774E-3</v>
      </c>
      <c r="L83" s="322">
        <f>+fill_data!F127</f>
        <v>0</v>
      </c>
      <c r="M83" s="322">
        <f>+fill_data!D127</f>
        <v>3.8548387096774196E-2</v>
      </c>
      <c r="N83" s="322">
        <f>++fill_data!E127</f>
        <v>8.1870967741935474E-2</v>
      </c>
      <c r="O83" s="322">
        <f>VLOOKUP($A83,[0]!ความต้องการน้ำ,3)/7</f>
        <v>7.2982862633630028E-4</v>
      </c>
      <c r="P83" s="322">
        <f>VLOOKUP($A83,[0]!ฝนใช้การ,3)/7</f>
        <v>1.590709677419355E-5</v>
      </c>
      <c r="Q83" s="322">
        <f t="shared" si="25"/>
        <v>60</v>
      </c>
      <c r="R83" s="322">
        <f t="shared" si="21"/>
        <v>1.1898692159368444E-3</v>
      </c>
      <c r="S83" s="322">
        <f t="shared" si="18"/>
        <v>0.12580277244174329</v>
      </c>
      <c r="T83" s="322">
        <f t="shared" si="19"/>
        <v>88.317782760831619</v>
      </c>
      <c r="U83" s="354">
        <f t="shared" si="22"/>
        <v>141</v>
      </c>
      <c r="V83" s="354">
        <f t="shared" si="26"/>
        <v>7</v>
      </c>
      <c r="W83" s="348">
        <v>31.700645161290321</v>
      </c>
      <c r="X83" s="346">
        <v>120.41677419354842</v>
      </c>
      <c r="Y83" s="566">
        <v>47.781599999999997</v>
      </c>
    </row>
    <row r="84" spans="1:25" x14ac:dyDescent="0.15">
      <c r="A84" s="201">
        <f t="shared" si="13"/>
        <v>10</v>
      </c>
      <c r="B84" s="260">
        <f t="shared" si="20"/>
        <v>39822</v>
      </c>
      <c r="C84" s="374">
        <f t="shared" si="14"/>
        <v>217.37842199982478</v>
      </c>
      <c r="D84" s="319">
        <f t="shared" si="23"/>
        <v>88.317782760831619</v>
      </c>
      <c r="E84" s="319">
        <f>VLOOKUP(MONTH(B84),[0]!Evap,3)</f>
        <v>4.4967741935483874</v>
      </c>
      <c r="F84" s="322">
        <f t="shared" si="24"/>
        <v>3.5074838709677421</v>
      </c>
      <c r="G84" s="319">
        <f t="shared" si="15"/>
        <v>12.576786362149733</v>
      </c>
      <c r="H84" s="322">
        <f t="shared" si="16"/>
        <v>4.411287531384725E-2</v>
      </c>
      <c r="I84" s="322">
        <f>+fill_data!B128</f>
        <v>5.5448690133525186E-2</v>
      </c>
      <c r="J84" s="322">
        <f t="shared" si="17"/>
        <v>88.329118575651307</v>
      </c>
      <c r="K84" s="322">
        <f>+fill_data!C128</f>
        <v>4.193548387096774E-3</v>
      </c>
      <c r="L84" s="322">
        <f>+fill_data!F128</f>
        <v>0</v>
      </c>
      <c r="M84" s="322">
        <f>+fill_data!D128</f>
        <v>3.8548387096774196E-2</v>
      </c>
      <c r="N84" s="322">
        <f>++fill_data!E128</f>
        <v>8.1870967741935474E-2</v>
      </c>
      <c r="O84" s="322">
        <f>VLOOKUP($A84,[0]!ความต้องการน้ำ,3)/7</f>
        <v>7.2982862633630028E-4</v>
      </c>
      <c r="P84" s="322">
        <f>VLOOKUP($A84,[0]!ฝนใช้การ,3)/7</f>
        <v>1.590709677419355E-5</v>
      </c>
      <c r="Q84" s="322">
        <f t="shared" si="25"/>
        <v>60</v>
      </c>
      <c r="R84" s="322">
        <f t="shared" si="21"/>
        <v>1.1898692159368444E-3</v>
      </c>
      <c r="S84" s="322">
        <f t="shared" si="18"/>
        <v>0.12580277244174329</v>
      </c>
      <c r="T84" s="322">
        <f t="shared" si="19"/>
        <v>88.203315803209563</v>
      </c>
      <c r="U84" s="354">
        <f t="shared" si="22"/>
        <v>141</v>
      </c>
      <c r="V84" s="354">
        <f t="shared" si="26"/>
        <v>7</v>
      </c>
      <c r="W84" s="348">
        <v>31.55516129032258</v>
      </c>
      <c r="X84" s="346">
        <v>120.26419354838714</v>
      </c>
      <c r="Y84" s="566">
        <v>47.781599999999997</v>
      </c>
    </row>
    <row r="85" spans="1:25" x14ac:dyDescent="0.15">
      <c r="A85" s="201">
        <v>11</v>
      </c>
      <c r="B85" s="260">
        <f t="shared" si="20"/>
        <v>39823</v>
      </c>
      <c r="C85" s="374">
        <f t="shared" si="14"/>
        <v>217.36946277367579</v>
      </c>
      <c r="D85" s="319">
        <f t="shared" si="23"/>
        <v>88.203315803209563</v>
      </c>
      <c r="E85" s="319">
        <f>VLOOKUP(MONTH(B85),[0]!Evap,3)</f>
        <v>4.4967741935483874</v>
      </c>
      <c r="F85" s="322">
        <f t="shared" si="24"/>
        <v>3.5074838709677421</v>
      </c>
      <c r="G85" s="319">
        <f t="shared" si="15"/>
        <v>12.568894521304747</v>
      </c>
      <c r="H85" s="322">
        <f t="shared" si="16"/>
        <v>4.4085194809371217E-2</v>
      </c>
      <c r="I85" s="322">
        <f>+fill_data!B129</f>
        <v>5.5448690133525186E-2</v>
      </c>
      <c r="J85" s="322">
        <f t="shared" si="17"/>
        <v>88.214679298533724</v>
      </c>
      <c r="K85" s="322">
        <f>+fill_data!C129</f>
        <v>4.193548387096774E-3</v>
      </c>
      <c r="L85" s="322">
        <f>+fill_data!F129</f>
        <v>0</v>
      </c>
      <c r="M85" s="322">
        <f>+fill_data!D129</f>
        <v>3.8548387096774196E-2</v>
      </c>
      <c r="N85" s="322">
        <f>++fill_data!E129</f>
        <v>8.1870967741935474E-2</v>
      </c>
      <c r="O85" s="322">
        <f>VLOOKUP($A85,[0]!ความต้องการน้ำ,3)/7</f>
        <v>6.9637791995159968E-4</v>
      </c>
      <c r="P85" s="322">
        <f>VLOOKUP($A85,[0]!ฝนใช้การ,3)/7</f>
        <v>1.590709677419355E-5</v>
      </c>
      <c r="Q85" s="322">
        <f t="shared" si="25"/>
        <v>60</v>
      </c>
      <c r="R85" s="322">
        <f t="shared" si="21"/>
        <v>1.1341180386290103E-3</v>
      </c>
      <c r="S85" s="322">
        <f t="shared" si="18"/>
        <v>0.12574702126443546</v>
      </c>
      <c r="T85" s="322">
        <f t="shared" si="19"/>
        <v>88.088932277269294</v>
      </c>
      <c r="U85" s="354">
        <f t="shared" si="22"/>
        <v>141</v>
      </c>
      <c r="V85" s="354">
        <f t="shared" si="26"/>
        <v>7</v>
      </c>
      <c r="W85" s="348">
        <v>31.409677419354839</v>
      </c>
      <c r="X85" s="346">
        <v>120.11161290322585</v>
      </c>
      <c r="Y85" s="566">
        <v>47.781599999999997</v>
      </c>
    </row>
    <row r="86" spans="1:25" x14ac:dyDescent="0.15">
      <c r="A86" s="201">
        <f t="shared" ref="A86:A147" si="27">+A85</f>
        <v>11</v>
      </c>
      <c r="B86" s="260">
        <f t="shared" si="20"/>
        <v>39824</v>
      </c>
      <c r="C86" s="374">
        <f t="shared" si="14"/>
        <v>217.36051007764974</v>
      </c>
      <c r="D86" s="319">
        <f t="shared" si="23"/>
        <v>88.088932277269294</v>
      </c>
      <c r="E86" s="319">
        <f>VLOOKUP(MONTH(B86),[0]!Evap,3)</f>
        <v>4.4967741935483874</v>
      </c>
      <c r="F86" s="322">
        <f t="shared" si="24"/>
        <v>3.5074838709677421</v>
      </c>
      <c r="G86" s="319">
        <f t="shared" si="15"/>
        <v>12.561008432596168</v>
      </c>
      <c r="H86" s="322">
        <f t="shared" si="16"/>
        <v>4.4057534480420858E-2</v>
      </c>
      <c r="I86" s="322">
        <f>+fill_data!B130</f>
        <v>5.5448690133525186E-2</v>
      </c>
      <c r="J86" s="322">
        <f t="shared" si="17"/>
        <v>88.100323432922409</v>
      </c>
      <c r="K86" s="322">
        <f>+fill_data!C130</f>
        <v>4.193548387096774E-3</v>
      </c>
      <c r="L86" s="322">
        <f>+fill_data!F130</f>
        <v>0</v>
      </c>
      <c r="M86" s="322">
        <f>+fill_data!D130</f>
        <v>3.8548387096774196E-2</v>
      </c>
      <c r="N86" s="322">
        <f>++fill_data!E130</f>
        <v>8.1870967741935474E-2</v>
      </c>
      <c r="O86" s="322">
        <f>VLOOKUP($A86,[0]!ความต้องการน้ำ,3)/7</f>
        <v>6.9637791995159968E-4</v>
      </c>
      <c r="P86" s="322">
        <f>VLOOKUP($A86,[0]!ฝนใช้การ,3)/7</f>
        <v>1.590709677419355E-5</v>
      </c>
      <c r="Q86" s="322">
        <f t="shared" si="25"/>
        <v>60</v>
      </c>
      <c r="R86" s="322">
        <f t="shared" si="21"/>
        <v>1.1341180386290103E-3</v>
      </c>
      <c r="S86" s="322">
        <f t="shared" si="18"/>
        <v>0.12574702126443546</v>
      </c>
      <c r="T86" s="322">
        <f t="shared" si="19"/>
        <v>87.974576411657978</v>
      </c>
      <c r="U86" s="354">
        <f t="shared" si="22"/>
        <v>141</v>
      </c>
      <c r="V86" s="354">
        <f t="shared" si="26"/>
        <v>7</v>
      </c>
      <c r="W86" s="348">
        <v>31.264193548387095</v>
      </c>
      <c r="X86" s="346">
        <v>119.95903225806457</v>
      </c>
      <c r="Y86" s="566">
        <v>47.680399999999999</v>
      </c>
    </row>
    <row r="87" spans="1:25" x14ac:dyDescent="0.15">
      <c r="A87" s="201">
        <f t="shared" si="27"/>
        <v>11</v>
      </c>
      <c r="B87" s="260">
        <f t="shared" si="20"/>
        <v>39825</v>
      </c>
      <c r="C87" s="374">
        <f t="shared" si="14"/>
        <v>217.35155954657282</v>
      </c>
      <c r="D87" s="319">
        <f t="shared" si="23"/>
        <v>87.974576411657978</v>
      </c>
      <c r="E87" s="319">
        <f>VLOOKUP(MONTH(B87),[0]!Evap,3)</f>
        <v>4.4967741935483874</v>
      </c>
      <c r="F87" s="322">
        <f t="shared" si="24"/>
        <v>3.5074838709677421</v>
      </c>
      <c r="G87" s="319">
        <f t="shared" si="15"/>
        <v>12.553124250908779</v>
      </c>
      <c r="H87" s="322">
        <f t="shared" si="16"/>
        <v>4.402988084031656E-2</v>
      </c>
      <c r="I87" s="322">
        <f>+fill_data!B131</f>
        <v>5.5448690133525186E-2</v>
      </c>
      <c r="J87" s="322">
        <f t="shared" si="17"/>
        <v>87.985995220951196</v>
      </c>
      <c r="K87" s="322">
        <f>+fill_data!C131</f>
        <v>4.193548387096774E-3</v>
      </c>
      <c r="L87" s="322">
        <f>+fill_data!F131</f>
        <v>0</v>
      </c>
      <c r="M87" s="322">
        <f>+fill_data!D131</f>
        <v>3.8548387096774196E-2</v>
      </c>
      <c r="N87" s="322">
        <f>++fill_data!E131</f>
        <v>8.1870967741935474E-2</v>
      </c>
      <c r="O87" s="322">
        <f>VLOOKUP($A87,[0]!ความต้องการน้ำ,3)/7</f>
        <v>6.9637791995159968E-4</v>
      </c>
      <c r="P87" s="322">
        <f>VLOOKUP($A87,[0]!ฝนใช้การ,3)/7</f>
        <v>1.590709677419355E-5</v>
      </c>
      <c r="Q87" s="322">
        <f t="shared" si="25"/>
        <v>60</v>
      </c>
      <c r="R87" s="322">
        <f t="shared" si="21"/>
        <v>1.1341180386290103E-3</v>
      </c>
      <c r="S87" s="322">
        <f t="shared" si="18"/>
        <v>0.12574702126443546</v>
      </c>
      <c r="T87" s="322">
        <f t="shared" si="19"/>
        <v>87.860248199686765</v>
      </c>
      <c r="U87" s="354">
        <f t="shared" si="22"/>
        <v>141</v>
      </c>
      <c r="V87" s="354">
        <f t="shared" si="26"/>
        <v>7</v>
      </c>
      <c r="W87" s="348">
        <v>31.118709677419353</v>
      </c>
      <c r="X87" s="346">
        <v>119.80645161290329</v>
      </c>
      <c r="Y87" s="566">
        <v>47.5792</v>
      </c>
    </row>
    <row r="88" spans="1:25" x14ac:dyDescent="0.15">
      <c r="A88" s="201">
        <f t="shared" si="27"/>
        <v>11</v>
      </c>
      <c r="B88" s="260">
        <f t="shared" si="20"/>
        <v>39826</v>
      </c>
      <c r="C88" s="374">
        <f t="shared" si="14"/>
        <v>217.34261117992153</v>
      </c>
      <c r="D88" s="319">
        <f t="shared" si="23"/>
        <v>87.860248199686765</v>
      </c>
      <c r="E88" s="319">
        <f>VLOOKUP(MONTH(B88),[0]!Evap,3)</f>
        <v>4.4967741935483874</v>
      </c>
      <c r="F88" s="322">
        <f t="shared" si="24"/>
        <v>3.5074838709677421</v>
      </c>
      <c r="G88" s="319">
        <f t="shared" si="15"/>
        <v>12.545241975781423</v>
      </c>
      <c r="H88" s="322">
        <f t="shared" si="16"/>
        <v>4.4002233887440831E-2</v>
      </c>
      <c r="I88" s="322">
        <f>+fill_data!B132</f>
        <v>5.5448690133525186E-2</v>
      </c>
      <c r="J88" s="322">
        <f t="shared" si="17"/>
        <v>87.871694655932856</v>
      </c>
      <c r="K88" s="322">
        <f>+fill_data!C132</f>
        <v>4.193548387096774E-3</v>
      </c>
      <c r="L88" s="322">
        <f>+fill_data!F132</f>
        <v>0</v>
      </c>
      <c r="M88" s="322">
        <f>+fill_data!D132</f>
        <v>3.8548387096774196E-2</v>
      </c>
      <c r="N88" s="322">
        <f>++fill_data!E132</f>
        <v>8.1870967741935474E-2</v>
      </c>
      <c r="O88" s="322">
        <f>VLOOKUP($A88,[0]!ความต้องการน้ำ,3)/7</f>
        <v>6.9637791995159968E-4</v>
      </c>
      <c r="P88" s="322">
        <f>VLOOKUP($A88,[0]!ฝนใช้การ,3)/7</f>
        <v>1.590709677419355E-5</v>
      </c>
      <c r="Q88" s="322">
        <f t="shared" si="25"/>
        <v>60</v>
      </c>
      <c r="R88" s="322">
        <f t="shared" si="21"/>
        <v>1.1341180386290103E-3</v>
      </c>
      <c r="S88" s="322">
        <f t="shared" si="18"/>
        <v>0.12574702126443546</v>
      </c>
      <c r="T88" s="322">
        <f t="shared" si="19"/>
        <v>87.745947634668426</v>
      </c>
      <c r="U88" s="354">
        <f t="shared" si="22"/>
        <v>141</v>
      </c>
      <c r="V88" s="354">
        <f t="shared" si="26"/>
        <v>7</v>
      </c>
      <c r="W88" s="348">
        <v>30.973225806451612</v>
      </c>
      <c r="X88" s="346">
        <v>119.65387096774199</v>
      </c>
      <c r="Y88" s="566">
        <v>47.376800000000003</v>
      </c>
    </row>
    <row r="89" spans="1:25" x14ac:dyDescent="0.15">
      <c r="A89" s="201">
        <f t="shared" si="27"/>
        <v>11</v>
      </c>
      <c r="B89" s="260">
        <f t="shared" si="20"/>
        <v>39827</v>
      </c>
      <c r="C89" s="374">
        <f t="shared" si="14"/>
        <v>217.33366497717245</v>
      </c>
      <c r="D89" s="319">
        <f t="shared" si="23"/>
        <v>87.745947634668426</v>
      </c>
      <c r="E89" s="319">
        <f>VLOOKUP(MONTH(B89),[0]!Evap,3)</f>
        <v>4.4967741935483874</v>
      </c>
      <c r="F89" s="322">
        <f t="shared" si="24"/>
        <v>3.5074838709677421</v>
      </c>
      <c r="G89" s="319">
        <f t="shared" si="15"/>
        <v>12.537361606753054</v>
      </c>
      <c r="H89" s="322">
        <f t="shared" si="16"/>
        <v>4.3974593620176548E-2</v>
      </c>
      <c r="I89" s="322">
        <f>+fill_data!B133</f>
        <v>5.5448690133525186E-2</v>
      </c>
      <c r="J89" s="322">
        <f t="shared" si="17"/>
        <v>87.757421731181779</v>
      </c>
      <c r="K89" s="322">
        <f>+fill_data!C133</f>
        <v>4.193548387096774E-3</v>
      </c>
      <c r="L89" s="322">
        <f>+fill_data!F133</f>
        <v>0</v>
      </c>
      <c r="M89" s="322">
        <f>+fill_data!D133</f>
        <v>3.8548387096774196E-2</v>
      </c>
      <c r="N89" s="322">
        <f>++fill_data!E133</f>
        <v>8.1870967741935474E-2</v>
      </c>
      <c r="O89" s="322">
        <f>VLOOKUP($A89,[0]!ความต้องการน้ำ,3)/7</f>
        <v>6.9637791995159968E-4</v>
      </c>
      <c r="P89" s="322">
        <f>VLOOKUP($A89,[0]!ฝนใช้การ,3)/7</f>
        <v>1.590709677419355E-5</v>
      </c>
      <c r="Q89" s="322">
        <f t="shared" si="25"/>
        <v>60</v>
      </c>
      <c r="R89" s="322">
        <f t="shared" si="21"/>
        <v>1.1341180386290103E-3</v>
      </c>
      <c r="S89" s="322">
        <f t="shared" si="18"/>
        <v>0.12574702126443546</v>
      </c>
      <c r="T89" s="322">
        <f t="shared" si="19"/>
        <v>87.631674709917348</v>
      </c>
      <c r="U89" s="354">
        <f t="shared" si="22"/>
        <v>141</v>
      </c>
      <c r="V89" s="354">
        <f t="shared" si="26"/>
        <v>7</v>
      </c>
      <c r="W89" s="348">
        <v>30.827741935483868</v>
      </c>
      <c r="X89" s="346">
        <v>119.50129032258072</v>
      </c>
      <c r="Y89" s="566">
        <v>47.376800000000003</v>
      </c>
    </row>
    <row r="90" spans="1:25" x14ac:dyDescent="0.15">
      <c r="A90" s="201">
        <f t="shared" si="27"/>
        <v>11</v>
      </c>
      <c r="B90" s="260">
        <f t="shared" si="20"/>
        <v>39828</v>
      </c>
      <c r="C90" s="374">
        <f t="shared" si="14"/>
        <v>217.32472093780231</v>
      </c>
      <c r="D90" s="319">
        <f t="shared" si="23"/>
        <v>87.631674709917348</v>
      </c>
      <c r="E90" s="319">
        <f>VLOOKUP(MONTH(B90),[0]!Evap,3)</f>
        <v>4.4967741935483874</v>
      </c>
      <c r="F90" s="322">
        <f t="shared" si="24"/>
        <v>3.5074838709677421</v>
      </c>
      <c r="G90" s="319">
        <f t="shared" si="15"/>
        <v>12.529483143362736</v>
      </c>
      <c r="H90" s="322">
        <f t="shared" si="16"/>
        <v>4.3946960036906998E-2</v>
      </c>
      <c r="I90" s="322">
        <f>+fill_data!B134</f>
        <v>5.5448690133525186E-2</v>
      </c>
      <c r="J90" s="322">
        <f t="shared" si="17"/>
        <v>87.643176440013974</v>
      </c>
      <c r="K90" s="322">
        <f>+fill_data!C134</f>
        <v>4.193548387096774E-3</v>
      </c>
      <c r="L90" s="322">
        <f>+fill_data!F134</f>
        <v>0</v>
      </c>
      <c r="M90" s="322">
        <f>+fill_data!D134</f>
        <v>3.8548387096774196E-2</v>
      </c>
      <c r="N90" s="322">
        <f>++fill_data!E134</f>
        <v>8.1870967741935474E-2</v>
      </c>
      <c r="O90" s="322">
        <f>VLOOKUP($A90,[0]!ความต้องการน้ำ,3)/7</f>
        <v>6.9637791995159968E-4</v>
      </c>
      <c r="P90" s="322">
        <f>VLOOKUP($A90,[0]!ฝนใช้การ,3)/7</f>
        <v>1.590709677419355E-5</v>
      </c>
      <c r="Q90" s="322">
        <f t="shared" si="25"/>
        <v>60</v>
      </c>
      <c r="R90" s="322">
        <f t="shared" si="21"/>
        <v>1.1341180386290103E-3</v>
      </c>
      <c r="S90" s="322">
        <f t="shared" si="18"/>
        <v>0.12574702126443546</v>
      </c>
      <c r="T90" s="322">
        <f t="shared" si="19"/>
        <v>87.517429418749543</v>
      </c>
      <c r="U90" s="354">
        <f t="shared" si="22"/>
        <v>141</v>
      </c>
      <c r="V90" s="354">
        <f t="shared" si="26"/>
        <v>7</v>
      </c>
      <c r="W90" s="348">
        <v>30.682258064516127</v>
      </c>
      <c r="X90" s="346">
        <v>119.34870967741942</v>
      </c>
      <c r="Y90" s="566">
        <v>47.376800000000003</v>
      </c>
    </row>
    <row r="91" spans="1:25" x14ac:dyDescent="0.15">
      <c r="A91" s="201">
        <f t="shared" si="27"/>
        <v>11</v>
      </c>
      <c r="B91" s="260">
        <f t="shared" si="20"/>
        <v>39829</v>
      </c>
      <c r="C91" s="374">
        <f t="shared" si="14"/>
        <v>217.31577906128794</v>
      </c>
      <c r="D91" s="319">
        <f t="shared" si="23"/>
        <v>87.517429418749543</v>
      </c>
      <c r="E91" s="319">
        <f>VLOOKUP(MONTH(B91),[0]!Evap,3)</f>
        <v>4.4967741935483874</v>
      </c>
      <c r="F91" s="322">
        <f t="shared" si="24"/>
        <v>3.5074838709677421</v>
      </c>
      <c r="G91" s="319">
        <f t="shared" si="15"/>
        <v>12.521606585149648</v>
      </c>
      <c r="H91" s="322">
        <f t="shared" si="16"/>
        <v>4.3919333136015856E-2</v>
      </c>
      <c r="I91" s="322">
        <f>+fill_data!B135</f>
        <v>5.5448690133525186E-2</v>
      </c>
      <c r="J91" s="322">
        <f t="shared" si="17"/>
        <v>87.528958775747057</v>
      </c>
      <c r="K91" s="322">
        <f>+fill_data!C135</f>
        <v>4.193548387096774E-3</v>
      </c>
      <c r="L91" s="322">
        <f>+fill_data!F135</f>
        <v>0</v>
      </c>
      <c r="M91" s="322">
        <f>+fill_data!D135</f>
        <v>3.8548387096774196E-2</v>
      </c>
      <c r="N91" s="322">
        <f>++fill_data!E135</f>
        <v>8.1870967741935474E-2</v>
      </c>
      <c r="O91" s="322">
        <f>VLOOKUP($A91,[0]!ความต้องการน้ำ,3)/7</f>
        <v>6.9637791995159968E-4</v>
      </c>
      <c r="P91" s="322">
        <f>VLOOKUP($A91,[0]!ฝนใช้การ,3)/7</f>
        <v>1.590709677419355E-5</v>
      </c>
      <c r="Q91" s="322">
        <f t="shared" si="25"/>
        <v>60</v>
      </c>
      <c r="R91" s="322">
        <f t="shared" si="21"/>
        <v>1.1341180386290103E-3</v>
      </c>
      <c r="S91" s="322">
        <f t="shared" si="18"/>
        <v>0.12574702126443546</v>
      </c>
      <c r="T91" s="322">
        <f t="shared" si="19"/>
        <v>87.403211754482626</v>
      </c>
      <c r="U91" s="354">
        <f t="shared" si="22"/>
        <v>141</v>
      </c>
      <c r="V91" s="354">
        <f t="shared" si="26"/>
        <v>7</v>
      </c>
      <c r="W91" s="348">
        <v>30.536774193548386</v>
      </c>
      <c r="X91" s="346">
        <v>119.19612903225814</v>
      </c>
      <c r="Y91" s="566">
        <v>47.376800000000003</v>
      </c>
    </row>
    <row r="92" spans="1:25" x14ac:dyDescent="0.15">
      <c r="A92" s="201">
        <v>12</v>
      </c>
      <c r="B92" s="260">
        <f t="shared" si="20"/>
        <v>39830</v>
      </c>
      <c r="C92" s="374">
        <f t="shared" si="14"/>
        <v>217.30683934710638</v>
      </c>
      <c r="D92" s="319">
        <f t="shared" si="23"/>
        <v>87.403211754482626</v>
      </c>
      <c r="E92" s="319">
        <f>VLOOKUP(MONTH(B92),[0]!Evap,3)</f>
        <v>4.4967741935483874</v>
      </c>
      <c r="F92" s="322">
        <f t="shared" si="24"/>
        <v>3.5074838709677421</v>
      </c>
      <c r="G92" s="319">
        <f t="shared" si="15"/>
        <v>12.513731931653076</v>
      </c>
      <c r="H92" s="322">
        <f t="shared" si="16"/>
        <v>4.3891712915887171E-2</v>
      </c>
      <c r="I92" s="322">
        <f>+fill_data!B136</f>
        <v>5.5448690133525186E-2</v>
      </c>
      <c r="J92" s="322">
        <f t="shared" si="17"/>
        <v>87.414768731700264</v>
      </c>
      <c r="K92" s="322">
        <f>+fill_data!C136</f>
        <v>4.193548387096774E-3</v>
      </c>
      <c r="L92" s="322">
        <f>+fill_data!F136</f>
        <v>0</v>
      </c>
      <c r="M92" s="322">
        <f>+fill_data!D136</f>
        <v>3.8548387096774196E-2</v>
      </c>
      <c r="N92" s="322">
        <f>++fill_data!E136</f>
        <v>8.1870967741935474E-2</v>
      </c>
      <c r="O92" s="322">
        <f>VLOOKUP($A92,[0]!ความต้องการน้ำ,3)/7</f>
        <v>6.9637791995159968E-4</v>
      </c>
      <c r="P92" s="322">
        <f>VLOOKUP($A92,[0]!ฝนใช้การ,3)/7</f>
        <v>1.590709677419355E-5</v>
      </c>
      <c r="Q92" s="322">
        <f t="shared" si="25"/>
        <v>60</v>
      </c>
      <c r="R92" s="322">
        <f t="shared" si="21"/>
        <v>1.1341180386290103E-3</v>
      </c>
      <c r="S92" s="322">
        <f t="shared" si="18"/>
        <v>0.12574702126443546</v>
      </c>
      <c r="T92" s="322">
        <f t="shared" si="19"/>
        <v>87.289021710435833</v>
      </c>
      <c r="U92" s="354">
        <f t="shared" si="22"/>
        <v>141</v>
      </c>
      <c r="V92" s="354">
        <f t="shared" si="26"/>
        <v>7</v>
      </c>
      <c r="W92" s="348">
        <v>30.391290322580645</v>
      </c>
      <c r="X92" s="346">
        <v>119.04354838709685</v>
      </c>
      <c r="Y92" s="566">
        <v>47.275599999999997</v>
      </c>
    </row>
    <row r="93" spans="1:25" x14ac:dyDescent="0.15">
      <c r="A93" s="201">
        <f t="shared" si="27"/>
        <v>12</v>
      </c>
      <c r="B93" s="260">
        <f t="shared" si="20"/>
        <v>39831</v>
      </c>
      <c r="C93" s="374">
        <f t="shared" si="14"/>
        <v>217.29790179473466</v>
      </c>
      <c r="D93" s="319">
        <f t="shared" si="23"/>
        <v>87.289021710435833</v>
      </c>
      <c r="E93" s="319">
        <f>VLOOKUP(MONTH(B93),[0]!Evap,3)</f>
        <v>4.4967741935483874</v>
      </c>
      <c r="F93" s="322">
        <f t="shared" si="24"/>
        <v>3.5074838709677421</v>
      </c>
      <c r="G93" s="319">
        <f t="shared" si="15"/>
        <v>12.505859182412422</v>
      </c>
      <c r="H93" s="322">
        <f t="shared" si="16"/>
        <v>4.3864099374905402E-2</v>
      </c>
      <c r="I93" s="322">
        <f>+fill_data!B137</f>
        <v>5.5448690133525186E-2</v>
      </c>
      <c r="J93" s="322">
        <f t="shared" si="17"/>
        <v>87.300606301194463</v>
      </c>
      <c r="K93" s="322">
        <f>+fill_data!C137</f>
        <v>4.193548387096774E-3</v>
      </c>
      <c r="L93" s="322">
        <f>+fill_data!F137</f>
        <v>0</v>
      </c>
      <c r="M93" s="322">
        <f>+fill_data!D137</f>
        <v>3.8548387096774196E-2</v>
      </c>
      <c r="N93" s="322">
        <f>++fill_data!E137</f>
        <v>8.1870967741935474E-2</v>
      </c>
      <c r="O93" s="322">
        <f>VLOOKUP($A93,[0]!ความต้องการน้ำ,3)/7</f>
        <v>6.9637791995159968E-4</v>
      </c>
      <c r="P93" s="322">
        <f>VLOOKUP($A93,[0]!ฝนใช้การ,3)/7</f>
        <v>1.590709677419355E-5</v>
      </c>
      <c r="Q93" s="322">
        <f t="shared" si="25"/>
        <v>60</v>
      </c>
      <c r="R93" s="322">
        <f t="shared" si="21"/>
        <v>1.1341180386290103E-3</v>
      </c>
      <c r="S93" s="322">
        <f t="shared" si="18"/>
        <v>0.12574702126443546</v>
      </c>
      <c r="T93" s="322">
        <f t="shared" si="19"/>
        <v>87.174859279930033</v>
      </c>
      <c r="U93" s="354">
        <f t="shared" si="22"/>
        <v>141</v>
      </c>
      <c r="V93" s="354">
        <f t="shared" si="26"/>
        <v>7</v>
      </c>
      <c r="W93" s="348">
        <v>30.2458064516129</v>
      </c>
      <c r="X93" s="346">
        <v>118.89096774193557</v>
      </c>
      <c r="Y93" s="566">
        <v>47.275599999999997</v>
      </c>
    </row>
    <row r="94" spans="1:25" x14ac:dyDescent="0.15">
      <c r="A94" s="201">
        <f t="shared" si="27"/>
        <v>12</v>
      </c>
      <c r="B94" s="260">
        <f t="shared" si="20"/>
        <v>39832</v>
      </c>
      <c r="C94" s="374">
        <f t="shared" si="14"/>
        <v>217.28896640365002</v>
      </c>
      <c r="D94" s="319">
        <f t="shared" si="23"/>
        <v>87.174859279930033</v>
      </c>
      <c r="E94" s="319">
        <f>VLOOKUP(MONTH(B94),[0]!Evap,3)</f>
        <v>4.4967741935483874</v>
      </c>
      <c r="F94" s="322">
        <f t="shared" si="24"/>
        <v>3.5074838709677421</v>
      </c>
      <c r="G94" s="319">
        <f t="shared" si="15"/>
        <v>12.497988336967197</v>
      </c>
      <c r="H94" s="322">
        <f t="shared" si="16"/>
        <v>4.3836492511455397E-2</v>
      </c>
      <c r="I94" s="322">
        <f>+fill_data!B138</f>
        <v>5.5448690133525186E-2</v>
      </c>
      <c r="J94" s="322">
        <f t="shared" si="17"/>
        <v>87.186471477552104</v>
      </c>
      <c r="K94" s="322">
        <f>+fill_data!C138</f>
        <v>4.193548387096774E-3</v>
      </c>
      <c r="L94" s="322">
        <f>+fill_data!F138</f>
        <v>0</v>
      </c>
      <c r="M94" s="322">
        <f>+fill_data!D138</f>
        <v>3.8548387096774196E-2</v>
      </c>
      <c r="N94" s="322">
        <f>++fill_data!E138</f>
        <v>8.1870967741935474E-2</v>
      </c>
      <c r="O94" s="322">
        <f>VLOOKUP($A94,[0]!ความต้องการน้ำ,3)/7</f>
        <v>6.9637791995159968E-4</v>
      </c>
      <c r="P94" s="322">
        <f>VLOOKUP($A94,[0]!ฝนใช้การ,3)/7</f>
        <v>1.590709677419355E-5</v>
      </c>
      <c r="Q94" s="322">
        <f t="shared" si="25"/>
        <v>60</v>
      </c>
      <c r="R94" s="322">
        <f t="shared" si="21"/>
        <v>1.1341180386290103E-3</v>
      </c>
      <c r="S94" s="322">
        <f t="shared" si="18"/>
        <v>0.12574702126443546</v>
      </c>
      <c r="T94" s="322">
        <f t="shared" si="19"/>
        <v>87.060724456287673</v>
      </c>
      <c r="U94" s="354">
        <f t="shared" si="22"/>
        <v>141</v>
      </c>
      <c r="V94" s="354">
        <f t="shared" si="26"/>
        <v>7</v>
      </c>
      <c r="W94" s="348">
        <v>30.100322580645159</v>
      </c>
      <c r="X94" s="346">
        <v>118.73838709677428</v>
      </c>
      <c r="Y94" s="566">
        <v>47.275599999999997</v>
      </c>
    </row>
    <row r="95" spans="1:25" x14ac:dyDescent="0.15">
      <c r="A95" s="201">
        <f t="shared" si="27"/>
        <v>12</v>
      </c>
      <c r="B95" s="260">
        <f t="shared" si="20"/>
        <v>39833</v>
      </c>
      <c r="C95" s="374">
        <f t="shared" si="14"/>
        <v>217.28003317332985</v>
      </c>
      <c r="D95" s="319">
        <f t="shared" si="23"/>
        <v>87.060724456287673</v>
      </c>
      <c r="E95" s="319">
        <f>VLOOKUP(MONTH(B95),[0]!Evap,3)</f>
        <v>4.4967741935483874</v>
      </c>
      <c r="F95" s="322">
        <f t="shared" si="24"/>
        <v>3.5074838709677421</v>
      </c>
      <c r="G95" s="319">
        <f t="shared" si="15"/>
        <v>12.490119394857022</v>
      </c>
      <c r="H95" s="322">
        <f t="shared" si="16"/>
        <v>4.3808892323922377E-2</v>
      </c>
      <c r="I95" s="322">
        <f>+fill_data!B139</f>
        <v>5.5448690133525186E-2</v>
      </c>
      <c r="J95" s="322">
        <f t="shared" si="17"/>
        <v>87.07236425409728</v>
      </c>
      <c r="K95" s="322">
        <f>+fill_data!C139</f>
        <v>4.193548387096774E-3</v>
      </c>
      <c r="L95" s="322">
        <f>+fill_data!F139</f>
        <v>0</v>
      </c>
      <c r="M95" s="322">
        <f>+fill_data!D139</f>
        <v>3.8548387096774196E-2</v>
      </c>
      <c r="N95" s="322">
        <f>++fill_data!E139</f>
        <v>8.1870967741935474E-2</v>
      </c>
      <c r="O95" s="322">
        <f>VLOOKUP($A95,[0]!ความต้องการน้ำ,3)/7</f>
        <v>6.9637791995159968E-4</v>
      </c>
      <c r="P95" s="322">
        <f>VLOOKUP($A95,[0]!ฝนใช้การ,3)/7</f>
        <v>1.590709677419355E-5</v>
      </c>
      <c r="Q95" s="322">
        <f t="shared" si="25"/>
        <v>60</v>
      </c>
      <c r="R95" s="322">
        <f t="shared" si="21"/>
        <v>1.1341180386290103E-3</v>
      </c>
      <c r="S95" s="322">
        <f t="shared" si="18"/>
        <v>0.12574702126443546</v>
      </c>
      <c r="T95" s="322">
        <f t="shared" si="19"/>
        <v>86.94661723283285</v>
      </c>
      <c r="U95" s="354">
        <f t="shared" si="22"/>
        <v>141</v>
      </c>
      <c r="V95" s="354">
        <f t="shared" si="26"/>
        <v>7</v>
      </c>
      <c r="W95" s="348">
        <v>29.954838709677418</v>
      </c>
      <c r="X95" s="346">
        <v>118.585806451613</v>
      </c>
      <c r="Y95" s="566">
        <v>47.275599999999997</v>
      </c>
    </row>
    <row r="96" spans="1:25" x14ac:dyDescent="0.15">
      <c r="A96" s="201">
        <f t="shared" si="27"/>
        <v>12</v>
      </c>
      <c r="B96" s="260">
        <f t="shared" si="20"/>
        <v>39834</v>
      </c>
      <c r="C96" s="374">
        <f t="shared" si="14"/>
        <v>217.27110210325159</v>
      </c>
      <c r="D96" s="319">
        <f t="shared" si="23"/>
        <v>86.94661723283285</v>
      </c>
      <c r="E96" s="319">
        <f>VLOOKUP(MONTH(B96),[0]!Evap,3)</f>
        <v>4.4967741935483874</v>
      </c>
      <c r="F96" s="322">
        <f t="shared" si="24"/>
        <v>3.5074838709677421</v>
      </c>
      <c r="G96" s="319">
        <f t="shared" si="15"/>
        <v>12.482252355621631</v>
      </c>
      <c r="H96" s="322">
        <f t="shared" si="16"/>
        <v>4.3781298810691975E-2</v>
      </c>
      <c r="I96" s="322">
        <f>+fill_data!B140</f>
        <v>5.5448690133525186E-2</v>
      </c>
      <c r="J96" s="322">
        <f t="shared" si="17"/>
        <v>86.958284624155695</v>
      </c>
      <c r="K96" s="322">
        <f>+fill_data!C140</f>
        <v>4.193548387096774E-3</v>
      </c>
      <c r="L96" s="322">
        <f>+fill_data!F140</f>
        <v>0</v>
      </c>
      <c r="M96" s="322">
        <f>+fill_data!D140</f>
        <v>3.8548387096774196E-2</v>
      </c>
      <c r="N96" s="322">
        <f>++fill_data!E140</f>
        <v>8.1870967741935474E-2</v>
      </c>
      <c r="O96" s="322">
        <f>VLOOKUP($A96,[0]!ความต้องการน้ำ,3)/7</f>
        <v>6.9637791995159968E-4</v>
      </c>
      <c r="P96" s="322">
        <f>VLOOKUP($A96,[0]!ฝนใช้การ,3)/7</f>
        <v>1.590709677419355E-5</v>
      </c>
      <c r="Q96" s="322">
        <f t="shared" si="25"/>
        <v>60</v>
      </c>
      <c r="R96" s="322">
        <f t="shared" si="21"/>
        <v>1.1341180386290103E-3</v>
      </c>
      <c r="S96" s="322">
        <f t="shared" si="18"/>
        <v>0.12574702126443546</v>
      </c>
      <c r="T96" s="322">
        <f t="shared" si="19"/>
        <v>86.832537602891264</v>
      </c>
      <c r="U96" s="354">
        <f t="shared" si="22"/>
        <v>141</v>
      </c>
      <c r="V96" s="354">
        <f t="shared" si="26"/>
        <v>7</v>
      </c>
      <c r="W96" s="348">
        <v>29.809354838709673</v>
      </c>
      <c r="X96" s="346">
        <v>118.4332258064517</v>
      </c>
      <c r="Y96" s="566">
        <v>47.174399999999999</v>
      </c>
    </row>
    <row r="97" spans="1:25" x14ac:dyDescent="0.15">
      <c r="A97" s="201">
        <f t="shared" si="27"/>
        <v>12</v>
      </c>
      <c r="B97" s="260">
        <f t="shared" si="20"/>
        <v>39835</v>
      </c>
      <c r="C97" s="374">
        <f t="shared" si="14"/>
        <v>217.2621731928929</v>
      </c>
      <c r="D97" s="319">
        <f t="shared" si="23"/>
        <v>86.832537602891264</v>
      </c>
      <c r="E97" s="319">
        <f>VLOOKUP(MONTH(B97),[0]!Evap,3)</f>
        <v>4.4967741935483874</v>
      </c>
      <c r="F97" s="322">
        <f t="shared" si="24"/>
        <v>3.5074838709677421</v>
      </c>
      <c r="G97" s="319">
        <f t="shared" si="15"/>
        <v>12.474387218800869</v>
      </c>
      <c r="H97" s="322">
        <f t="shared" si="16"/>
        <v>4.3753711970150197E-2</v>
      </c>
      <c r="I97" s="322">
        <f>+fill_data!B141</f>
        <v>5.5448690133525186E-2</v>
      </c>
      <c r="J97" s="322">
        <f t="shared" si="17"/>
        <v>86.844232581054641</v>
      </c>
      <c r="K97" s="322">
        <f>+fill_data!C141</f>
        <v>4.193548387096774E-3</v>
      </c>
      <c r="L97" s="322">
        <f>+fill_data!F141</f>
        <v>0</v>
      </c>
      <c r="M97" s="322">
        <f>+fill_data!D141</f>
        <v>3.8548387096774196E-2</v>
      </c>
      <c r="N97" s="322">
        <f>++fill_data!E141</f>
        <v>8.1870967741935474E-2</v>
      </c>
      <c r="O97" s="322">
        <f>VLOOKUP($A97,[0]!ความต้องการน้ำ,3)/7</f>
        <v>6.9637791995159968E-4</v>
      </c>
      <c r="P97" s="322">
        <f>VLOOKUP($A97,[0]!ฝนใช้การ,3)/7</f>
        <v>1.590709677419355E-5</v>
      </c>
      <c r="Q97" s="322">
        <f t="shared" si="25"/>
        <v>60</v>
      </c>
      <c r="R97" s="322">
        <f t="shared" si="21"/>
        <v>1.1341180386290103E-3</v>
      </c>
      <c r="S97" s="322">
        <f t="shared" si="18"/>
        <v>0.12574702126443546</v>
      </c>
      <c r="T97" s="322">
        <f t="shared" si="19"/>
        <v>86.71848555979021</v>
      </c>
      <c r="U97" s="354">
        <f t="shared" si="22"/>
        <v>141</v>
      </c>
      <c r="V97" s="354">
        <f t="shared" si="26"/>
        <v>7</v>
      </c>
      <c r="W97" s="348">
        <v>29.663870967741932</v>
      </c>
      <c r="X97" s="346">
        <v>118.28064516129042</v>
      </c>
      <c r="Y97" s="566">
        <v>47.174399999999999</v>
      </c>
    </row>
    <row r="98" spans="1:25" x14ac:dyDescent="0.15">
      <c r="A98" s="201">
        <f t="shared" si="27"/>
        <v>12</v>
      </c>
      <c r="B98" s="260">
        <f t="shared" si="20"/>
        <v>39836</v>
      </c>
      <c r="C98" s="374">
        <f t="shared" si="14"/>
        <v>217.25324644173148</v>
      </c>
      <c r="D98" s="319">
        <f t="shared" si="23"/>
        <v>86.71848555979021</v>
      </c>
      <c r="E98" s="319">
        <f>VLOOKUP(MONTH(B98),[0]!Evap,3)</f>
        <v>4.4967741935483874</v>
      </c>
      <c r="F98" s="322">
        <f t="shared" si="24"/>
        <v>3.5074838709677421</v>
      </c>
      <c r="G98" s="319">
        <f t="shared" si="15"/>
        <v>12.466523983934694</v>
      </c>
      <c r="H98" s="322">
        <f t="shared" si="16"/>
        <v>4.3726131800683458E-2</v>
      </c>
      <c r="I98" s="322">
        <f>+fill_data!B142</f>
        <v>5.5448690133525186E-2</v>
      </c>
      <c r="J98" s="322">
        <f t="shared" si="17"/>
        <v>86.730208118123059</v>
      </c>
      <c r="K98" s="322">
        <f>+fill_data!C142</f>
        <v>4.193548387096774E-3</v>
      </c>
      <c r="L98" s="322">
        <f>+fill_data!F142</f>
        <v>0</v>
      </c>
      <c r="M98" s="322">
        <f>+fill_data!D142</f>
        <v>3.8548387096774196E-2</v>
      </c>
      <c r="N98" s="322">
        <f>++fill_data!E142</f>
        <v>8.1870967741935474E-2</v>
      </c>
      <c r="O98" s="322">
        <f>VLOOKUP($A98,[0]!ความต้องการน้ำ,3)/7</f>
        <v>6.9637791995159968E-4</v>
      </c>
      <c r="P98" s="322">
        <f>VLOOKUP($A98,[0]!ฝนใช้การ,3)/7</f>
        <v>1.590709677419355E-5</v>
      </c>
      <c r="Q98" s="322">
        <f t="shared" si="25"/>
        <v>60</v>
      </c>
      <c r="R98" s="322">
        <f t="shared" si="21"/>
        <v>1.1341180386290103E-3</v>
      </c>
      <c r="S98" s="322">
        <f t="shared" si="18"/>
        <v>0.12574702126443546</v>
      </c>
      <c r="T98" s="322">
        <f t="shared" si="19"/>
        <v>86.604461096858628</v>
      </c>
      <c r="U98" s="354">
        <f t="shared" si="22"/>
        <v>141</v>
      </c>
      <c r="V98" s="354">
        <f t="shared" si="26"/>
        <v>7</v>
      </c>
      <c r="W98" s="348">
        <v>29.518387096774191</v>
      </c>
      <c r="X98" s="346">
        <v>118.12806451612914</v>
      </c>
      <c r="Y98" s="566">
        <v>47.174399999999999</v>
      </c>
    </row>
    <row r="99" spans="1:25" x14ac:dyDescent="0.15">
      <c r="A99" s="201">
        <v>13</v>
      </c>
      <c r="B99" s="260">
        <f t="shared" si="20"/>
        <v>39837</v>
      </c>
      <c r="C99" s="374">
        <f t="shared" si="14"/>
        <v>217.24432184924521</v>
      </c>
      <c r="D99" s="319">
        <f t="shared" si="23"/>
        <v>86.604461096858628</v>
      </c>
      <c r="E99" s="319">
        <f>VLOOKUP(MONTH(B99),[0]!Evap,3)</f>
        <v>4.4967741935483874</v>
      </c>
      <c r="F99" s="322">
        <f t="shared" si="24"/>
        <v>3.5074838709677421</v>
      </c>
      <c r="G99" s="319">
        <f t="shared" si="15"/>
        <v>12.458662650563172</v>
      </c>
      <c r="H99" s="322">
        <f t="shared" si="16"/>
        <v>4.3698558300678543E-2</v>
      </c>
      <c r="I99" s="322">
        <f>+fill_data!B143</f>
        <v>5.5448690133525186E-2</v>
      </c>
      <c r="J99" s="322">
        <f t="shared" si="17"/>
        <v>86.616211228691483</v>
      </c>
      <c r="K99" s="322">
        <f>+fill_data!C143</f>
        <v>4.193548387096774E-3</v>
      </c>
      <c r="L99" s="322">
        <f>+fill_data!F143</f>
        <v>0</v>
      </c>
      <c r="M99" s="322">
        <f>+fill_data!D143</f>
        <v>3.8548387096774196E-2</v>
      </c>
      <c r="N99" s="322">
        <f>++fill_data!E143</f>
        <v>8.1870967741935474E-2</v>
      </c>
      <c r="O99" s="322">
        <f>VLOOKUP($A99,[0]!ความต้องการน้ำ,3)/7</f>
        <v>6.9637791995159968E-4</v>
      </c>
      <c r="P99" s="322">
        <f>VLOOKUP($A99,[0]!ฝนใช้การ,3)/7</f>
        <v>1.590709677419355E-5</v>
      </c>
      <c r="Q99" s="322">
        <f t="shared" si="25"/>
        <v>60</v>
      </c>
      <c r="R99" s="322">
        <f t="shared" si="21"/>
        <v>1.1341180386290103E-3</v>
      </c>
      <c r="S99" s="322">
        <f t="shared" si="18"/>
        <v>0.12574702126443546</v>
      </c>
      <c r="T99" s="322">
        <f t="shared" si="19"/>
        <v>86.490464207427053</v>
      </c>
      <c r="U99" s="354">
        <f t="shared" si="22"/>
        <v>141</v>
      </c>
      <c r="V99" s="354">
        <f t="shared" si="26"/>
        <v>7</v>
      </c>
      <c r="W99" s="348">
        <v>29.37290322580645</v>
      </c>
      <c r="X99" s="346">
        <v>117.97548387096785</v>
      </c>
      <c r="Y99" s="566">
        <v>47.174399999999999</v>
      </c>
    </row>
    <row r="100" spans="1:25" x14ac:dyDescent="0.15">
      <c r="A100" s="201">
        <f t="shared" si="27"/>
        <v>13</v>
      </c>
      <c r="B100" s="260">
        <f t="shared" si="20"/>
        <v>39838</v>
      </c>
      <c r="C100" s="374">
        <f t="shared" si="14"/>
        <v>217.23539941491205</v>
      </c>
      <c r="D100" s="319">
        <f t="shared" si="23"/>
        <v>86.490464207427053</v>
      </c>
      <c r="E100" s="319">
        <f>VLOOKUP(MONTH(B100),[0]!Evap,3)</f>
        <v>4.4967741935483874</v>
      </c>
      <c r="F100" s="322">
        <f t="shared" si="24"/>
        <v>3.5074838709677421</v>
      </c>
      <c r="G100" s="319">
        <f t="shared" si="15"/>
        <v>12.450803218226481</v>
      </c>
      <c r="H100" s="322">
        <f t="shared" si="16"/>
        <v>4.3670991468522637E-2</v>
      </c>
      <c r="I100" s="322">
        <f>+fill_data!B144</f>
        <v>5.5448690133525186E-2</v>
      </c>
      <c r="J100" s="322">
        <f t="shared" si="17"/>
        <v>86.502241906092067</v>
      </c>
      <c r="K100" s="322">
        <f>+fill_data!C144</f>
        <v>4.193548387096774E-3</v>
      </c>
      <c r="L100" s="322">
        <f>+fill_data!F144</f>
        <v>0</v>
      </c>
      <c r="M100" s="322">
        <f>+fill_data!D144</f>
        <v>3.8548387096774196E-2</v>
      </c>
      <c r="N100" s="322">
        <f>++fill_data!E144</f>
        <v>8.1870967741935474E-2</v>
      </c>
      <c r="O100" s="322">
        <f>VLOOKUP($A100,[0]!ความต้องการน้ำ,3)/7</f>
        <v>6.9637791995159968E-4</v>
      </c>
      <c r="P100" s="322">
        <f>VLOOKUP($A100,[0]!ฝนใช้การ,3)/7</f>
        <v>1.590709677419355E-5</v>
      </c>
      <c r="Q100" s="322">
        <f t="shared" si="25"/>
        <v>60</v>
      </c>
      <c r="R100" s="322">
        <f t="shared" si="21"/>
        <v>1.1341180386290103E-3</v>
      </c>
      <c r="S100" s="322">
        <f t="shared" si="18"/>
        <v>0.12574702126443546</v>
      </c>
      <c r="T100" s="322">
        <f t="shared" si="19"/>
        <v>86.376494884827636</v>
      </c>
      <c r="U100" s="354">
        <f t="shared" si="22"/>
        <v>141</v>
      </c>
      <c r="V100" s="354">
        <f t="shared" si="26"/>
        <v>7</v>
      </c>
      <c r="W100" s="348">
        <v>29.227419354838705</v>
      </c>
      <c r="X100" s="346">
        <v>117.82290322580657</v>
      </c>
      <c r="Y100" s="566">
        <v>47.0732</v>
      </c>
    </row>
    <row r="101" spans="1:25" x14ac:dyDescent="0.15">
      <c r="A101" s="201">
        <f t="shared" si="27"/>
        <v>13</v>
      </c>
      <c r="B101" s="260">
        <f t="shared" si="20"/>
        <v>39839</v>
      </c>
      <c r="C101" s="374">
        <f t="shared" si="14"/>
        <v>217.22647913821012</v>
      </c>
      <c r="D101" s="319">
        <f t="shared" si="23"/>
        <v>86.376494884827636</v>
      </c>
      <c r="E101" s="319">
        <f>VLOOKUP(MONTH(B101),[0]!Evap,3)</f>
        <v>4.4967741935483874</v>
      </c>
      <c r="F101" s="322">
        <f t="shared" si="24"/>
        <v>3.5074838709677421</v>
      </c>
      <c r="G101" s="319">
        <f t="shared" si="15"/>
        <v>12.442945686464913</v>
      </c>
      <c r="H101" s="322">
        <f t="shared" si="16"/>
        <v>4.3643431302603321E-2</v>
      </c>
      <c r="I101" s="322">
        <f>+fill_data!B145</f>
        <v>5.5448690133525186E-2</v>
      </c>
      <c r="J101" s="322">
        <f t="shared" si="17"/>
        <v>86.388300143658569</v>
      </c>
      <c r="K101" s="322">
        <f>+fill_data!C145</f>
        <v>4.193548387096774E-3</v>
      </c>
      <c r="L101" s="322">
        <f>+fill_data!F145</f>
        <v>0</v>
      </c>
      <c r="M101" s="322">
        <f>+fill_data!D145</f>
        <v>3.8548387096774196E-2</v>
      </c>
      <c r="N101" s="322">
        <f>++fill_data!E145</f>
        <v>8.1870967741935474E-2</v>
      </c>
      <c r="O101" s="322">
        <f>VLOOKUP($A101,[0]!ความต้องการน้ำ,3)/7</f>
        <v>6.9637791995159968E-4</v>
      </c>
      <c r="P101" s="322">
        <f>VLOOKUP($A101,[0]!ฝนใช้การ,3)/7</f>
        <v>1.590709677419355E-5</v>
      </c>
      <c r="Q101" s="322">
        <f t="shared" si="25"/>
        <v>60</v>
      </c>
      <c r="R101" s="322">
        <f t="shared" si="21"/>
        <v>1.1341180386290103E-3</v>
      </c>
      <c r="S101" s="322">
        <f t="shared" si="18"/>
        <v>0.12574702126443546</v>
      </c>
      <c r="T101" s="322">
        <f t="shared" si="19"/>
        <v>86.262553122394138</v>
      </c>
      <c r="U101" s="354">
        <f t="shared" si="22"/>
        <v>141</v>
      </c>
      <c r="V101" s="354">
        <f t="shared" si="26"/>
        <v>7</v>
      </c>
      <c r="W101" s="348">
        <v>29.081935483870964</v>
      </c>
      <c r="X101" s="346">
        <v>117.67032258064528</v>
      </c>
      <c r="Y101" s="566">
        <v>47.0732</v>
      </c>
    </row>
    <row r="102" spans="1:25" x14ac:dyDescent="0.15">
      <c r="A102" s="201">
        <f t="shared" si="27"/>
        <v>13</v>
      </c>
      <c r="B102" s="260">
        <f t="shared" si="20"/>
        <v>39840</v>
      </c>
      <c r="C102" s="374">
        <f t="shared" si="14"/>
        <v>217.21756101861769</v>
      </c>
      <c r="D102" s="319">
        <f t="shared" si="23"/>
        <v>86.262553122394138</v>
      </c>
      <c r="E102" s="319">
        <f>VLOOKUP(MONTH(B102),[0]!Evap,3)</f>
        <v>4.4967741935483874</v>
      </c>
      <c r="F102" s="322">
        <f t="shared" si="24"/>
        <v>3.5074838709677421</v>
      </c>
      <c r="G102" s="319">
        <f t="shared" si="15"/>
        <v>12.43509005481887</v>
      </c>
      <c r="H102" s="322">
        <f t="shared" si="16"/>
        <v>4.3615877801308559E-2</v>
      </c>
      <c r="I102" s="322">
        <f>+fill_data!B146</f>
        <v>5.5448690133525186E-2</v>
      </c>
      <c r="J102" s="322">
        <f t="shared" si="17"/>
        <v>86.274385934726354</v>
      </c>
      <c r="K102" s="322">
        <f>+fill_data!C146</f>
        <v>4.193548387096774E-3</v>
      </c>
      <c r="L102" s="322">
        <f>+fill_data!F146</f>
        <v>0</v>
      </c>
      <c r="M102" s="322">
        <f>+fill_data!D146</f>
        <v>3.8548387096774196E-2</v>
      </c>
      <c r="N102" s="322">
        <f>++fill_data!E146</f>
        <v>8.1870967741935474E-2</v>
      </c>
      <c r="O102" s="322">
        <f>VLOOKUP($A102,[0]!ความต้องการน้ำ,3)/7</f>
        <v>6.9637791995159968E-4</v>
      </c>
      <c r="P102" s="322">
        <f>VLOOKUP($A102,[0]!ฝนใช้การ,3)/7</f>
        <v>1.590709677419355E-5</v>
      </c>
      <c r="Q102" s="322">
        <f t="shared" si="25"/>
        <v>60</v>
      </c>
      <c r="R102" s="322">
        <f t="shared" si="21"/>
        <v>1.1341180386290103E-3</v>
      </c>
      <c r="S102" s="322">
        <f t="shared" si="18"/>
        <v>0.12574702126443546</v>
      </c>
      <c r="T102" s="322">
        <f t="shared" si="19"/>
        <v>86.148638913461923</v>
      </c>
      <c r="U102" s="354">
        <f t="shared" si="22"/>
        <v>141</v>
      </c>
      <c r="V102" s="354">
        <f t="shared" si="26"/>
        <v>7</v>
      </c>
      <c r="W102" s="348">
        <v>28.936451612903223</v>
      </c>
      <c r="X102" s="346">
        <v>117.517741935484</v>
      </c>
      <c r="Y102" s="566">
        <v>47.0732</v>
      </c>
    </row>
    <row r="103" spans="1:25" x14ac:dyDescent="0.15">
      <c r="A103" s="201">
        <f t="shared" si="27"/>
        <v>13</v>
      </c>
      <c r="B103" s="260">
        <f t="shared" si="20"/>
        <v>39841</v>
      </c>
      <c r="C103" s="374">
        <f t="shared" si="14"/>
        <v>217.20864505561306</v>
      </c>
      <c r="D103" s="319">
        <f t="shared" si="23"/>
        <v>86.148638913461923</v>
      </c>
      <c r="E103" s="319">
        <f>VLOOKUP(MONTH(B103),[0]!Evap,3)</f>
        <v>4.4967741935483874</v>
      </c>
      <c r="F103" s="322">
        <f t="shared" si="24"/>
        <v>3.5074838709677421</v>
      </c>
      <c r="G103" s="319">
        <f t="shared" si="15"/>
        <v>12.427236322828861</v>
      </c>
      <c r="H103" s="322">
        <f t="shared" si="16"/>
        <v>4.3588330963026702E-2</v>
      </c>
      <c r="I103" s="322">
        <f>+fill_data!B147</f>
        <v>5.5448690133525186E-2</v>
      </c>
      <c r="J103" s="322">
        <f t="shared" si="17"/>
        <v>86.160499272632421</v>
      </c>
      <c r="K103" s="322">
        <f>+fill_data!C147</f>
        <v>4.193548387096774E-3</v>
      </c>
      <c r="L103" s="322">
        <f>+fill_data!F147</f>
        <v>0</v>
      </c>
      <c r="M103" s="322">
        <f>+fill_data!D147</f>
        <v>3.8548387096774196E-2</v>
      </c>
      <c r="N103" s="322">
        <f>++fill_data!E147</f>
        <v>8.1870967741935474E-2</v>
      </c>
      <c r="O103" s="322">
        <f>VLOOKUP($A103,[0]!ความต้องการน้ำ,3)/7</f>
        <v>6.9637791995159968E-4</v>
      </c>
      <c r="P103" s="322">
        <f>VLOOKUP($A103,[0]!ฝนใช้การ,3)/7</f>
        <v>1.590709677419355E-5</v>
      </c>
      <c r="Q103" s="322">
        <f t="shared" si="25"/>
        <v>60</v>
      </c>
      <c r="R103" s="322">
        <f t="shared" si="21"/>
        <v>1.1341180386290103E-3</v>
      </c>
      <c r="S103" s="322">
        <f t="shared" si="18"/>
        <v>0.12574702126443546</v>
      </c>
      <c r="T103" s="322">
        <f t="shared" si="19"/>
        <v>86.034752251367991</v>
      </c>
      <c r="U103" s="354">
        <f t="shared" si="22"/>
        <v>141</v>
      </c>
      <c r="V103" s="354">
        <f t="shared" si="26"/>
        <v>7</v>
      </c>
      <c r="W103" s="348">
        <v>28.790967741935482</v>
      </c>
      <c r="X103" s="346">
        <v>117.3651612903227</v>
      </c>
      <c r="Y103" s="566">
        <v>47.0732</v>
      </c>
    </row>
    <row r="104" spans="1:25" x14ac:dyDescent="0.15">
      <c r="A104" s="201">
        <f t="shared" si="27"/>
        <v>13</v>
      </c>
      <c r="B104" s="260">
        <f t="shared" si="20"/>
        <v>39842</v>
      </c>
      <c r="C104" s="374">
        <f t="shared" si="14"/>
        <v>217.19973124867482</v>
      </c>
      <c r="D104" s="319">
        <f t="shared" si="23"/>
        <v>86.034752251367991</v>
      </c>
      <c r="E104" s="319">
        <f>VLOOKUP(MONTH(B104),[0]!Evap,3)</f>
        <v>4.4967741935483874</v>
      </c>
      <c r="F104" s="322">
        <f t="shared" si="24"/>
        <v>3.5074838709677421</v>
      </c>
      <c r="G104" s="319">
        <f t="shared" si="15"/>
        <v>12.419384490035512</v>
      </c>
      <c r="H104" s="322">
        <f t="shared" si="16"/>
        <v>4.356079078614649E-2</v>
      </c>
      <c r="I104" s="322">
        <f>+fill_data!B148</f>
        <v>5.5448690133525186E-2</v>
      </c>
      <c r="J104" s="322">
        <f t="shared" si="17"/>
        <v>86.046640150715376</v>
      </c>
      <c r="K104" s="322">
        <f>+fill_data!C148</f>
        <v>4.193548387096774E-3</v>
      </c>
      <c r="L104" s="322">
        <f>+fill_data!F148</f>
        <v>0</v>
      </c>
      <c r="M104" s="322">
        <f>+fill_data!D148</f>
        <v>3.8548387096774196E-2</v>
      </c>
      <c r="N104" s="322">
        <f>++fill_data!E148</f>
        <v>8.1870967741935474E-2</v>
      </c>
      <c r="O104" s="322">
        <f>VLOOKUP($A104,[0]!ความต้องการน้ำ,3)/7</f>
        <v>6.9637791995159968E-4</v>
      </c>
      <c r="P104" s="322">
        <f>VLOOKUP($A104,[0]!ฝนใช้การ,3)/7</f>
        <v>1.590709677419355E-5</v>
      </c>
      <c r="Q104" s="322">
        <f t="shared" si="25"/>
        <v>60</v>
      </c>
      <c r="R104" s="322">
        <f t="shared" si="21"/>
        <v>1.1341180386290103E-3</v>
      </c>
      <c r="S104" s="322">
        <f t="shared" si="18"/>
        <v>0.12574702126443546</v>
      </c>
      <c r="T104" s="322">
        <f t="shared" si="19"/>
        <v>85.920893129450945</v>
      </c>
      <c r="U104" s="354">
        <f t="shared" si="22"/>
        <v>141</v>
      </c>
      <c r="V104" s="354">
        <f t="shared" si="26"/>
        <v>7</v>
      </c>
      <c r="W104" s="348">
        <v>28.645483870967738</v>
      </c>
      <c r="X104" s="346">
        <v>117.21258064516142</v>
      </c>
      <c r="Y104" s="566">
        <v>46.972000000000001</v>
      </c>
    </row>
    <row r="105" spans="1:25" x14ac:dyDescent="0.15">
      <c r="A105" s="201">
        <f t="shared" si="27"/>
        <v>13</v>
      </c>
      <c r="B105" s="260">
        <f t="shared" si="20"/>
        <v>39843</v>
      </c>
      <c r="C105" s="374">
        <f t="shared" si="14"/>
        <v>217.19081959728149</v>
      </c>
      <c r="D105" s="319">
        <f t="shared" si="23"/>
        <v>85.920893129450945</v>
      </c>
      <c r="E105" s="319">
        <f>VLOOKUP(MONTH(B105),[0]!Evap,3)</f>
        <v>4.4967741935483874</v>
      </c>
      <c r="F105" s="322">
        <f t="shared" si="24"/>
        <v>3.5074838709677421</v>
      </c>
      <c r="G105" s="319">
        <f t="shared" si="15"/>
        <v>12.411534555979555</v>
      </c>
      <c r="H105" s="322">
        <f t="shared" si="16"/>
        <v>4.3533257269057067E-2</v>
      </c>
      <c r="I105" s="322">
        <f>+fill_data!B149</f>
        <v>5.5448690133525186E-2</v>
      </c>
      <c r="J105" s="322">
        <f t="shared" si="17"/>
        <v>85.932808562315415</v>
      </c>
      <c r="K105" s="322">
        <f>+fill_data!C149</f>
        <v>4.193548387096774E-3</v>
      </c>
      <c r="L105" s="322">
        <f>+fill_data!F149</f>
        <v>0</v>
      </c>
      <c r="M105" s="322">
        <f>+fill_data!D149</f>
        <v>3.8548387096774196E-2</v>
      </c>
      <c r="N105" s="322">
        <f>++fill_data!E149</f>
        <v>8.1870967741935474E-2</v>
      </c>
      <c r="O105" s="322">
        <f>VLOOKUP($A105,[0]!ความต้องการน้ำ,3)/7</f>
        <v>6.9637791995159968E-4</v>
      </c>
      <c r="P105" s="322">
        <f>VLOOKUP($A105,[0]!ฝนใช้การ,3)/7</f>
        <v>1.590709677419355E-5</v>
      </c>
      <c r="Q105" s="322">
        <f t="shared" si="25"/>
        <v>60</v>
      </c>
      <c r="R105" s="322">
        <f t="shared" si="21"/>
        <v>1.1341180386290103E-3</v>
      </c>
      <c r="S105" s="322">
        <f t="shared" si="18"/>
        <v>0.12574702126443546</v>
      </c>
      <c r="T105" s="322">
        <f t="shared" si="19"/>
        <v>85.807061541050984</v>
      </c>
      <c r="U105" s="354">
        <f t="shared" si="22"/>
        <v>141</v>
      </c>
      <c r="V105" s="354">
        <f t="shared" si="26"/>
        <v>7</v>
      </c>
      <c r="W105" s="348">
        <v>28.5</v>
      </c>
      <c r="X105" s="346">
        <v>117.06</v>
      </c>
      <c r="Y105" s="566">
        <v>46.972000000000001</v>
      </c>
    </row>
    <row r="106" spans="1:25" x14ac:dyDescent="0.15">
      <c r="A106" s="201">
        <v>14</v>
      </c>
      <c r="B106" s="260">
        <f t="shared" si="20"/>
        <v>39844</v>
      </c>
      <c r="C106" s="374">
        <f t="shared" si="14"/>
        <v>217.18191010091189</v>
      </c>
      <c r="D106" s="319">
        <f t="shared" si="23"/>
        <v>85.807061541050984</v>
      </c>
      <c r="E106" s="319">
        <f>VLOOKUP(MONTH(B106),[0]!Evap,3)</f>
        <v>4.4967741935483874</v>
      </c>
      <c r="F106" s="322">
        <f t="shared" si="24"/>
        <v>3.5074838709677421</v>
      </c>
      <c r="G106" s="319">
        <f t="shared" si="15"/>
        <v>12.403686520201839</v>
      </c>
      <c r="H106" s="322">
        <f t="shared" si="16"/>
        <v>4.350573041014795E-2</v>
      </c>
      <c r="I106" s="322">
        <f>+fill_data!B150</f>
        <v>5.5448690133525186E-2</v>
      </c>
      <c r="J106" s="322">
        <f t="shared" si="17"/>
        <v>85.819004500774369</v>
      </c>
      <c r="K106" s="322">
        <f>+fill_data!C150</f>
        <v>4.193548387096774E-3</v>
      </c>
      <c r="L106" s="322">
        <f>+fill_data!F150</f>
        <v>0</v>
      </c>
      <c r="M106" s="322">
        <f>+fill_data!D150</f>
        <v>3.8548387096774196E-2</v>
      </c>
      <c r="N106" s="322">
        <f>++fill_data!E150</f>
        <v>8.1870967741935474E-2</v>
      </c>
      <c r="O106" s="322">
        <f>VLOOKUP($A106,[0]!ความต้องการน้ำ,3)/7</f>
        <v>7.3995787399852911E-4</v>
      </c>
      <c r="P106" s="322">
        <f>VLOOKUP($A106,[0]!ฝนใช้การ,3)/7</f>
        <v>6.3171428571428558E-5</v>
      </c>
      <c r="Q106" s="322">
        <f t="shared" si="25"/>
        <v>60</v>
      </c>
      <c r="R106" s="322">
        <f t="shared" si="21"/>
        <v>1.1279774090451676E-3</v>
      </c>
      <c r="S106" s="322">
        <f t="shared" si="18"/>
        <v>0.12574088063485162</v>
      </c>
      <c r="T106" s="322">
        <f t="shared" si="19"/>
        <v>85.693263620139518</v>
      </c>
      <c r="U106" s="354">
        <f t="shared" si="22"/>
        <v>141</v>
      </c>
      <c r="V106" s="354">
        <f t="shared" si="26"/>
        <v>7</v>
      </c>
      <c r="W106" s="348">
        <v>28.486999999999998</v>
      </c>
      <c r="X106" s="346">
        <v>116.87866666666667</v>
      </c>
      <c r="Y106" s="566">
        <v>46.972000000000001</v>
      </c>
    </row>
    <row r="107" spans="1:25" x14ac:dyDescent="0.15">
      <c r="A107" s="201">
        <f t="shared" si="27"/>
        <v>14</v>
      </c>
      <c r="B107" s="260">
        <f t="shared" si="20"/>
        <v>39845</v>
      </c>
      <c r="C107" s="374">
        <f t="shared" si="14"/>
        <v>217.1730032396664</v>
      </c>
      <c r="D107" s="319">
        <f t="shared" si="23"/>
        <v>85.693263620139518</v>
      </c>
      <c r="E107" s="319">
        <f>VLOOKUP(MONTH(B107),[0]!Evap,3)</f>
        <v>5.2821428571428575</v>
      </c>
      <c r="F107" s="322">
        <f t="shared" si="24"/>
        <v>4.1200714285714293</v>
      </c>
      <c r="G107" s="319">
        <f t="shared" si="15"/>
        <v>12.395840805604543</v>
      </c>
      <c r="H107" s="322">
        <f t="shared" si="16"/>
        <v>5.1071749536291129E-2</v>
      </c>
      <c r="I107" s="322">
        <f>+fill_data!B151</f>
        <v>5.6852685963059521E-2</v>
      </c>
      <c r="J107" s="322">
        <f t="shared" si="17"/>
        <v>85.699044556566292</v>
      </c>
      <c r="K107" s="322">
        <f>+fill_data!C151</f>
        <v>4.642857142857143E-3</v>
      </c>
      <c r="L107" s="322">
        <f>+fill_data!F151</f>
        <v>0</v>
      </c>
      <c r="M107" s="322">
        <f>+fill_data!D151</f>
        <v>4.446428571428572E-2</v>
      </c>
      <c r="N107" s="322">
        <f>++fill_data!E151</f>
        <v>8.7621428571428558E-2</v>
      </c>
      <c r="O107" s="322">
        <f>VLOOKUP($A107,[0]!ความต้องการน้ำ,3)/7</f>
        <v>7.3995787399852911E-4</v>
      </c>
      <c r="P107" s="322">
        <f>VLOOKUP($A107,[0]!ฝนใช้การ,3)/7</f>
        <v>6.3171428571428558E-5</v>
      </c>
      <c r="Q107" s="322">
        <f t="shared" si="25"/>
        <v>60</v>
      </c>
      <c r="R107" s="322">
        <f t="shared" si="21"/>
        <v>1.1279774090451676E-3</v>
      </c>
      <c r="S107" s="322">
        <f t="shared" si="18"/>
        <v>0.13785654883761658</v>
      </c>
      <c r="T107" s="322">
        <f t="shared" si="19"/>
        <v>85.561188007728674</v>
      </c>
      <c r="U107" s="354">
        <f t="shared" si="22"/>
        <v>141</v>
      </c>
      <c r="V107" s="354">
        <f t="shared" si="26"/>
        <v>7</v>
      </c>
      <c r="W107" s="348">
        <v>28.474</v>
      </c>
      <c r="X107" s="346">
        <v>116.69733333333335</v>
      </c>
      <c r="Y107" s="566">
        <v>46.972000000000001</v>
      </c>
    </row>
    <row r="108" spans="1:25" x14ac:dyDescent="0.15">
      <c r="A108" s="201">
        <f t="shared" si="27"/>
        <v>14</v>
      </c>
      <c r="B108" s="260">
        <f t="shared" si="20"/>
        <v>39846</v>
      </c>
      <c r="C108" s="374">
        <f t="shared" si="14"/>
        <v>217.16266579989394</v>
      </c>
      <c r="D108" s="319">
        <f t="shared" si="23"/>
        <v>85.561188007728674</v>
      </c>
      <c r="E108" s="319">
        <f>VLOOKUP(MONTH(B108),[0]!Evap,3)</f>
        <v>5.2821428571428575</v>
      </c>
      <c r="F108" s="322">
        <f t="shared" si="24"/>
        <v>4.1200714285714293</v>
      </c>
      <c r="G108" s="319">
        <f t="shared" si="15"/>
        <v>12.386734948907524</v>
      </c>
      <c r="H108" s="322">
        <f t="shared" si="16"/>
        <v>5.1034232756281078E-2</v>
      </c>
      <c r="I108" s="322">
        <f>+fill_data!B152</f>
        <v>5.6852685963059521E-2</v>
      </c>
      <c r="J108" s="322">
        <f t="shared" si="17"/>
        <v>85.56700646093546</v>
      </c>
      <c r="K108" s="322">
        <f>+fill_data!C152</f>
        <v>4.642857142857143E-3</v>
      </c>
      <c r="L108" s="322">
        <f>+fill_data!F152</f>
        <v>0</v>
      </c>
      <c r="M108" s="322">
        <f>+fill_data!D152</f>
        <v>4.446428571428572E-2</v>
      </c>
      <c r="N108" s="322">
        <f>++fill_data!E152</f>
        <v>8.7621428571428558E-2</v>
      </c>
      <c r="O108" s="322">
        <f>VLOOKUP($A108,[0]!ความต้องการน้ำ,3)/7</f>
        <v>7.3995787399852911E-4</v>
      </c>
      <c r="P108" s="322">
        <f>VLOOKUP($A108,[0]!ฝนใช้การ,3)/7</f>
        <v>6.3171428571428558E-5</v>
      </c>
      <c r="Q108" s="322">
        <f t="shared" si="25"/>
        <v>60</v>
      </c>
      <c r="R108" s="322">
        <f t="shared" si="21"/>
        <v>1.1279774090451676E-3</v>
      </c>
      <c r="S108" s="322">
        <f t="shared" si="18"/>
        <v>0.13785654883761658</v>
      </c>
      <c r="T108" s="322">
        <f t="shared" si="19"/>
        <v>85.429149912097841</v>
      </c>
      <c r="U108" s="354">
        <f t="shared" si="22"/>
        <v>141</v>
      </c>
      <c r="V108" s="354">
        <f t="shared" si="26"/>
        <v>7</v>
      </c>
      <c r="W108" s="348">
        <v>28.460999999999999</v>
      </c>
      <c r="X108" s="346">
        <v>116.51600000000002</v>
      </c>
      <c r="Y108" s="566">
        <v>46.769599999999997</v>
      </c>
    </row>
    <row r="109" spans="1:25" x14ac:dyDescent="0.15">
      <c r="A109" s="201">
        <f t="shared" si="27"/>
        <v>14</v>
      </c>
      <c r="B109" s="260">
        <f t="shared" si="20"/>
        <v>39847</v>
      </c>
      <c r="C109" s="374">
        <f t="shared" si="14"/>
        <v>217.1523312965262</v>
      </c>
      <c r="D109" s="319">
        <f t="shared" si="23"/>
        <v>85.429149912097841</v>
      </c>
      <c r="E109" s="319">
        <f>VLOOKUP(MONTH(B109),[0]!Evap,3)</f>
        <v>5.2821428571428575</v>
      </c>
      <c r="F109" s="322">
        <f t="shared" si="24"/>
        <v>4.1200714285714293</v>
      </c>
      <c r="G109" s="319">
        <f t="shared" si="15"/>
        <v>12.377631678777519</v>
      </c>
      <c r="H109" s="322">
        <f t="shared" si="16"/>
        <v>5.0996726633111875E-2</v>
      </c>
      <c r="I109" s="322">
        <f>+fill_data!B153</f>
        <v>5.6852685963059521E-2</v>
      </c>
      <c r="J109" s="322">
        <f t="shared" si="17"/>
        <v>85.435005871427791</v>
      </c>
      <c r="K109" s="322">
        <f>+fill_data!C153</f>
        <v>4.642857142857143E-3</v>
      </c>
      <c r="L109" s="322">
        <f>+fill_data!F153</f>
        <v>0</v>
      </c>
      <c r="M109" s="322">
        <f>+fill_data!D153</f>
        <v>4.446428571428572E-2</v>
      </c>
      <c r="N109" s="322">
        <f>++fill_data!E153</f>
        <v>8.7621428571428558E-2</v>
      </c>
      <c r="O109" s="322">
        <f>VLOOKUP($A109,[0]!ความต้องการน้ำ,3)/7</f>
        <v>7.3995787399852911E-4</v>
      </c>
      <c r="P109" s="322">
        <f>VLOOKUP($A109,[0]!ฝนใช้การ,3)/7</f>
        <v>6.3171428571428558E-5</v>
      </c>
      <c r="Q109" s="322">
        <f t="shared" si="25"/>
        <v>60</v>
      </c>
      <c r="R109" s="322">
        <f t="shared" si="21"/>
        <v>1.1279774090451676E-3</v>
      </c>
      <c r="S109" s="322">
        <f t="shared" si="18"/>
        <v>0.13785654883761658</v>
      </c>
      <c r="T109" s="322">
        <f t="shared" si="19"/>
        <v>85.297149322590172</v>
      </c>
      <c r="U109" s="354">
        <f t="shared" si="22"/>
        <v>141</v>
      </c>
      <c r="V109" s="354">
        <f t="shared" si="26"/>
        <v>7</v>
      </c>
      <c r="W109" s="348">
        <v>28.448</v>
      </c>
      <c r="X109" s="346">
        <v>116.33466666666669</v>
      </c>
      <c r="Y109" s="566">
        <v>46.769599999999997</v>
      </c>
    </row>
    <row r="110" spans="1:25" x14ac:dyDescent="0.15">
      <c r="A110" s="201">
        <f t="shared" si="27"/>
        <v>14</v>
      </c>
      <c r="B110" s="260">
        <f t="shared" si="20"/>
        <v>39848</v>
      </c>
      <c r="C110" s="374">
        <f t="shared" si="14"/>
        <v>217.1419997287291</v>
      </c>
      <c r="D110" s="319">
        <f t="shared" si="23"/>
        <v>85.297149322590172</v>
      </c>
      <c r="E110" s="319">
        <f>VLOOKUP(MONTH(B110),[0]!Evap,3)</f>
        <v>5.2821428571428575</v>
      </c>
      <c r="F110" s="322">
        <f t="shared" si="24"/>
        <v>4.1200714285714293</v>
      </c>
      <c r="G110" s="319">
        <f t="shared" si="15"/>
        <v>12.3685309944798</v>
      </c>
      <c r="H110" s="322">
        <f t="shared" si="16"/>
        <v>5.0959231163756391E-2</v>
      </c>
      <c r="I110" s="322">
        <f>+fill_data!B154</f>
        <v>5.6852685963059521E-2</v>
      </c>
      <c r="J110" s="322">
        <f t="shared" si="17"/>
        <v>85.303042777389479</v>
      </c>
      <c r="K110" s="322">
        <f>+fill_data!C154</f>
        <v>4.642857142857143E-3</v>
      </c>
      <c r="L110" s="322">
        <f>+fill_data!F154</f>
        <v>0</v>
      </c>
      <c r="M110" s="322">
        <f>+fill_data!D154</f>
        <v>4.446428571428572E-2</v>
      </c>
      <c r="N110" s="322">
        <f>++fill_data!E154</f>
        <v>8.7621428571428558E-2</v>
      </c>
      <c r="O110" s="322">
        <f>VLOOKUP($A110,[0]!ความต้องการน้ำ,3)/7</f>
        <v>7.3995787399852911E-4</v>
      </c>
      <c r="P110" s="322">
        <f>VLOOKUP($A110,[0]!ฝนใช้การ,3)/7</f>
        <v>6.3171428571428558E-5</v>
      </c>
      <c r="Q110" s="322">
        <f t="shared" si="25"/>
        <v>60</v>
      </c>
      <c r="R110" s="322">
        <f t="shared" si="21"/>
        <v>1.1279774090451676E-3</v>
      </c>
      <c r="S110" s="322">
        <f t="shared" si="18"/>
        <v>0.13785654883761658</v>
      </c>
      <c r="T110" s="322">
        <f t="shared" si="19"/>
        <v>85.16518622855186</v>
      </c>
      <c r="U110" s="354">
        <f t="shared" si="22"/>
        <v>141</v>
      </c>
      <c r="V110" s="354">
        <f t="shared" si="26"/>
        <v>7</v>
      </c>
      <c r="W110" s="348">
        <v>28.434999999999999</v>
      </c>
      <c r="X110" s="346">
        <v>116.15333333333336</v>
      </c>
      <c r="Y110" s="566">
        <v>46.769599999999997</v>
      </c>
    </row>
    <row r="111" spans="1:25" x14ac:dyDescent="0.15">
      <c r="A111" s="201">
        <f t="shared" si="27"/>
        <v>14</v>
      </c>
      <c r="B111" s="260">
        <f t="shared" si="20"/>
        <v>39849</v>
      </c>
      <c r="C111" s="374">
        <f t="shared" si="14"/>
        <v>217.13167109566879</v>
      </c>
      <c r="D111" s="319">
        <f t="shared" si="23"/>
        <v>85.16518622855186</v>
      </c>
      <c r="E111" s="319">
        <f>VLOOKUP(MONTH(B111),[0]!Evap,3)</f>
        <v>5.2821428571428575</v>
      </c>
      <c r="F111" s="322">
        <f t="shared" si="24"/>
        <v>4.1200714285714293</v>
      </c>
      <c r="G111" s="319">
        <f t="shared" si="15"/>
        <v>12.359432895279848</v>
      </c>
      <c r="H111" s="322">
        <f t="shared" si="16"/>
        <v>5.0921746345188368E-2</v>
      </c>
      <c r="I111" s="322">
        <f>+fill_data!B155</f>
        <v>5.6852685963059521E-2</v>
      </c>
      <c r="J111" s="322">
        <f t="shared" si="17"/>
        <v>85.171117168169744</v>
      </c>
      <c r="K111" s="322">
        <f>+fill_data!C155</f>
        <v>4.642857142857143E-3</v>
      </c>
      <c r="L111" s="322">
        <f>+fill_data!F155</f>
        <v>0</v>
      </c>
      <c r="M111" s="322">
        <f>+fill_data!D155</f>
        <v>4.446428571428572E-2</v>
      </c>
      <c r="N111" s="322">
        <f>++fill_data!E155</f>
        <v>8.7621428571428558E-2</v>
      </c>
      <c r="O111" s="322">
        <f>VLOOKUP($A111,[0]!ความต้องการน้ำ,3)/7</f>
        <v>7.3995787399852911E-4</v>
      </c>
      <c r="P111" s="322">
        <f>VLOOKUP($A111,[0]!ฝนใช้การ,3)/7</f>
        <v>6.3171428571428558E-5</v>
      </c>
      <c r="Q111" s="322">
        <f t="shared" si="25"/>
        <v>60</v>
      </c>
      <c r="R111" s="322">
        <f t="shared" si="21"/>
        <v>1.1279774090451676E-3</v>
      </c>
      <c r="S111" s="322">
        <f t="shared" si="18"/>
        <v>0.13785654883761658</v>
      </c>
      <c r="T111" s="322">
        <f t="shared" si="19"/>
        <v>85.033260619332125</v>
      </c>
      <c r="U111" s="354">
        <f t="shared" si="22"/>
        <v>141</v>
      </c>
      <c r="V111" s="354">
        <f t="shared" si="26"/>
        <v>7</v>
      </c>
      <c r="W111" s="348">
        <v>28.422000000000001</v>
      </c>
      <c r="X111" s="346">
        <v>115.97200000000004</v>
      </c>
      <c r="Y111" s="566">
        <v>46.668399999999998</v>
      </c>
    </row>
    <row r="112" spans="1:25" x14ac:dyDescent="0.15">
      <c r="A112" s="201">
        <f t="shared" si="27"/>
        <v>14</v>
      </c>
      <c r="B112" s="260">
        <f t="shared" si="20"/>
        <v>39850</v>
      </c>
      <c r="C112" s="374">
        <f t="shared" si="14"/>
        <v>217.1213453965116</v>
      </c>
      <c r="D112" s="319">
        <f t="shared" si="23"/>
        <v>85.033260619332125</v>
      </c>
      <c r="E112" s="319">
        <f>VLOOKUP(MONTH(B112),[0]!Evap,3)</f>
        <v>5.2821428571428575</v>
      </c>
      <c r="F112" s="322">
        <f t="shared" si="24"/>
        <v>4.1200714285714293</v>
      </c>
      <c r="G112" s="319">
        <f t="shared" si="15"/>
        <v>12.350337380443355</v>
      </c>
      <c r="H112" s="322">
        <f t="shared" si="16"/>
        <v>5.0884272174382378E-2</v>
      </c>
      <c r="I112" s="322">
        <f>+fill_data!B156</f>
        <v>5.6852685963059521E-2</v>
      </c>
      <c r="J112" s="322">
        <f t="shared" si="17"/>
        <v>85.039229033120805</v>
      </c>
      <c r="K112" s="322">
        <f>+fill_data!C156</f>
        <v>4.642857142857143E-3</v>
      </c>
      <c r="L112" s="322">
        <f>+fill_data!F156</f>
        <v>0</v>
      </c>
      <c r="M112" s="322">
        <f>+fill_data!D156</f>
        <v>4.446428571428572E-2</v>
      </c>
      <c r="N112" s="322">
        <f>++fill_data!E156</f>
        <v>8.7621428571428558E-2</v>
      </c>
      <c r="O112" s="322">
        <f>VLOOKUP($A112,[0]!ความต้องการน้ำ,3)/7</f>
        <v>7.3995787399852911E-4</v>
      </c>
      <c r="P112" s="322">
        <f>VLOOKUP($A112,[0]!ฝนใช้การ,3)/7</f>
        <v>6.3171428571428558E-5</v>
      </c>
      <c r="Q112" s="322">
        <f t="shared" si="25"/>
        <v>60</v>
      </c>
      <c r="R112" s="322">
        <f t="shared" si="21"/>
        <v>1.1279774090451676E-3</v>
      </c>
      <c r="S112" s="322">
        <f t="shared" si="18"/>
        <v>0.13785654883761658</v>
      </c>
      <c r="T112" s="322">
        <f t="shared" si="19"/>
        <v>84.901372484283186</v>
      </c>
      <c r="U112" s="354">
        <f t="shared" si="22"/>
        <v>141</v>
      </c>
      <c r="V112" s="354">
        <f t="shared" si="26"/>
        <v>7</v>
      </c>
      <c r="W112" s="348">
        <v>28.408999999999999</v>
      </c>
      <c r="X112" s="346">
        <v>115.7906666666667</v>
      </c>
      <c r="Y112" s="566">
        <v>46.668399999999998</v>
      </c>
    </row>
    <row r="113" spans="1:25" x14ac:dyDescent="0.15">
      <c r="A113" s="201">
        <v>15</v>
      </c>
      <c r="B113" s="260">
        <f t="shared" si="20"/>
        <v>39851</v>
      </c>
      <c r="C113" s="374">
        <f t="shared" si="14"/>
        <v>217.11102263042417</v>
      </c>
      <c r="D113" s="319">
        <f t="shared" si="23"/>
        <v>84.901372484283186</v>
      </c>
      <c r="E113" s="319">
        <f>VLOOKUP(MONTH(B113),[0]!Evap,3)</f>
        <v>5.2821428571428575</v>
      </c>
      <c r="F113" s="322">
        <f t="shared" si="24"/>
        <v>4.1200714285714293</v>
      </c>
      <c r="G113" s="319">
        <f t="shared" si="15"/>
        <v>12.341244449236214</v>
      </c>
      <c r="H113" s="322">
        <f t="shared" si="16"/>
        <v>5.0846808648313875E-2</v>
      </c>
      <c r="I113" s="322">
        <f>+fill_data!B157</f>
        <v>5.6852685963059521E-2</v>
      </c>
      <c r="J113" s="322">
        <f t="shared" si="17"/>
        <v>84.907378361597935</v>
      </c>
      <c r="K113" s="322">
        <f>+fill_data!C157</f>
        <v>4.642857142857143E-3</v>
      </c>
      <c r="L113" s="322">
        <f>+fill_data!F157</f>
        <v>0</v>
      </c>
      <c r="M113" s="322">
        <f>+fill_data!D157</f>
        <v>4.446428571428572E-2</v>
      </c>
      <c r="N113" s="322">
        <f>++fill_data!E157</f>
        <v>8.7621428571428558E-2</v>
      </c>
      <c r="O113" s="322">
        <f>VLOOKUP($A113,[0]!ความต้องการน้ำ,3)/7</f>
        <v>7.3113320820377748E-4</v>
      </c>
      <c r="P113" s="322">
        <f>VLOOKUP($A113,[0]!ฝนใช้การ,3)/7</f>
        <v>6.3171428571428558E-5</v>
      </c>
      <c r="Q113" s="322">
        <f t="shared" si="25"/>
        <v>60</v>
      </c>
      <c r="R113" s="322">
        <f t="shared" si="21"/>
        <v>1.1132696327205815E-3</v>
      </c>
      <c r="S113" s="322">
        <f t="shared" si="18"/>
        <v>0.13784184106129199</v>
      </c>
      <c r="T113" s="322">
        <f t="shared" si="19"/>
        <v>84.769536520536647</v>
      </c>
      <c r="U113" s="354">
        <f t="shared" si="22"/>
        <v>141</v>
      </c>
      <c r="V113" s="354">
        <f t="shared" si="26"/>
        <v>7</v>
      </c>
      <c r="W113" s="348">
        <v>28.396000000000001</v>
      </c>
      <c r="X113" s="346">
        <v>115.60933333333337</v>
      </c>
      <c r="Y113" s="566">
        <v>46.668399999999998</v>
      </c>
    </row>
    <row r="114" spans="1:25" x14ac:dyDescent="0.15">
      <c r="A114" s="201">
        <f t="shared" si="27"/>
        <v>15</v>
      </c>
      <c r="B114" s="260">
        <f t="shared" si="20"/>
        <v>39852</v>
      </c>
      <c r="C114" s="374">
        <f t="shared" si="14"/>
        <v>217.1007039477378</v>
      </c>
      <c r="D114" s="319">
        <f t="shared" si="23"/>
        <v>84.769536520536647</v>
      </c>
      <c r="E114" s="319">
        <f>VLOOKUP(MONTH(B114),[0]!Evap,3)</f>
        <v>5.2821428571428575</v>
      </c>
      <c r="F114" s="322">
        <f t="shared" si="24"/>
        <v>4.1200714285714293</v>
      </c>
      <c r="G114" s="319">
        <f t="shared" si="15"/>
        <v>12.332155114941438</v>
      </c>
      <c r="H114" s="322">
        <f t="shared" si="16"/>
        <v>5.0809359941781235E-2</v>
      </c>
      <c r="I114" s="322">
        <f>+fill_data!B158</f>
        <v>5.6852685963059521E-2</v>
      </c>
      <c r="J114" s="322">
        <f t="shared" si="17"/>
        <v>84.775579846557932</v>
      </c>
      <c r="K114" s="322">
        <f>+fill_data!C158</f>
        <v>4.642857142857143E-3</v>
      </c>
      <c r="L114" s="322">
        <f>+fill_data!F158</f>
        <v>0</v>
      </c>
      <c r="M114" s="322">
        <f>+fill_data!D158</f>
        <v>4.446428571428572E-2</v>
      </c>
      <c r="N114" s="322">
        <f>++fill_data!E158</f>
        <v>8.7621428571428558E-2</v>
      </c>
      <c r="O114" s="322">
        <f>VLOOKUP($A114,[0]!ความต้องการน้ำ,3)/7</f>
        <v>7.3113320820377748E-4</v>
      </c>
      <c r="P114" s="322">
        <f>VLOOKUP($A114,[0]!ฝนใช้การ,3)/7</f>
        <v>6.3171428571428558E-5</v>
      </c>
      <c r="Q114" s="322">
        <f t="shared" si="25"/>
        <v>60</v>
      </c>
      <c r="R114" s="322">
        <f t="shared" si="21"/>
        <v>1.1132696327205815E-3</v>
      </c>
      <c r="S114" s="322">
        <f t="shared" si="18"/>
        <v>0.13784184106129199</v>
      </c>
      <c r="T114" s="322">
        <f t="shared" si="19"/>
        <v>84.637738005496644</v>
      </c>
      <c r="U114" s="354">
        <f t="shared" si="22"/>
        <v>141</v>
      </c>
      <c r="V114" s="354">
        <f t="shared" si="26"/>
        <v>7</v>
      </c>
      <c r="W114" s="348">
        <v>28.382999999999999</v>
      </c>
      <c r="X114" s="346">
        <v>115.42800000000004</v>
      </c>
      <c r="Y114" s="566">
        <v>46.5672</v>
      </c>
    </row>
    <row r="115" spans="1:25" x14ac:dyDescent="0.15">
      <c r="A115" s="201">
        <f t="shared" si="27"/>
        <v>15</v>
      </c>
      <c r="B115" s="260">
        <f t="shared" si="20"/>
        <v>39853</v>
      </c>
      <c r="C115" s="374">
        <f t="shared" si="14"/>
        <v>217.09038819612812</v>
      </c>
      <c r="D115" s="319">
        <f t="shared" si="23"/>
        <v>84.637738005496644</v>
      </c>
      <c r="E115" s="319">
        <f>VLOOKUP(MONTH(B115),[0]!Evap,3)</f>
        <v>5.2821428571428575</v>
      </c>
      <c r="F115" s="322">
        <f t="shared" si="24"/>
        <v>4.1200714285714293</v>
      </c>
      <c r="G115" s="319">
        <f t="shared" si="15"/>
        <v>12.3230683625204</v>
      </c>
      <c r="H115" s="322">
        <f t="shared" si="16"/>
        <v>5.0771921872752812E-2</v>
      </c>
      <c r="I115" s="322">
        <f>+fill_data!B159</f>
        <v>5.6852685963059521E-2</v>
      </c>
      <c r="J115" s="322">
        <f t="shared" si="17"/>
        <v>84.643818769586957</v>
      </c>
      <c r="K115" s="322">
        <f>+fill_data!C159</f>
        <v>4.642857142857143E-3</v>
      </c>
      <c r="L115" s="322">
        <f>+fill_data!F159</f>
        <v>0</v>
      </c>
      <c r="M115" s="322">
        <f>+fill_data!D159</f>
        <v>4.446428571428572E-2</v>
      </c>
      <c r="N115" s="322">
        <f>++fill_data!E159</f>
        <v>8.7621428571428558E-2</v>
      </c>
      <c r="O115" s="322">
        <f>VLOOKUP($A115,[0]!ความต้องการน้ำ,3)/7</f>
        <v>7.3113320820377748E-4</v>
      </c>
      <c r="P115" s="322">
        <f>VLOOKUP($A115,[0]!ฝนใช้การ,3)/7</f>
        <v>6.3171428571428558E-5</v>
      </c>
      <c r="Q115" s="322">
        <f t="shared" si="25"/>
        <v>60</v>
      </c>
      <c r="R115" s="322">
        <f t="shared" si="21"/>
        <v>1.1132696327205815E-3</v>
      </c>
      <c r="S115" s="322">
        <f t="shared" si="18"/>
        <v>0.13784184106129199</v>
      </c>
      <c r="T115" s="322">
        <f t="shared" si="19"/>
        <v>84.505976928525669</v>
      </c>
      <c r="U115" s="354">
        <f t="shared" si="22"/>
        <v>141</v>
      </c>
      <c r="V115" s="354">
        <f t="shared" si="26"/>
        <v>7</v>
      </c>
      <c r="W115" s="348">
        <v>28.37</v>
      </c>
      <c r="X115" s="346">
        <v>115.24666666666671</v>
      </c>
      <c r="Y115" s="566">
        <v>46.5672</v>
      </c>
    </row>
    <row r="116" spans="1:25" x14ac:dyDescent="0.15">
      <c r="A116" s="201">
        <f t="shared" si="27"/>
        <v>15</v>
      </c>
      <c r="B116" s="260">
        <f t="shared" si="20"/>
        <v>39854</v>
      </c>
      <c r="C116" s="374">
        <f t="shared" si="14"/>
        <v>217.08007537476254</v>
      </c>
      <c r="D116" s="319">
        <f t="shared" si="23"/>
        <v>84.505976928525669</v>
      </c>
      <c r="E116" s="319">
        <f>VLOOKUP(MONTH(B116),[0]!Evap,3)</f>
        <v>5.2821428571428575</v>
      </c>
      <c r="F116" s="322">
        <f t="shared" si="24"/>
        <v>4.1200714285714293</v>
      </c>
      <c r="G116" s="319">
        <f t="shared" si="15"/>
        <v>12.313984191239706</v>
      </c>
      <c r="H116" s="322">
        <f t="shared" si="16"/>
        <v>5.0734494438206976E-2</v>
      </c>
      <c r="I116" s="322">
        <f>+fill_data!B160</f>
        <v>5.6852685963059521E-2</v>
      </c>
      <c r="J116" s="322">
        <f t="shared" si="17"/>
        <v>84.512095120050532</v>
      </c>
      <c r="K116" s="322">
        <f>+fill_data!C160</f>
        <v>4.642857142857143E-3</v>
      </c>
      <c r="L116" s="322">
        <f>+fill_data!F160</f>
        <v>0</v>
      </c>
      <c r="M116" s="322">
        <f>+fill_data!D160</f>
        <v>4.446428571428572E-2</v>
      </c>
      <c r="N116" s="322">
        <f>++fill_data!E160</f>
        <v>8.7621428571428558E-2</v>
      </c>
      <c r="O116" s="322">
        <f>VLOOKUP($A116,[0]!ความต้องการน้ำ,3)/7</f>
        <v>7.3113320820377748E-4</v>
      </c>
      <c r="P116" s="322">
        <f>VLOOKUP($A116,[0]!ฝนใช้การ,3)/7</f>
        <v>6.3171428571428558E-5</v>
      </c>
      <c r="Q116" s="322">
        <f t="shared" si="25"/>
        <v>60</v>
      </c>
      <c r="R116" s="322">
        <f t="shared" si="21"/>
        <v>1.1132696327205815E-3</v>
      </c>
      <c r="S116" s="322">
        <f t="shared" si="18"/>
        <v>0.13784184106129199</v>
      </c>
      <c r="T116" s="322">
        <f t="shared" si="19"/>
        <v>84.374253278989244</v>
      </c>
      <c r="U116" s="354">
        <f t="shared" si="22"/>
        <v>141</v>
      </c>
      <c r="V116" s="354">
        <f t="shared" si="26"/>
        <v>7</v>
      </c>
      <c r="W116" s="348">
        <v>28.356999999999999</v>
      </c>
      <c r="X116" s="346">
        <v>115.06533333333338</v>
      </c>
      <c r="Y116" s="566">
        <v>46.466000000000001</v>
      </c>
    </row>
    <row r="117" spans="1:25" x14ac:dyDescent="0.15">
      <c r="A117" s="201">
        <f t="shared" si="27"/>
        <v>15</v>
      </c>
      <c r="B117" s="260">
        <f t="shared" si="20"/>
        <v>39855</v>
      </c>
      <c r="C117" s="374">
        <f t="shared" si="14"/>
        <v>217.06976548280872</v>
      </c>
      <c r="D117" s="319">
        <f t="shared" si="23"/>
        <v>84.374253278989244</v>
      </c>
      <c r="E117" s="319">
        <f>VLOOKUP(MONTH(B117),[0]!Evap,3)</f>
        <v>5.2821428571428575</v>
      </c>
      <c r="F117" s="322">
        <f t="shared" si="24"/>
        <v>4.1200714285714293</v>
      </c>
      <c r="G117" s="319">
        <f t="shared" si="15"/>
        <v>12.304902600366169</v>
      </c>
      <c r="H117" s="322">
        <f t="shared" si="16"/>
        <v>5.069707763512294E-2</v>
      </c>
      <c r="I117" s="322">
        <f>+fill_data!B161</f>
        <v>5.6852685963059521E-2</v>
      </c>
      <c r="J117" s="322">
        <f t="shared" si="17"/>
        <v>84.380408887317188</v>
      </c>
      <c r="K117" s="322">
        <f>+fill_data!C161</f>
        <v>4.642857142857143E-3</v>
      </c>
      <c r="L117" s="322">
        <f>+fill_data!F161</f>
        <v>0</v>
      </c>
      <c r="M117" s="322">
        <f>+fill_data!D161</f>
        <v>4.446428571428572E-2</v>
      </c>
      <c r="N117" s="322">
        <f>++fill_data!E161</f>
        <v>8.7621428571428558E-2</v>
      </c>
      <c r="O117" s="322">
        <f>VLOOKUP($A117,[0]!ความต้องการน้ำ,3)/7</f>
        <v>7.3113320820377748E-4</v>
      </c>
      <c r="P117" s="322">
        <f>VLOOKUP($A117,[0]!ฝนใช้การ,3)/7</f>
        <v>6.3171428571428558E-5</v>
      </c>
      <c r="Q117" s="322">
        <f t="shared" si="25"/>
        <v>60</v>
      </c>
      <c r="R117" s="322">
        <f t="shared" si="21"/>
        <v>1.1132696327205815E-3</v>
      </c>
      <c r="S117" s="322">
        <f t="shared" si="18"/>
        <v>0.13784184106129199</v>
      </c>
      <c r="T117" s="322">
        <f t="shared" si="19"/>
        <v>84.2425670462559</v>
      </c>
      <c r="U117" s="354">
        <f t="shared" si="22"/>
        <v>141</v>
      </c>
      <c r="V117" s="354">
        <f t="shared" si="26"/>
        <v>7</v>
      </c>
      <c r="W117" s="348">
        <v>28.344000000000001</v>
      </c>
      <c r="X117" s="346">
        <v>114.88400000000006</v>
      </c>
      <c r="Y117" s="566">
        <v>46.263599999999997</v>
      </c>
    </row>
    <row r="118" spans="1:25" x14ac:dyDescent="0.15">
      <c r="A118" s="201">
        <f t="shared" si="27"/>
        <v>15</v>
      </c>
      <c r="B118" s="260">
        <f t="shared" si="20"/>
        <v>39856</v>
      </c>
      <c r="C118" s="374">
        <f t="shared" si="14"/>
        <v>217.05945851943451</v>
      </c>
      <c r="D118" s="319">
        <f t="shared" si="23"/>
        <v>84.2425670462559</v>
      </c>
      <c r="E118" s="319">
        <f>VLOOKUP(MONTH(B118),[0]!Evap,3)</f>
        <v>5.2821428571428575</v>
      </c>
      <c r="F118" s="322">
        <f t="shared" si="24"/>
        <v>4.1200714285714293</v>
      </c>
      <c r="G118" s="319">
        <f t="shared" si="15"/>
        <v>12.295823589166812</v>
      </c>
      <c r="H118" s="322">
        <f t="shared" si="16"/>
        <v>5.0659671460480789E-2</v>
      </c>
      <c r="I118" s="322">
        <f>+fill_data!B162</f>
        <v>5.6852685963059521E-2</v>
      </c>
      <c r="J118" s="322">
        <f t="shared" si="17"/>
        <v>84.248760060758485</v>
      </c>
      <c r="K118" s="322">
        <f>+fill_data!C162</f>
        <v>4.642857142857143E-3</v>
      </c>
      <c r="L118" s="322">
        <f>+fill_data!F162</f>
        <v>0</v>
      </c>
      <c r="M118" s="322">
        <f>+fill_data!D162</f>
        <v>4.446428571428572E-2</v>
      </c>
      <c r="N118" s="322">
        <f>++fill_data!E162</f>
        <v>8.7621428571428558E-2</v>
      </c>
      <c r="O118" s="322">
        <f>VLOOKUP($A118,[0]!ความต้องการน้ำ,3)/7</f>
        <v>7.3113320820377748E-4</v>
      </c>
      <c r="P118" s="322">
        <f>VLOOKUP($A118,[0]!ฝนใช้การ,3)/7</f>
        <v>6.3171428571428558E-5</v>
      </c>
      <c r="Q118" s="322">
        <f t="shared" si="25"/>
        <v>60</v>
      </c>
      <c r="R118" s="322">
        <f t="shared" si="21"/>
        <v>1.1132696327205815E-3</v>
      </c>
      <c r="S118" s="322">
        <f t="shared" si="18"/>
        <v>0.13784184106129199</v>
      </c>
      <c r="T118" s="322">
        <f t="shared" si="19"/>
        <v>84.110918219697197</v>
      </c>
      <c r="U118" s="354">
        <f t="shared" si="22"/>
        <v>141</v>
      </c>
      <c r="V118" s="354">
        <f t="shared" si="26"/>
        <v>7</v>
      </c>
      <c r="W118" s="348">
        <v>28.331</v>
      </c>
      <c r="X118" s="346">
        <v>114.70266666666673</v>
      </c>
      <c r="Y118" s="566">
        <v>46.061199999999999</v>
      </c>
    </row>
    <row r="119" spans="1:25" x14ac:dyDescent="0.15">
      <c r="A119" s="201">
        <f t="shared" si="27"/>
        <v>15</v>
      </c>
      <c r="B119" s="260">
        <f t="shared" si="20"/>
        <v>39857</v>
      </c>
      <c r="C119" s="374">
        <f t="shared" si="14"/>
        <v>217.04915448380805</v>
      </c>
      <c r="D119" s="319">
        <f t="shared" si="23"/>
        <v>84.110918219697197</v>
      </c>
      <c r="E119" s="319">
        <f>VLOOKUP(MONTH(B119),[0]!Evap,3)</f>
        <v>5.2821428571428575</v>
      </c>
      <c r="F119" s="322">
        <f t="shared" si="24"/>
        <v>4.1200714285714293</v>
      </c>
      <c r="G119" s="319">
        <f t="shared" si="15"/>
        <v>12.286747156908861</v>
      </c>
      <c r="H119" s="322">
        <f t="shared" si="16"/>
        <v>5.0622275911261443E-2</v>
      </c>
      <c r="I119" s="322">
        <f>+fill_data!B163</f>
        <v>5.6852685963059521E-2</v>
      </c>
      <c r="J119" s="322">
        <f t="shared" si="17"/>
        <v>84.117148629748996</v>
      </c>
      <c r="K119" s="322">
        <f>+fill_data!C163</f>
        <v>4.642857142857143E-3</v>
      </c>
      <c r="L119" s="322">
        <f>+fill_data!F163</f>
        <v>0</v>
      </c>
      <c r="M119" s="322">
        <f>+fill_data!D163</f>
        <v>4.446428571428572E-2</v>
      </c>
      <c r="N119" s="322">
        <f>++fill_data!E163</f>
        <v>8.7621428571428558E-2</v>
      </c>
      <c r="O119" s="322">
        <f>VLOOKUP($A119,[0]!ความต้องการน้ำ,3)/7</f>
        <v>7.3113320820377748E-4</v>
      </c>
      <c r="P119" s="322">
        <f>VLOOKUP($A119,[0]!ฝนใช้การ,3)/7</f>
        <v>6.3171428571428558E-5</v>
      </c>
      <c r="Q119" s="322">
        <f t="shared" si="25"/>
        <v>60</v>
      </c>
      <c r="R119" s="322">
        <f t="shared" si="21"/>
        <v>1.1132696327205815E-3</v>
      </c>
      <c r="S119" s="322">
        <f t="shared" si="18"/>
        <v>0.13784184106129199</v>
      </c>
      <c r="T119" s="322">
        <f t="shared" si="19"/>
        <v>83.979306788687708</v>
      </c>
      <c r="U119" s="354">
        <f t="shared" si="22"/>
        <v>141</v>
      </c>
      <c r="V119" s="354">
        <f t="shared" si="26"/>
        <v>7</v>
      </c>
      <c r="W119" s="348">
        <v>28.318000000000001</v>
      </c>
      <c r="X119" s="346">
        <v>114.5213333333334</v>
      </c>
      <c r="Y119" s="566">
        <v>45.757599999999996</v>
      </c>
    </row>
    <row r="120" spans="1:25" x14ac:dyDescent="0.15">
      <c r="A120" s="201">
        <v>16</v>
      </c>
      <c r="B120" s="260">
        <f t="shared" si="20"/>
        <v>39858</v>
      </c>
      <c r="C120" s="374">
        <f t="shared" si="14"/>
        <v>217.03885337509772</v>
      </c>
      <c r="D120" s="319">
        <f t="shared" si="23"/>
        <v>83.979306788687708</v>
      </c>
      <c r="E120" s="319">
        <f>VLOOKUP(MONTH(B120),[0]!Evap,3)</f>
        <v>5.2821428571428575</v>
      </c>
      <c r="F120" s="322">
        <f t="shared" si="24"/>
        <v>4.1200714285714293</v>
      </c>
      <c r="G120" s="319">
        <f t="shared" si="15"/>
        <v>12.277673302859757</v>
      </c>
      <c r="H120" s="322">
        <f t="shared" si="16"/>
        <v>5.0584890984446698E-2</v>
      </c>
      <c r="I120" s="322">
        <f>+fill_data!B164</f>
        <v>5.6852685963059521E-2</v>
      </c>
      <c r="J120" s="322">
        <f t="shared" si="17"/>
        <v>83.98557458366632</v>
      </c>
      <c r="K120" s="322">
        <f>+fill_data!C164</f>
        <v>4.642857142857143E-3</v>
      </c>
      <c r="L120" s="322">
        <f>+fill_data!F164</f>
        <v>0</v>
      </c>
      <c r="M120" s="322">
        <f>+fill_data!D164</f>
        <v>4.446428571428572E-2</v>
      </c>
      <c r="N120" s="322">
        <f>++fill_data!E164</f>
        <v>8.7621428571428558E-2</v>
      </c>
      <c r="O120" s="322">
        <f>VLOOKUP($A120,[0]!ความต้องการน้ำ,3)/7</f>
        <v>6.2170735234886004E-4</v>
      </c>
      <c r="P120" s="322">
        <f>VLOOKUP($A120,[0]!ฝนใช้การ,3)/7</f>
        <v>6.3171428571428558E-5</v>
      </c>
      <c r="Q120" s="322">
        <f t="shared" si="25"/>
        <v>60</v>
      </c>
      <c r="R120" s="322">
        <f t="shared" si="21"/>
        <v>9.3089320629571913E-4</v>
      </c>
      <c r="S120" s="322">
        <f t="shared" si="18"/>
        <v>0.13765946463486714</v>
      </c>
      <c r="T120" s="322">
        <f t="shared" si="19"/>
        <v>83.847915119031455</v>
      </c>
      <c r="U120" s="354">
        <f t="shared" si="22"/>
        <v>141</v>
      </c>
      <c r="V120" s="354">
        <f t="shared" si="26"/>
        <v>7</v>
      </c>
      <c r="W120" s="348">
        <v>28.305</v>
      </c>
      <c r="X120" s="346">
        <v>114.34000000000007</v>
      </c>
      <c r="Y120" s="566">
        <v>45.555199999999999</v>
      </c>
    </row>
    <row r="121" spans="1:25" x14ac:dyDescent="0.15">
      <c r="A121" s="201">
        <f t="shared" si="27"/>
        <v>16</v>
      </c>
      <c r="B121" s="260">
        <f t="shared" si="20"/>
        <v>39859</v>
      </c>
      <c r="C121" s="374">
        <f t="shared" si="14"/>
        <v>217.02856946691148</v>
      </c>
      <c r="D121" s="319">
        <f t="shared" si="23"/>
        <v>83.847915119031455</v>
      </c>
      <c r="E121" s="319">
        <f>VLOOKUP(MONTH(B121),[0]!Evap,3)</f>
        <v>5.2821428571428575</v>
      </c>
      <c r="F121" s="322">
        <f t="shared" si="24"/>
        <v>4.1200714285714293</v>
      </c>
      <c r="G121" s="319">
        <f t="shared" si="15"/>
        <v>12.26861460009675</v>
      </c>
      <c r="H121" s="322">
        <f t="shared" si="16"/>
        <v>5.0547568482012917E-2</v>
      </c>
      <c r="I121" s="322">
        <f>+fill_data!B165</f>
        <v>5.6852685963059521E-2</v>
      </c>
      <c r="J121" s="322">
        <f t="shared" si="17"/>
        <v>83.854220236512504</v>
      </c>
      <c r="K121" s="322">
        <f>+fill_data!C165</f>
        <v>4.642857142857143E-3</v>
      </c>
      <c r="L121" s="322">
        <f>+fill_data!F165</f>
        <v>0</v>
      </c>
      <c r="M121" s="322">
        <f>+fill_data!D165</f>
        <v>4.446428571428572E-2</v>
      </c>
      <c r="N121" s="322">
        <f>++fill_data!E165</f>
        <v>8.7621428571428558E-2</v>
      </c>
      <c r="O121" s="322">
        <f>VLOOKUP($A121,[0]!ความต้องการน้ำ,3)/7</f>
        <v>6.2170735234886004E-4</v>
      </c>
      <c r="P121" s="322">
        <f>VLOOKUP($A121,[0]!ฝนใช้การ,3)/7</f>
        <v>6.3171428571428558E-5</v>
      </c>
      <c r="Q121" s="322">
        <f t="shared" si="25"/>
        <v>60</v>
      </c>
      <c r="R121" s="322">
        <f t="shared" si="21"/>
        <v>9.3089320629571913E-4</v>
      </c>
      <c r="S121" s="322">
        <f t="shared" si="18"/>
        <v>0.13765946463486714</v>
      </c>
      <c r="T121" s="322">
        <f t="shared" si="19"/>
        <v>83.716560771877639</v>
      </c>
      <c r="U121" s="354">
        <f t="shared" si="22"/>
        <v>141</v>
      </c>
      <c r="V121" s="354">
        <f t="shared" si="26"/>
        <v>7</v>
      </c>
      <c r="W121" s="348">
        <v>28.292000000000002</v>
      </c>
      <c r="X121" s="346">
        <v>114.15866666666675</v>
      </c>
      <c r="Y121" s="566">
        <v>45.352800000000002</v>
      </c>
    </row>
    <row r="122" spans="1:25" x14ac:dyDescent="0.15">
      <c r="A122" s="201">
        <f t="shared" si="27"/>
        <v>16</v>
      </c>
      <c r="B122" s="260">
        <f t="shared" si="20"/>
        <v>39860</v>
      </c>
      <c r="C122" s="374">
        <f t="shared" si="14"/>
        <v>217.01828847992402</v>
      </c>
      <c r="D122" s="319">
        <f t="shared" si="23"/>
        <v>83.716560771877639</v>
      </c>
      <c r="E122" s="319">
        <f>VLOOKUP(MONTH(B122),[0]!Evap,3)</f>
        <v>5.2821428571428575</v>
      </c>
      <c r="F122" s="322">
        <f t="shared" si="24"/>
        <v>4.1200714285714293</v>
      </c>
      <c r="G122" s="319">
        <f t="shared" si="15"/>
        <v>12.259558470506432</v>
      </c>
      <c r="H122" s="322">
        <f t="shared" si="16"/>
        <v>5.0510256581234404E-2</v>
      </c>
      <c r="I122" s="322">
        <f>+fill_data!B166</f>
        <v>5.6852685963059521E-2</v>
      </c>
      <c r="J122" s="322">
        <f t="shared" si="17"/>
        <v>83.72290320125947</v>
      </c>
      <c r="K122" s="322">
        <f>+fill_data!C166</f>
        <v>4.642857142857143E-3</v>
      </c>
      <c r="L122" s="322">
        <f>+fill_data!F166</f>
        <v>0</v>
      </c>
      <c r="M122" s="322">
        <f>+fill_data!D166</f>
        <v>4.446428571428572E-2</v>
      </c>
      <c r="N122" s="322">
        <f>++fill_data!E166</f>
        <v>8.7621428571428558E-2</v>
      </c>
      <c r="O122" s="322">
        <f>VLOOKUP($A122,[0]!ความต้องการน้ำ,3)/7</f>
        <v>6.2170735234886004E-4</v>
      </c>
      <c r="P122" s="322">
        <f>VLOOKUP($A122,[0]!ฝนใช้การ,3)/7</f>
        <v>6.3171428571428558E-5</v>
      </c>
      <c r="Q122" s="322">
        <f t="shared" si="25"/>
        <v>60</v>
      </c>
      <c r="R122" s="322">
        <f t="shared" si="21"/>
        <v>9.3089320629571913E-4</v>
      </c>
      <c r="S122" s="322">
        <f t="shared" si="18"/>
        <v>0.13765946463486714</v>
      </c>
      <c r="T122" s="322">
        <f t="shared" si="19"/>
        <v>83.585243736624605</v>
      </c>
      <c r="U122" s="354">
        <f t="shared" si="22"/>
        <v>141</v>
      </c>
      <c r="V122" s="354">
        <f t="shared" si="26"/>
        <v>7</v>
      </c>
      <c r="W122" s="348">
        <v>28.279</v>
      </c>
      <c r="X122" s="346">
        <v>113.97733333333342</v>
      </c>
      <c r="Y122" s="566">
        <v>45.150399999999998</v>
      </c>
    </row>
    <row r="123" spans="1:25" x14ac:dyDescent="0.15">
      <c r="A123" s="201">
        <f t="shared" si="27"/>
        <v>16</v>
      </c>
      <c r="B123" s="260">
        <f t="shared" si="20"/>
        <v>39861</v>
      </c>
      <c r="C123" s="374">
        <f t="shared" si="14"/>
        <v>217.00801041330561</v>
      </c>
      <c r="D123" s="319">
        <f t="shared" si="23"/>
        <v>83.585243736624605</v>
      </c>
      <c r="E123" s="319">
        <f>VLOOKUP(MONTH(B123),[0]!Evap,3)</f>
        <v>5.2821428571428575</v>
      </c>
      <c r="F123" s="322">
        <f t="shared" si="24"/>
        <v>4.1200714285714293</v>
      </c>
      <c r="G123" s="319">
        <f t="shared" si="15"/>
        <v>12.250504913357881</v>
      </c>
      <c r="H123" s="322">
        <f t="shared" si="16"/>
        <v>5.0472955279099722E-2</v>
      </c>
      <c r="I123" s="322">
        <f>+fill_data!B167</f>
        <v>5.6852685963059521E-2</v>
      </c>
      <c r="J123" s="322">
        <f t="shared" si="17"/>
        <v>83.591623467308565</v>
      </c>
      <c r="K123" s="322">
        <f>+fill_data!C167</f>
        <v>4.642857142857143E-3</v>
      </c>
      <c r="L123" s="322">
        <f>+fill_data!F167</f>
        <v>0</v>
      </c>
      <c r="M123" s="322">
        <f>+fill_data!D167</f>
        <v>4.446428571428572E-2</v>
      </c>
      <c r="N123" s="322">
        <f>++fill_data!E167</f>
        <v>8.7621428571428558E-2</v>
      </c>
      <c r="O123" s="322">
        <f>VLOOKUP($A123,[0]!ความต้องการน้ำ,3)/7</f>
        <v>6.2170735234886004E-4</v>
      </c>
      <c r="P123" s="322">
        <f>VLOOKUP($A123,[0]!ฝนใช้การ,3)/7</f>
        <v>6.3171428571428558E-5</v>
      </c>
      <c r="Q123" s="322">
        <f t="shared" si="25"/>
        <v>60</v>
      </c>
      <c r="R123" s="322">
        <f t="shared" si="21"/>
        <v>9.3089320629571913E-4</v>
      </c>
      <c r="S123" s="322">
        <f t="shared" si="18"/>
        <v>0.13765946463486714</v>
      </c>
      <c r="T123" s="322">
        <f t="shared" si="19"/>
        <v>83.4539640026737</v>
      </c>
      <c r="U123" s="354">
        <f t="shared" si="22"/>
        <v>141</v>
      </c>
      <c r="V123" s="354">
        <f t="shared" si="26"/>
        <v>7</v>
      </c>
      <c r="W123" s="348">
        <v>28.265999999999998</v>
      </c>
      <c r="X123" s="346">
        <v>113.79600000000009</v>
      </c>
      <c r="Y123" s="566">
        <v>44.948</v>
      </c>
    </row>
    <row r="124" spans="1:25" x14ac:dyDescent="0.15">
      <c r="A124" s="201">
        <f t="shared" si="27"/>
        <v>16</v>
      </c>
      <c r="B124" s="260">
        <f t="shared" si="20"/>
        <v>39862</v>
      </c>
      <c r="C124" s="374">
        <f t="shared" si="14"/>
        <v>216.99765063694099</v>
      </c>
      <c r="D124" s="319">
        <f t="shared" si="23"/>
        <v>83.4539640026737</v>
      </c>
      <c r="E124" s="319">
        <f>VLOOKUP(MONTH(B124),[0]!Evap,3)</f>
        <v>5.2821428571428575</v>
      </c>
      <c r="F124" s="322">
        <f t="shared" si="24"/>
        <v>4.1200714285714293</v>
      </c>
      <c r="G124" s="319">
        <f t="shared" si="15"/>
        <v>12.241374313247508</v>
      </c>
      <c r="H124" s="322">
        <f t="shared" si="16"/>
        <v>5.0435336554459261E-2</v>
      </c>
      <c r="I124" s="322">
        <f>+fill_data!B168</f>
        <v>5.6852685963059521E-2</v>
      </c>
      <c r="J124" s="322">
        <f t="shared" si="17"/>
        <v>83.460381352082308</v>
      </c>
      <c r="K124" s="322">
        <f>+fill_data!C168</f>
        <v>4.642857142857143E-3</v>
      </c>
      <c r="L124" s="322">
        <f>+fill_data!F168</f>
        <v>0</v>
      </c>
      <c r="M124" s="322">
        <f>+fill_data!D168</f>
        <v>4.446428571428572E-2</v>
      </c>
      <c r="N124" s="322">
        <f>++fill_data!E168</f>
        <v>8.7621428571428558E-2</v>
      </c>
      <c r="O124" s="322">
        <f>VLOOKUP($A124,[0]!ความต้องการน้ำ,3)/7</f>
        <v>6.2170735234886004E-4</v>
      </c>
      <c r="P124" s="322">
        <f>VLOOKUP($A124,[0]!ฝนใช้การ,3)/7</f>
        <v>6.3171428571428558E-5</v>
      </c>
      <c r="Q124" s="322">
        <f t="shared" si="25"/>
        <v>60</v>
      </c>
      <c r="R124" s="322">
        <f t="shared" si="21"/>
        <v>9.3089320629571913E-4</v>
      </c>
      <c r="S124" s="322">
        <f t="shared" si="18"/>
        <v>0.13765946463486714</v>
      </c>
      <c r="T124" s="322">
        <f t="shared" si="19"/>
        <v>83.322721887447443</v>
      </c>
      <c r="U124" s="354">
        <f t="shared" si="22"/>
        <v>141</v>
      </c>
      <c r="V124" s="354">
        <f t="shared" si="26"/>
        <v>7</v>
      </c>
      <c r="W124" s="348">
        <v>28.253</v>
      </c>
      <c r="X124" s="346">
        <v>113.61466666666676</v>
      </c>
      <c r="Y124" s="566">
        <v>44.745600000000003</v>
      </c>
    </row>
    <row r="125" spans="1:25" x14ac:dyDescent="0.15">
      <c r="A125" s="201">
        <f t="shared" si="27"/>
        <v>16</v>
      </c>
      <c r="B125" s="260">
        <f t="shared" si="20"/>
        <v>39863</v>
      </c>
      <c r="C125" s="374">
        <f t="shared" si="14"/>
        <v>216.98699457933694</v>
      </c>
      <c r="D125" s="319">
        <f t="shared" si="23"/>
        <v>83.322721887447443</v>
      </c>
      <c r="E125" s="319">
        <f>VLOOKUP(MONTH(B125),[0]!Evap,3)</f>
        <v>5.2821428571428575</v>
      </c>
      <c r="F125" s="322">
        <f t="shared" si="24"/>
        <v>4.1200714285714293</v>
      </c>
      <c r="G125" s="319">
        <f t="shared" si="15"/>
        <v>12.231964811385945</v>
      </c>
      <c r="H125" s="322">
        <f t="shared" si="16"/>
        <v>5.0396568734682345E-2</v>
      </c>
      <c r="I125" s="322">
        <f>+fill_data!B169</f>
        <v>5.6852685963059521E-2</v>
      </c>
      <c r="J125" s="322">
        <f t="shared" si="17"/>
        <v>83.329178004675825</v>
      </c>
      <c r="K125" s="322">
        <f>+fill_data!C169</f>
        <v>4.642857142857143E-3</v>
      </c>
      <c r="L125" s="322">
        <f>+fill_data!F169</f>
        <v>0</v>
      </c>
      <c r="M125" s="322">
        <f>+fill_data!D169</f>
        <v>4.446428571428572E-2</v>
      </c>
      <c r="N125" s="322">
        <f>++fill_data!E169</f>
        <v>8.7621428571428558E-2</v>
      </c>
      <c r="O125" s="322">
        <f>VLOOKUP($A125,[0]!ความต้องการน้ำ,3)/7</f>
        <v>6.2170735234886004E-4</v>
      </c>
      <c r="P125" s="322">
        <f>VLOOKUP($A125,[0]!ฝนใช้การ,3)/7</f>
        <v>6.3171428571428558E-5</v>
      </c>
      <c r="Q125" s="322">
        <f t="shared" si="25"/>
        <v>60</v>
      </c>
      <c r="R125" s="322">
        <f t="shared" si="21"/>
        <v>9.3089320629571913E-4</v>
      </c>
      <c r="S125" s="322">
        <f t="shared" si="18"/>
        <v>0.13765946463486714</v>
      </c>
      <c r="T125" s="322">
        <f t="shared" si="19"/>
        <v>83.19151854004096</v>
      </c>
      <c r="U125" s="354">
        <f t="shared" si="22"/>
        <v>141</v>
      </c>
      <c r="V125" s="354">
        <f t="shared" si="26"/>
        <v>7</v>
      </c>
      <c r="W125" s="348">
        <v>28.24</v>
      </c>
      <c r="X125" s="346">
        <v>113.43333333333344</v>
      </c>
      <c r="Y125" s="566">
        <v>44.543199999999999</v>
      </c>
    </row>
    <row r="126" spans="1:25" x14ac:dyDescent="0.15">
      <c r="A126" s="201">
        <f t="shared" si="27"/>
        <v>16</v>
      </c>
      <c r="B126" s="260">
        <f t="shared" si="20"/>
        <v>39864</v>
      </c>
      <c r="C126" s="374">
        <f t="shared" si="14"/>
        <v>216.97634166944292</v>
      </c>
      <c r="D126" s="319">
        <f t="shared" si="23"/>
        <v>83.19151854004096</v>
      </c>
      <c r="E126" s="319">
        <f>VLOOKUP(MONTH(B126),[0]!Evap,3)</f>
        <v>5.2821428571428575</v>
      </c>
      <c r="F126" s="322">
        <f t="shared" si="24"/>
        <v>4.1200714285714293</v>
      </c>
      <c r="G126" s="319">
        <f t="shared" si="15"/>
        <v>12.222558089012288</v>
      </c>
      <c r="H126" s="322">
        <f t="shared" si="16"/>
        <v>5.0357812366594139E-2</v>
      </c>
      <c r="I126" s="322">
        <f>+fill_data!B170</f>
        <v>5.6852685963059521E-2</v>
      </c>
      <c r="J126" s="322">
        <f t="shared" si="17"/>
        <v>83.198013413637426</v>
      </c>
      <c r="K126" s="322">
        <f>+fill_data!C170</f>
        <v>4.642857142857143E-3</v>
      </c>
      <c r="L126" s="322">
        <f>+fill_data!F170</f>
        <v>0</v>
      </c>
      <c r="M126" s="322">
        <f>+fill_data!D170</f>
        <v>4.446428571428572E-2</v>
      </c>
      <c r="N126" s="322">
        <f>++fill_data!E170</f>
        <v>8.7621428571428558E-2</v>
      </c>
      <c r="O126" s="322">
        <f>VLOOKUP($A126,[0]!ความต้องการน้ำ,3)/7</f>
        <v>6.2170735234886004E-4</v>
      </c>
      <c r="P126" s="322">
        <f>VLOOKUP($A126,[0]!ฝนใช้การ,3)/7</f>
        <v>6.3171428571428558E-5</v>
      </c>
      <c r="Q126" s="322">
        <f t="shared" si="25"/>
        <v>60</v>
      </c>
      <c r="R126" s="322">
        <f t="shared" si="21"/>
        <v>9.3089320629571913E-4</v>
      </c>
      <c r="S126" s="322">
        <f t="shared" si="18"/>
        <v>0.13765946463486714</v>
      </c>
      <c r="T126" s="322">
        <f t="shared" si="19"/>
        <v>83.060353949002561</v>
      </c>
      <c r="U126" s="354">
        <f t="shared" si="22"/>
        <v>141</v>
      </c>
      <c r="V126" s="354">
        <f t="shared" si="26"/>
        <v>7</v>
      </c>
      <c r="W126" s="348">
        <v>28.227</v>
      </c>
      <c r="X126" s="346">
        <v>113.25200000000011</v>
      </c>
      <c r="Y126" s="566">
        <v>44.138399999999997</v>
      </c>
    </row>
    <row r="127" spans="1:25" x14ac:dyDescent="0.15">
      <c r="A127" s="201">
        <v>17</v>
      </c>
      <c r="B127" s="260">
        <f t="shared" si="20"/>
        <v>39865</v>
      </c>
      <c r="C127" s="374">
        <f t="shared" si="14"/>
        <v>216.96569190632911</v>
      </c>
      <c r="D127" s="319">
        <f t="shared" si="23"/>
        <v>83.060353949002561</v>
      </c>
      <c r="E127" s="319">
        <f>VLOOKUP(MONTH(B127),[0]!Evap,3)</f>
        <v>5.2821428571428575</v>
      </c>
      <c r="F127" s="322">
        <f t="shared" si="24"/>
        <v>4.1200714285714293</v>
      </c>
      <c r="G127" s="319">
        <f t="shared" si="15"/>
        <v>12.213154145305504</v>
      </c>
      <c r="H127" s="322">
        <f t="shared" si="16"/>
        <v>5.0319067446811923E-2</v>
      </c>
      <c r="I127" s="322">
        <f>+fill_data!B171</f>
        <v>5.6852685963059521E-2</v>
      </c>
      <c r="J127" s="322">
        <f t="shared" si="17"/>
        <v>83.066887567518819</v>
      </c>
      <c r="K127" s="322">
        <f>+fill_data!C171</f>
        <v>4.642857142857143E-3</v>
      </c>
      <c r="L127" s="322">
        <f>+fill_data!F171</f>
        <v>0</v>
      </c>
      <c r="M127" s="322">
        <f>+fill_data!D171</f>
        <v>4.446428571428572E-2</v>
      </c>
      <c r="N127" s="322">
        <f>++fill_data!E171</f>
        <v>8.7621428571428558E-2</v>
      </c>
      <c r="O127" s="322">
        <f>VLOOKUP($A127,[0]!ความต้องการน้ำ,3)/7</f>
        <v>5.7531128127804969E-4</v>
      </c>
      <c r="P127" s="322">
        <f>VLOOKUP($A127,[0]!ฝนใช้การ,3)/7</f>
        <v>5.8457142857142856E-5</v>
      </c>
      <c r="Q127" s="322">
        <f t="shared" si="25"/>
        <v>60</v>
      </c>
      <c r="R127" s="322">
        <f t="shared" si="21"/>
        <v>8.6142356403484481E-4</v>
      </c>
      <c r="S127" s="322">
        <f t="shared" si="18"/>
        <v>0.13758999499260627</v>
      </c>
      <c r="T127" s="322">
        <f t="shared" si="19"/>
        <v>82.92929757252621</v>
      </c>
      <c r="U127" s="354">
        <f t="shared" si="22"/>
        <v>141</v>
      </c>
      <c r="V127" s="354">
        <f t="shared" si="26"/>
        <v>7</v>
      </c>
      <c r="W127" s="348">
        <v>28.213999999999999</v>
      </c>
      <c r="X127" s="346">
        <v>113.07066666666678</v>
      </c>
      <c r="Y127" s="566">
        <v>43.834800000000001</v>
      </c>
    </row>
    <row r="128" spans="1:25" x14ac:dyDescent="0.15">
      <c r="A128" s="201">
        <f t="shared" si="27"/>
        <v>17</v>
      </c>
      <c r="B128" s="260">
        <f t="shared" si="20"/>
        <v>39866</v>
      </c>
      <c r="C128" s="374">
        <f t="shared" si="14"/>
        <v>216.95505092957632</v>
      </c>
      <c r="D128" s="319">
        <f t="shared" si="23"/>
        <v>82.92929757252621</v>
      </c>
      <c r="E128" s="319">
        <f>VLOOKUP(MONTH(B128),[0]!Evap,3)</f>
        <v>5.2821428571428575</v>
      </c>
      <c r="F128" s="322">
        <f t="shared" si="24"/>
        <v>4.1200714285714293</v>
      </c>
      <c r="G128" s="319">
        <f t="shared" si="15"/>
        <v>12.203757960122887</v>
      </c>
      <c r="H128" s="322">
        <f t="shared" si="16"/>
        <v>5.0280354492703461E-2</v>
      </c>
      <c r="I128" s="322">
        <f>+fill_data!B172</f>
        <v>5.6852685963059521E-2</v>
      </c>
      <c r="J128" s="322">
        <f t="shared" si="17"/>
        <v>82.935869903996576</v>
      </c>
      <c r="K128" s="322">
        <f>+fill_data!C172</f>
        <v>4.642857142857143E-3</v>
      </c>
      <c r="L128" s="322">
        <f>+fill_data!F172</f>
        <v>0</v>
      </c>
      <c r="M128" s="322">
        <f>+fill_data!D172</f>
        <v>4.446428571428572E-2</v>
      </c>
      <c r="N128" s="322">
        <f>++fill_data!E172</f>
        <v>8.7621428571428558E-2</v>
      </c>
      <c r="O128" s="322">
        <f>VLOOKUP($A128,[0]!ความต้องการน้ำ,3)/7</f>
        <v>5.7531128127804969E-4</v>
      </c>
      <c r="P128" s="322">
        <f>VLOOKUP($A128,[0]!ฝนใช้การ,3)/7</f>
        <v>5.8457142857142856E-5</v>
      </c>
      <c r="Q128" s="322">
        <f t="shared" si="25"/>
        <v>60</v>
      </c>
      <c r="R128" s="322">
        <f t="shared" si="21"/>
        <v>8.6142356403484481E-4</v>
      </c>
      <c r="S128" s="322">
        <f t="shared" si="18"/>
        <v>0.13758999499260627</v>
      </c>
      <c r="T128" s="322">
        <f t="shared" si="19"/>
        <v>82.798279909003966</v>
      </c>
      <c r="U128" s="354">
        <f t="shared" si="22"/>
        <v>141</v>
      </c>
      <c r="V128" s="354">
        <f t="shared" si="26"/>
        <v>7</v>
      </c>
      <c r="W128" s="348">
        <v>28.201000000000001</v>
      </c>
      <c r="X128" s="346">
        <v>112.88933333333345</v>
      </c>
      <c r="Y128" s="566">
        <v>43.43</v>
      </c>
    </row>
    <row r="129" spans="1:25" x14ac:dyDescent="0.15">
      <c r="A129" s="201">
        <f t="shared" si="27"/>
        <v>17</v>
      </c>
      <c r="B129" s="260">
        <f t="shared" si="20"/>
        <v>39867</v>
      </c>
      <c r="C129" s="374">
        <f t="shared" si="14"/>
        <v>216.94441309607879</v>
      </c>
      <c r="D129" s="319">
        <f t="shared" si="23"/>
        <v>82.798279909003966</v>
      </c>
      <c r="E129" s="319">
        <f>VLOOKUP(MONTH(B129),[0]!Evap,3)</f>
        <v>5.2821428571428575</v>
      </c>
      <c r="F129" s="322">
        <f t="shared" si="24"/>
        <v>4.1200714285714293</v>
      </c>
      <c r="G129" s="319">
        <f t="shared" si="15"/>
        <v>12.194364550494546</v>
      </c>
      <c r="H129" s="322">
        <f t="shared" si="16"/>
        <v>5.0241652974076866E-2</v>
      </c>
      <c r="I129" s="322">
        <f>+fill_data!B173</f>
        <v>5.6852685963059521E-2</v>
      </c>
      <c r="J129" s="322">
        <f t="shared" si="17"/>
        <v>82.804890941992952</v>
      </c>
      <c r="K129" s="322">
        <f>+fill_data!C173</f>
        <v>4.642857142857143E-3</v>
      </c>
      <c r="L129" s="322">
        <f>+fill_data!F173</f>
        <v>0</v>
      </c>
      <c r="M129" s="322">
        <f>+fill_data!D173</f>
        <v>4.446428571428572E-2</v>
      </c>
      <c r="N129" s="322">
        <f>++fill_data!E173</f>
        <v>8.7621428571428558E-2</v>
      </c>
      <c r="O129" s="322">
        <f>VLOOKUP($A129,[0]!ความต้องการน้ำ,3)/7</f>
        <v>5.7531128127804969E-4</v>
      </c>
      <c r="P129" s="322">
        <f>VLOOKUP($A129,[0]!ฝนใช้การ,3)/7</f>
        <v>5.8457142857142856E-5</v>
      </c>
      <c r="Q129" s="322">
        <f t="shared" si="25"/>
        <v>60</v>
      </c>
      <c r="R129" s="322">
        <f t="shared" si="21"/>
        <v>8.6142356403484481E-4</v>
      </c>
      <c r="S129" s="322">
        <f t="shared" si="18"/>
        <v>0.13758999499260627</v>
      </c>
      <c r="T129" s="322">
        <f t="shared" si="19"/>
        <v>82.667300947000342</v>
      </c>
      <c r="U129" s="354">
        <f t="shared" si="22"/>
        <v>141</v>
      </c>
      <c r="V129" s="354">
        <f t="shared" si="26"/>
        <v>7</v>
      </c>
      <c r="W129" s="348">
        <v>28.187999999999999</v>
      </c>
      <c r="X129" s="346">
        <v>112.70800000000013</v>
      </c>
      <c r="Y129" s="566">
        <v>43.328800000000001</v>
      </c>
    </row>
    <row r="130" spans="1:25" x14ac:dyDescent="0.15">
      <c r="A130" s="201">
        <f t="shared" si="27"/>
        <v>17</v>
      </c>
      <c r="B130" s="260">
        <f t="shared" si="20"/>
        <v>39868</v>
      </c>
      <c r="C130" s="374">
        <f t="shared" si="14"/>
        <v>216.93377840490803</v>
      </c>
      <c r="D130" s="319">
        <f t="shared" si="23"/>
        <v>82.667300947000342</v>
      </c>
      <c r="E130" s="319">
        <f>VLOOKUP(MONTH(B130),[0]!Evap,3)</f>
        <v>5.2821428571428575</v>
      </c>
      <c r="F130" s="322">
        <f t="shared" si="24"/>
        <v>4.1200714285714293</v>
      </c>
      <c r="G130" s="319">
        <f t="shared" si="15"/>
        <v>12.184973915600601</v>
      </c>
      <c r="H130" s="322">
        <f t="shared" si="16"/>
        <v>5.0202962887554173E-2</v>
      </c>
      <c r="I130" s="322">
        <f>+fill_data!B174</f>
        <v>5.6852685963059521E-2</v>
      </c>
      <c r="J130" s="322">
        <f t="shared" si="17"/>
        <v>82.673950670075854</v>
      </c>
      <c r="K130" s="322">
        <f>+fill_data!C174</f>
        <v>4.642857142857143E-3</v>
      </c>
      <c r="L130" s="322">
        <f>+fill_data!F174</f>
        <v>0</v>
      </c>
      <c r="M130" s="322">
        <f>+fill_data!D174</f>
        <v>4.446428571428572E-2</v>
      </c>
      <c r="N130" s="322">
        <f>++fill_data!E174</f>
        <v>8.7621428571428558E-2</v>
      </c>
      <c r="O130" s="322">
        <f>VLOOKUP($A130,[0]!ความต้องการน้ำ,3)/7</f>
        <v>5.7531128127804969E-4</v>
      </c>
      <c r="P130" s="322">
        <f>VLOOKUP($A130,[0]!ฝนใช้การ,3)/7</f>
        <v>5.8457142857142856E-5</v>
      </c>
      <c r="Q130" s="322">
        <f t="shared" si="25"/>
        <v>60</v>
      </c>
      <c r="R130" s="322">
        <f t="shared" si="21"/>
        <v>8.6142356403484481E-4</v>
      </c>
      <c r="S130" s="322">
        <f t="shared" si="18"/>
        <v>0.13758999499260627</v>
      </c>
      <c r="T130" s="322">
        <f t="shared" si="19"/>
        <v>82.536360675083245</v>
      </c>
      <c r="U130" s="354">
        <f t="shared" si="22"/>
        <v>141</v>
      </c>
      <c r="V130" s="354">
        <f t="shared" si="26"/>
        <v>7</v>
      </c>
      <c r="W130" s="348">
        <v>28.175000000000001</v>
      </c>
      <c r="X130" s="346">
        <v>112.52666666666678</v>
      </c>
      <c r="Y130" s="566">
        <v>43.227600000000002</v>
      </c>
    </row>
    <row r="131" spans="1:25" x14ac:dyDescent="0.15">
      <c r="A131" s="201">
        <f t="shared" si="27"/>
        <v>17</v>
      </c>
      <c r="B131" s="260">
        <f t="shared" si="20"/>
        <v>39869</v>
      </c>
      <c r="C131" s="374">
        <f t="shared" si="14"/>
        <v>216.92314685513583</v>
      </c>
      <c r="D131" s="319">
        <f t="shared" si="23"/>
        <v>82.536360675083245</v>
      </c>
      <c r="E131" s="319">
        <f>VLOOKUP(MONTH(B131),[0]!Evap,3)</f>
        <v>5.2821428571428575</v>
      </c>
      <c r="F131" s="322">
        <f t="shared" si="24"/>
        <v>4.1200714285714293</v>
      </c>
      <c r="G131" s="319">
        <f t="shared" si="15"/>
        <v>12.175586054621421</v>
      </c>
      <c r="H131" s="322">
        <f t="shared" si="16"/>
        <v>5.0164284229758452E-2</v>
      </c>
      <c r="I131" s="322">
        <f>+fill_data!B175</f>
        <v>5.6852685963059521E-2</v>
      </c>
      <c r="J131" s="322">
        <f t="shared" si="17"/>
        <v>82.543049076816558</v>
      </c>
      <c r="K131" s="322">
        <f>+fill_data!C175</f>
        <v>4.642857142857143E-3</v>
      </c>
      <c r="L131" s="322">
        <f>+fill_data!F175</f>
        <v>0</v>
      </c>
      <c r="M131" s="322">
        <f>+fill_data!D175</f>
        <v>4.446428571428572E-2</v>
      </c>
      <c r="N131" s="322">
        <f>++fill_data!E175</f>
        <v>8.7621428571428558E-2</v>
      </c>
      <c r="O131" s="322">
        <f>VLOOKUP($A131,[0]!ความต้องการน้ำ,3)/7</f>
        <v>5.7531128127804969E-4</v>
      </c>
      <c r="P131" s="322">
        <f>VLOOKUP($A131,[0]!ฝนใช้การ,3)/7</f>
        <v>5.8457142857142856E-5</v>
      </c>
      <c r="Q131" s="322">
        <f t="shared" si="25"/>
        <v>60</v>
      </c>
      <c r="R131" s="322">
        <f t="shared" si="21"/>
        <v>8.6142356403484481E-4</v>
      </c>
      <c r="S131" s="322">
        <f t="shared" si="18"/>
        <v>0.13758999499260627</v>
      </c>
      <c r="T131" s="322">
        <f t="shared" si="19"/>
        <v>82.405459081823949</v>
      </c>
      <c r="U131" s="354">
        <f t="shared" si="22"/>
        <v>141</v>
      </c>
      <c r="V131" s="354">
        <f t="shared" si="26"/>
        <v>7</v>
      </c>
      <c r="W131" s="348">
        <v>28.161999999999999</v>
      </c>
      <c r="X131" s="346">
        <v>112.34533333333346</v>
      </c>
      <c r="Y131" s="566">
        <v>43.126399999999997</v>
      </c>
    </row>
    <row r="132" spans="1:25" x14ac:dyDescent="0.15">
      <c r="A132" s="201">
        <f t="shared" si="27"/>
        <v>17</v>
      </c>
      <c r="B132" s="260">
        <f t="shared" si="20"/>
        <v>39870</v>
      </c>
      <c r="C132" s="374">
        <f t="shared" si="14"/>
        <v>216.91251844583422</v>
      </c>
      <c r="D132" s="319">
        <f t="shared" si="23"/>
        <v>82.405459081823949</v>
      </c>
      <c r="E132" s="319">
        <f>VLOOKUP(MONTH(B132),[0]!Evap,3)</f>
        <v>5.2821428571428575</v>
      </c>
      <c r="F132" s="322">
        <f t="shared" si="24"/>
        <v>4.1200714285714293</v>
      </c>
      <c r="G132" s="319">
        <f t="shared" si="15"/>
        <v>12.166200966737616</v>
      </c>
      <c r="H132" s="322">
        <f t="shared" si="16"/>
        <v>5.0125616997313757E-2</v>
      </c>
      <c r="I132" s="322">
        <f>+fill_data!B176</f>
        <v>5.6852685963059521E-2</v>
      </c>
      <c r="J132" s="322">
        <f t="shared" si="17"/>
        <v>82.412186150789694</v>
      </c>
      <c r="K132" s="322">
        <f>+fill_data!C176</f>
        <v>4.642857142857143E-3</v>
      </c>
      <c r="L132" s="322">
        <f>+fill_data!F176</f>
        <v>0</v>
      </c>
      <c r="M132" s="322">
        <f>+fill_data!D176</f>
        <v>4.446428571428572E-2</v>
      </c>
      <c r="N132" s="322">
        <f>++fill_data!E176</f>
        <v>8.7621428571428558E-2</v>
      </c>
      <c r="O132" s="322">
        <f>VLOOKUP($A132,[0]!ความต้องการน้ำ,3)/7</f>
        <v>5.7531128127804969E-4</v>
      </c>
      <c r="P132" s="322">
        <f>VLOOKUP($A132,[0]!ฝนใช้การ,3)/7</f>
        <v>5.8457142857142856E-5</v>
      </c>
      <c r="Q132" s="322">
        <f t="shared" si="25"/>
        <v>60</v>
      </c>
      <c r="R132" s="322">
        <f t="shared" si="21"/>
        <v>8.6142356403484481E-4</v>
      </c>
      <c r="S132" s="322">
        <f t="shared" si="18"/>
        <v>0.13758999499260627</v>
      </c>
      <c r="T132" s="322">
        <f t="shared" si="19"/>
        <v>82.274596155797084</v>
      </c>
      <c r="U132" s="354">
        <f t="shared" si="22"/>
        <v>141</v>
      </c>
      <c r="V132" s="354">
        <f t="shared" si="26"/>
        <v>7</v>
      </c>
      <c r="W132" s="348">
        <v>28.149000000000001</v>
      </c>
      <c r="X132" s="346">
        <v>112.16400000000013</v>
      </c>
      <c r="Y132" s="566">
        <v>43.025199999999998</v>
      </c>
    </row>
    <row r="133" spans="1:25" x14ac:dyDescent="0.15">
      <c r="A133" s="201">
        <f t="shared" si="27"/>
        <v>17</v>
      </c>
      <c r="B133" s="260">
        <f t="shared" si="20"/>
        <v>39871</v>
      </c>
      <c r="C133" s="374">
        <f t="shared" si="14"/>
        <v>216.90189317607559</v>
      </c>
      <c r="D133" s="319">
        <f t="shared" si="23"/>
        <v>82.274596155797084</v>
      </c>
      <c r="E133" s="319">
        <f>VLOOKUP(MONTH(B133),[0]!Evap,3)</f>
        <v>5.2821428571428575</v>
      </c>
      <c r="F133" s="322">
        <f t="shared" si="24"/>
        <v>4.1200714285714293</v>
      </c>
      <c r="G133" s="319">
        <f t="shared" si="15"/>
        <v>12.156818651130033</v>
      </c>
      <c r="H133" s="322">
        <f t="shared" si="16"/>
        <v>5.0086961186845115E-2</v>
      </c>
      <c r="I133" s="322">
        <f>+fill_data!B177</f>
        <v>5.6852685963059521E-2</v>
      </c>
      <c r="J133" s="322">
        <f t="shared" si="17"/>
        <v>82.2813618805733</v>
      </c>
      <c r="K133" s="322">
        <f>+fill_data!C177</f>
        <v>4.642857142857143E-3</v>
      </c>
      <c r="L133" s="322">
        <f>+fill_data!F177</f>
        <v>0</v>
      </c>
      <c r="M133" s="322">
        <f>+fill_data!D177</f>
        <v>4.446428571428572E-2</v>
      </c>
      <c r="N133" s="322">
        <f>++fill_data!E177</f>
        <v>8.7621428571428558E-2</v>
      </c>
      <c r="O133" s="322">
        <f>VLOOKUP($A133,[0]!ความต้องการน้ำ,3)/7</f>
        <v>5.7531128127804969E-4</v>
      </c>
      <c r="P133" s="322">
        <f>VLOOKUP($A133,[0]!ฝนใช้การ,3)/7</f>
        <v>5.8457142857142856E-5</v>
      </c>
      <c r="Q133" s="322">
        <f t="shared" si="25"/>
        <v>60</v>
      </c>
      <c r="R133" s="322">
        <f t="shared" si="21"/>
        <v>8.6142356403484481E-4</v>
      </c>
      <c r="S133" s="322">
        <f t="shared" si="18"/>
        <v>0.13758999499260627</v>
      </c>
      <c r="T133" s="322">
        <f t="shared" si="19"/>
        <v>82.143771885580691</v>
      </c>
      <c r="U133" s="354">
        <f t="shared" si="22"/>
        <v>141</v>
      </c>
      <c r="V133" s="354">
        <f t="shared" si="26"/>
        <v>7</v>
      </c>
      <c r="W133" s="348">
        <v>28.135999999999999</v>
      </c>
      <c r="X133" s="346">
        <v>111.9826666666668</v>
      </c>
      <c r="Y133" s="566">
        <v>42.923999999999999</v>
      </c>
    </row>
    <row r="134" spans="1:25" x14ac:dyDescent="0.15">
      <c r="A134" s="201">
        <v>18</v>
      </c>
      <c r="B134" s="260">
        <f t="shared" si="20"/>
        <v>39872</v>
      </c>
      <c r="C134" s="374">
        <f t="shared" si="14"/>
        <v>216.89127104493247</v>
      </c>
      <c r="D134" s="319">
        <f t="shared" si="23"/>
        <v>82.143771885580691</v>
      </c>
      <c r="E134" s="319">
        <f>VLOOKUP(MONTH(B134),[0]!Evap,3)</f>
        <v>5.2821428571428575</v>
      </c>
      <c r="F134" s="322">
        <f t="shared" si="24"/>
        <v>4.1200714285714293</v>
      </c>
      <c r="G134" s="319">
        <f t="shared" si="15"/>
        <v>12.147439106979768</v>
      </c>
      <c r="H134" s="322">
        <f t="shared" si="16"/>
        <v>5.0048316794978578E-2</v>
      </c>
      <c r="I134" s="322">
        <f>+fill_data!B178</f>
        <v>5.6852685963059521E-2</v>
      </c>
      <c r="J134" s="322">
        <f t="shared" si="17"/>
        <v>82.150576254748771</v>
      </c>
      <c r="K134" s="322">
        <f>+fill_data!C178</f>
        <v>4.642857142857143E-3</v>
      </c>
      <c r="L134" s="322">
        <f>+fill_data!F178</f>
        <v>0</v>
      </c>
      <c r="M134" s="322">
        <f>+fill_data!D178</f>
        <v>4.446428571428572E-2</v>
      </c>
      <c r="N134" s="322">
        <f>++fill_data!E178</f>
        <v>8.7621428571428558E-2</v>
      </c>
      <c r="O134" s="322">
        <f>VLOOKUP($A134,[0]!ความต้องการน้ำ,3)/7</f>
        <v>0</v>
      </c>
      <c r="P134" s="322">
        <f>VLOOKUP($A134,[0]!ฝนใช้การ,3)/7</f>
        <v>0</v>
      </c>
      <c r="Q134" s="322">
        <f t="shared" si="25"/>
        <v>60</v>
      </c>
      <c r="R134" s="322">
        <f t="shared" si="21"/>
        <v>0</v>
      </c>
      <c r="S134" s="322">
        <f t="shared" si="18"/>
        <v>0.13672857142857142</v>
      </c>
      <c r="T134" s="322">
        <f t="shared" si="19"/>
        <v>82.013847683320193</v>
      </c>
      <c r="U134" s="354">
        <f t="shared" si="22"/>
        <v>141</v>
      </c>
      <c r="V134" s="354">
        <f t="shared" si="26"/>
        <v>7</v>
      </c>
      <c r="W134" s="348">
        <v>28.123000000000001</v>
      </c>
      <c r="X134" s="346">
        <v>111.80133333333347</v>
      </c>
      <c r="Y134" s="566">
        <v>42.822800000000001</v>
      </c>
    </row>
    <row r="135" spans="1:25" x14ac:dyDescent="0.15">
      <c r="A135" s="201">
        <f t="shared" si="27"/>
        <v>18</v>
      </c>
      <c r="B135" s="260">
        <f t="shared" si="20"/>
        <v>39873</v>
      </c>
      <c r="C135" s="374">
        <f t="shared" si="14"/>
        <v>216.88072199380616</v>
      </c>
      <c r="D135" s="319">
        <f t="shared" si="23"/>
        <v>82.013847683320193</v>
      </c>
      <c r="E135" s="319">
        <f>VLOOKUP(MONTH(B135),[0]!Evap,3)</f>
        <v>5.5193548387096776</v>
      </c>
      <c r="F135" s="322">
        <f t="shared" si="24"/>
        <v>4.3050967741935491</v>
      </c>
      <c r="G135" s="319">
        <f t="shared" si="15"/>
        <v>12.138124093876506</v>
      </c>
      <c r="H135" s="322">
        <f t="shared" si="16"/>
        <v>5.225579888130874E-2</v>
      </c>
      <c r="I135" s="322">
        <f>+fill_data!B179</f>
        <v>5.6470450873558335E-2</v>
      </c>
      <c r="J135" s="322">
        <f t="shared" si="17"/>
        <v>82.01806233531245</v>
      </c>
      <c r="K135" s="322">
        <f>+fill_data!C179</f>
        <v>4.193548387096774E-3</v>
      </c>
      <c r="L135" s="322">
        <f>+fill_data!F179</f>
        <v>0</v>
      </c>
      <c r="M135" s="322">
        <f>+fill_data!D179</f>
        <v>4.0161290322580652E-2</v>
      </c>
      <c r="N135" s="322">
        <f>++fill_data!E179</f>
        <v>8.4599999999999995E-2</v>
      </c>
      <c r="O135" s="322">
        <f>VLOOKUP($A135,[0]!ความต้องการน้ำ,3)/7</f>
        <v>0</v>
      </c>
      <c r="P135" s="322">
        <f>VLOOKUP($A135,[0]!ฝนใช้การ,3)/7</f>
        <v>0</v>
      </c>
      <c r="Q135" s="322">
        <f t="shared" si="25"/>
        <v>60</v>
      </c>
      <c r="R135" s="322">
        <f t="shared" si="21"/>
        <v>0</v>
      </c>
      <c r="S135" s="322">
        <f t="shared" si="18"/>
        <v>0.12895483870967742</v>
      </c>
      <c r="T135" s="322">
        <f t="shared" si="19"/>
        <v>81.889107496602776</v>
      </c>
      <c r="U135" s="354">
        <f t="shared" si="22"/>
        <v>141</v>
      </c>
      <c r="V135" s="354">
        <f t="shared" si="26"/>
        <v>7</v>
      </c>
      <c r="W135" s="348">
        <v>28.11</v>
      </c>
      <c r="X135" s="346">
        <v>111.62</v>
      </c>
      <c r="Y135" s="566">
        <v>42.721600000000002</v>
      </c>
    </row>
    <row r="136" spans="1:25" x14ac:dyDescent="0.15">
      <c r="A136" s="201">
        <f t="shared" si="27"/>
        <v>18</v>
      </c>
      <c r="B136" s="260">
        <f t="shared" si="20"/>
        <v>39874</v>
      </c>
      <c r="C136" s="374">
        <f t="shared" si="14"/>
        <v>216.87059385305722</v>
      </c>
      <c r="D136" s="319">
        <f t="shared" si="23"/>
        <v>81.889107496602776</v>
      </c>
      <c r="E136" s="319">
        <f>VLOOKUP(MONTH(B136),[0]!Evap,3)</f>
        <v>5.5193548387096776</v>
      </c>
      <c r="F136" s="322">
        <f t="shared" si="24"/>
        <v>4.3050967741935491</v>
      </c>
      <c r="G136" s="319">
        <f t="shared" si="15"/>
        <v>12.129180752654781</v>
      </c>
      <c r="H136" s="322">
        <f t="shared" si="16"/>
        <v>5.2217296931864582E-2</v>
      </c>
      <c r="I136" s="322">
        <f>+fill_data!B180</f>
        <v>5.6470450873558335E-2</v>
      </c>
      <c r="J136" s="322">
        <f t="shared" si="17"/>
        <v>81.89336065054448</v>
      </c>
      <c r="K136" s="322">
        <f>+fill_data!C180</f>
        <v>4.193548387096774E-3</v>
      </c>
      <c r="L136" s="322">
        <f>+fill_data!F180</f>
        <v>0</v>
      </c>
      <c r="M136" s="322">
        <f>+fill_data!D180</f>
        <v>4.0161290322580652E-2</v>
      </c>
      <c r="N136" s="322">
        <f>++fill_data!E180</f>
        <v>8.4599999999999995E-2</v>
      </c>
      <c r="O136" s="322">
        <f>VLOOKUP($A136,[0]!ความต้องการน้ำ,3)/7</f>
        <v>0</v>
      </c>
      <c r="P136" s="322">
        <f>VLOOKUP($A136,[0]!ฝนใช้การ,3)/7</f>
        <v>0</v>
      </c>
      <c r="Q136" s="322">
        <f t="shared" si="25"/>
        <v>60</v>
      </c>
      <c r="R136" s="322">
        <f t="shared" si="21"/>
        <v>0</v>
      </c>
      <c r="S136" s="322">
        <f t="shared" si="18"/>
        <v>0.12895483870967742</v>
      </c>
      <c r="T136" s="322">
        <f t="shared" si="19"/>
        <v>81.764405811834806</v>
      </c>
      <c r="U136" s="354">
        <f t="shared" si="22"/>
        <v>141</v>
      </c>
      <c r="V136" s="354">
        <f t="shared" si="26"/>
        <v>7</v>
      </c>
      <c r="W136" s="348">
        <v>28.085483870967742</v>
      </c>
      <c r="X136" s="346">
        <v>111.44741935483871</v>
      </c>
      <c r="Y136" s="566">
        <v>42.620399999999997</v>
      </c>
    </row>
    <row r="137" spans="1:25" x14ac:dyDescent="0.15">
      <c r="A137" s="201">
        <f t="shared" si="27"/>
        <v>18</v>
      </c>
      <c r="B137" s="260">
        <f t="shared" si="20"/>
        <v>39875</v>
      </c>
      <c r="C137" s="374">
        <f t="shared" si="14"/>
        <v>216.86046883843125</v>
      </c>
      <c r="D137" s="319">
        <f t="shared" si="23"/>
        <v>81.764405811834806</v>
      </c>
      <c r="E137" s="319">
        <f>VLOOKUP(MONTH(B137),[0]!Evap,3)</f>
        <v>5.5193548387096776</v>
      </c>
      <c r="F137" s="322">
        <f t="shared" si="24"/>
        <v>4.3050967741935491</v>
      </c>
      <c r="G137" s="319">
        <f t="shared" si="15"/>
        <v>12.120240171859191</v>
      </c>
      <c r="H137" s="322">
        <f t="shared" si="16"/>
        <v>5.2178806866322071E-2</v>
      </c>
      <c r="I137" s="322">
        <f>+fill_data!B181</f>
        <v>5.6470450873558335E-2</v>
      </c>
      <c r="J137" s="322">
        <f t="shared" si="17"/>
        <v>81.768697455842045</v>
      </c>
      <c r="K137" s="322">
        <f>+fill_data!C181</f>
        <v>4.193548387096774E-3</v>
      </c>
      <c r="L137" s="322">
        <f>+fill_data!F181</f>
        <v>0</v>
      </c>
      <c r="M137" s="322">
        <f>+fill_data!D181</f>
        <v>4.0161290322580652E-2</v>
      </c>
      <c r="N137" s="322">
        <f>++fill_data!E181</f>
        <v>8.4599999999999995E-2</v>
      </c>
      <c r="O137" s="322">
        <f>VLOOKUP($A137,[0]!ความต้องการน้ำ,3)/7</f>
        <v>0</v>
      </c>
      <c r="P137" s="322">
        <f>VLOOKUP($A137,[0]!ฝนใช้การ,3)/7</f>
        <v>0</v>
      </c>
      <c r="Q137" s="322">
        <f t="shared" si="25"/>
        <v>60</v>
      </c>
      <c r="R137" s="322">
        <f t="shared" si="21"/>
        <v>0</v>
      </c>
      <c r="S137" s="322">
        <f t="shared" si="18"/>
        <v>0.12895483870967742</v>
      </c>
      <c r="T137" s="322">
        <f t="shared" si="19"/>
        <v>81.63974261713237</v>
      </c>
      <c r="U137" s="354">
        <f t="shared" si="22"/>
        <v>141</v>
      </c>
      <c r="V137" s="354">
        <f t="shared" si="26"/>
        <v>7</v>
      </c>
      <c r="W137" s="348">
        <v>28.060967741935485</v>
      </c>
      <c r="X137" s="346">
        <v>111.27483870967743</v>
      </c>
      <c r="Y137" s="566">
        <v>42.620399999999997</v>
      </c>
    </row>
    <row r="138" spans="1:25" x14ac:dyDescent="0.15">
      <c r="A138" s="201">
        <f t="shared" si="27"/>
        <v>18</v>
      </c>
      <c r="B138" s="260">
        <f t="shared" si="20"/>
        <v>39876</v>
      </c>
      <c r="C138" s="374">
        <f t="shared" si="14"/>
        <v>216.85034694896336</v>
      </c>
      <c r="D138" s="319">
        <f t="shared" si="23"/>
        <v>81.63974261713237</v>
      </c>
      <c r="E138" s="319">
        <f>VLOOKUP(MONTH(B138),[0]!Evap,3)</f>
        <v>5.5193548387096776</v>
      </c>
      <c r="F138" s="322">
        <f t="shared" si="24"/>
        <v>4.3050967741935491</v>
      </c>
      <c r="G138" s="319">
        <f t="shared" si="15"/>
        <v>12.111302350637711</v>
      </c>
      <c r="H138" s="322">
        <f t="shared" si="16"/>
        <v>5.2140328681013162E-2</v>
      </c>
      <c r="I138" s="322">
        <f>+fill_data!B182</f>
        <v>5.6470450873558335E-2</v>
      </c>
      <c r="J138" s="322">
        <f t="shared" si="17"/>
        <v>81.644072739324912</v>
      </c>
      <c r="K138" s="322">
        <f>+fill_data!C182</f>
        <v>4.193548387096774E-3</v>
      </c>
      <c r="L138" s="322">
        <f>+fill_data!F182</f>
        <v>0</v>
      </c>
      <c r="M138" s="322">
        <f>+fill_data!D182</f>
        <v>4.0161290322580652E-2</v>
      </c>
      <c r="N138" s="322">
        <f>++fill_data!E182</f>
        <v>8.4599999999999995E-2</v>
      </c>
      <c r="O138" s="322">
        <f>VLOOKUP($A138,[0]!ความต้องการน้ำ,3)/7</f>
        <v>0</v>
      </c>
      <c r="P138" s="322">
        <f>VLOOKUP($A138,[0]!ฝนใช้การ,3)/7</f>
        <v>0</v>
      </c>
      <c r="Q138" s="322">
        <f t="shared" si="25"/>
        <v>60</v>
      </c>
      <c r="R138" s="322">
        <f t="shared" si="21"/>
        <v>0</v>
      </c>
      <c r="S138" s="322">
        <f t="shared" si="18"/>
        <v>0.12895483870967742</v>
      </c>
      <c r="T138" s="322">
        <f t="shared" si="19"/>
        <v>81.515117900615238</v>
      </c>
      <c r="U138" s="354">
        <f t="shared" si="22"/>
        <v>141</v>
      </c>
      <c r="V138" s="354">
        <f t="shared" si="26"/>
        <v>7</v>
      </c>
      <c r="W138" s="348">
        <v>28.036451612903225</v>
      </c>
      <c r="X138" s="346">
        <v>111.10225806451614</v>
      </c>
      <c r="Y138" s="566">
        <v>42.620399999999997</v>
      </c>
    </row>
    <row r="139" spans="1:25" x14ac:dyDescent="0.15">
      <c r="A139" s="201">
        <f t="shared" si="27"/>
        <v>18</v>
      </c>
      <c r="B139" s="260">
        <f t="shared" si="20"/>
        <v>39877</v>
      </c>
      <c r="C139" s="374">
        <f t="shared" si="14"/>
        <v>216.84022818368894</v>
      </c>
      <c r="D139" s="319">
        <f t="shared" si="23"/>
        <v>81.515117900615238</v>
      </c>
      <c r="E139" s="319">
        <f>VLOOKUP(MONTH(B139),[0]!Evap,3)</f>
        <v>5.5193548387096776</v>
      </c>
      <c r="F139" s="322">
        <f t="shared" si="24"/>
        <v>4.3050967741935491</v>
      </c>
      <c r="G139" s="319">
        <f t="shared" si="15"/>
        <v>12.102367288138581</v>
      </c>
      <c r="H139" s="322">
        <f t="shared" si="16"/>
        <v>5.2101862372270935E-2</v>
      </c>
      <c r="I139" s="322">
        <f>+fill_data!B183</f>
        <v>5.6470450873558335E-2</v>
      </c>
      <c r="J139" s="322">
        <f t="shared" si="17"/>
        <v>81.519486489116531</v>
      </c>
      <c r="K139" s="322">
        <f>+fill_data!C183</f>
        <v>4.193548387096774E-3</v>
      </c>
      <c r="L139" s="322">
        <f>+fill_data!F183</f>
        <v>0</v>
      </c>
      <c r="M139" s="322">
        <f>+fill_data!D183</f>
        <v>4.0161290322580652E-2</v>
      </c>
      <c r="N139" s="322">
        <f>++fill_data!E183</f>
        <v>8.4599999999999995E-2</v>
      </c>
      <c r="O139" s="322">
        <f>VLOOKUP($A139,[0]!ความต้องการน้ำ,3)/7</f>
        <v>0</v>
      </c>
      <c r="P139" s="322">
        <f>VLOOKUP($A139,[0]!ฝนใช้การ,3)/7</f>
        <v>0</v>
      </c>
      <c r="Q139" s="322">
        <f t="shared" si="25"/>
        <v>60</v>
      </c>
      <c r="R139" s="322">
        <f t="shared" si="21"/>
        <v>0</v>
      </c>
      <c r="S139" s="322">
        <f t="shared" si="18"/>
        <v>0.12895483870967742</v>
      </c>
      <c r="T139" s="322">
        <f t="shared" si="19"/>
        <v>81.390531650406857</v>
      </c>
      <c r="U139" s="354">
        <f t="shared" si="22"/>
        <v>141</v>
      </c>
      <c r="V139" s="354">
        <f t="shared" si="26"/>
        <v>7</v>
      </c>
      <c r="W139" s="348">
        <v>28.011935483870968</v>
      </c>
      <c r="X139" s="346">
        <v>110.92967741935486</v>
      </c>
      <c r="Y139" s="566">
        <v>42.519199999999998</v>
      </c>
    </row>
    <row r="140" spans="1:25" x14ac:dyDescent="0.15">
      <c r="A140" s="201">
        <f t="shared" si="27"/>
        <v>18</v>
      </c>
      <c r="B140" s="260">
        <f t="shared" si="20"/>
        <v>39878</v>
      </c>
      <c r="C140" s="374">
        <f t="shared" si="14"/>
        <v>216.83011254164367</v>
      </c>
      <c r="D140" s="319">
        <f t="shared" si="23"/>
        <v>81.390531650406857</v>
      </c>
      <c r="E140" s="319">
        <f>VLOOKUP(MONTH(B140),[0]!Evap,3)</f>
        <v>5.5193548387096776</v>
      </c>
      <c r="F140" s="322">
        <f t="shared" si="24"/>
        <v>4.3050967741935491</v>
      </c>
      <c r="G140" s="319">
        <f t="shared" si="15"/>
        <v>12.093434983510297</v>
      </c>
      <c r="H140" s="322">
        <f t="shared" si="16"/>
        <v>5.20634079364296E-2</v>
      </c>
      <c r="I140" s="322">
        <f>+fill_data!B184</f>
        <v>5.6470450873558335E-2</v>
      </c>
      <c r="J140" s="322">
        <f t="shared" si="17"/>
        <v>81.394938693343988</v>
      </c>
      <c r="K140" s="322">
        <f>+fill_data!C184</f>
        <v>4.193548387096774E-3</v>
      </c>
      <c r="L140" s="322">
        <f>+fill_data!F184</f>
        <v>0</v>
      </c>
      <c r="M140" s="322">
        <f>+fill_data!D184</f>
        <v>4.0161290322580652E-2</v>
      </c>
      <c r="N140" s="322">
        <f>++fill_data!E184</f>
        <v>8.4599999999999995E-2</v>
      </c>
      <c r="O140" s="322">
        <f>VLOOKUP($A140,[0]!ความต้องการน้ำ,3)/7</f>
        <v>0</v>
      </c>
      <c r="P140" s="322">
        <f>VLOOKUP($A140,[0]!ฝนใช้การ,3)/7</f>
        <v>0</v>
      </c>
      <c r="Q140" s="322">
        <f t="shared" si="25"/>
        <v>60</v>
      </c>
      <c r="R140" s="322">
        <f t="shared" si="21"/>
        <v>0</v>
      </c>
      <c r="S140" s="322">
        <f t="shared" si="18"/>
        <v>0.12895483870967742</v>
      </c>
      <c r="T140" s="322">
        <f t="shared" si="19"/>
        <v>81.265983854634314</v>
      </c>
      <c r="U140" s="354">
        <f t="shared" si="22"/>
        <v>141</v>
      </c>
      <c r="V140" s="354">
        <f t="shared" si="26"/>
        <v>7</v>
      </c>
      <c r="W140" s="348">
        <v>27.98741935483871</v>
      </c>
      <c r="X140" s="346">
        <v>110.75709677419357</v>
      </c>
      <c r="Y140" s="566">
        <v>42.519199999999998</v>
      </c>
    </row>
    <row r="141" spans="1:25" x14ac:dyDescent="0.15">
      <c r="A141" s="201">
        <v>19</v>
      </c>
      <c r="B141" s="260">
        <f t="shared" si="20"/>
        <v>39879</v>
      </c>
      <c r="C141" s="374">
        <f t="shared" si="14"/>
        <v>216.82000002186356</v>
      </c>
      <c r="D141" s="319">
        <f t="shared" si="23"/>
        <v>81.265983854634314</v>
      </c>
      <c r="E141" s="319">
        <f>VLOOKUP(MONTH(B141),[0]!Evap,3)</f>
        <v>5.5193548387096776</v>
      </c>
      <c r="F141" s="322">
        <f t="shared" si="24"/>
        <v>4.3050967741935491</v>
      </c>
      <c r="G141" s="319">
        <f t="shared" si="15"/>
        <v>12.084505435901628</v>
      </c>
      <c r="H141" s="322">
        <f t="shared" si="16"/>
        <v>5.2024965369824504E-2</v>
      </c>
      <c r="I141" s="322">
        <f>+fill_data!B185</f>
        <v>5.6470450873558335E-2</v>
      </c>
      <c r="J141" s="322">
        <f t="shared" si="17"/>
        <v>81.270429340138051</v>
      </c>
      <c r="K141" s="322">
        <f>+fill_data!C185</f>
        <v>4.193548387096774E-3</v>
      </c>
      <c r="L141" s="322">
        <f>+fill_data!F185</f>
        <v>0</v>
      </c>
      <c r="M141" s="322">
        <f>+fill_data!D185</f>
        <v>4.0161290322580652E-2</v>
      </c>
      <c r="N141" s="322">
        <f>++fill_data!E185</f>
        <v>8.4599999999999995E-2</v>
      </c>
      <c r="O141" s="322">
        <f>VLOOKUP($A141,[0]!ความต้องการน้ำ,3)/7</f>
        <v>0</v>
      </c>
      <c r="P141" s="322">
        <f>VLOOKUP($A141,[0]!ฝนใช้การ,3)/7</f>
        <v>0</v>
      </c>
      <c r="Q141" s="322">
        <f t="shared" si="25"/>
        <v>60</v>
      </c>
      <c r="R141" s="322">
        <f t="shared" si="21"/>
        <v>0</v>
      </c>
      <c r="S141" s="322">
        <f t="shared" si="18"/>
        <v>0.12895483870967742</v>
      </c>
      <c r="T141" s="322">
        <f t="shared" si="19"/>
        <v>81.141474501428377</v>
      </c>
      <c r="U141" s="354">
        <f t="shared" si="22"/>
        <v>141</v>
      </c>
      <c r="V141" s="354">
        <f t="shared" si="26"/>
        <v>7</v>
      </c>
      <c r="W141" s="348">
        <v>27.962903225806453</v>
      </c>
      <c r="X141" s="346">
        <v>110.58451612903228</v>
      </c>
      <c r="Y141" s="566">
        <v>42.316800000000001</v>
      </c>
    </row>
    <row r="142" spans="1:25" x14ac:dyDescent="0.15">
      <c r="A142" s="201">
        <f t="shared" si="27"/>
        <v>19</v>
      </c>
      <c r="B142" s="260">
        <f t="shared" si="20"/>
        <v>39880</v>
      </c>
      <c r="C142" s="374">
        <f t="shared" si="14"/>
        <v>216.80989062338489</v>
      </c>
      <c r="D142" s="319">
        <f t="shared" si="23"/>
        <v>81.141474501428377</v>
      </c>
      <c r="E142" s="319">
        <f>VLOOKUP(MONTH(B142),[0]!Evap,3)</f>
        <v>5.5193548387096776</v>
      </c>
      <c r="F142" s="322">
        <f t="shared" si="24"/>
        <v>4.3050967741935491</v>
      </c>
      <c r="G142" s="319">
        <f t="shared" si="15"/>
        <v>12.075578644461597</v>
      </c>
      <c r="H142" s="322">
        <f t="shared" si="16"/>
        <v>5.1986534668792134E-2</v>
      </c>
      <c r="I142" s="322">
        <f>+fill_data!B186</f>
        <v>5.6470450873558335E-2</v>
      </c>
      <c r="J142" s="322">
        <f t="shared" si="17"/>
        <v>81.145958417633153</v>
      </c>
      <c r="K142" s="322">
        <f>+fill_data!C186</f>
        <v>4.193548387096774E-3</v>
      </c>
      <c r="L142" s="322">
        <f>+fill_data!F186</f>
        <v>0</v>
      </c>
      <c r="M142" s="322">
        <f>+fill_data!D186</f>
        <v>4.0161290322580652E-2</v>
      </c>
      <c r="N142" s="322">
        <f>++fill_data!E186</f>
        <v>8.4599999999999995E-2</v>
      </c>
      <c r="O142" s="322">
        <f>VLOOKUP($A142,[0]!ความต้องการน้ำ,3)/7</f>
        <v>0</v>
      </c>
      <c r="P142" s="322">
        <f>VLOOKUP($A142,[0]!ฝนใช้การ,3)/7</f>
        <v>0</v>
      </c>
      <c r="Q142" s="322">
        <f t="shared" si="25"/>
        <v>60</v>
      </c>
      <c r="R142" s="322">
        <f t="shared" si="21"/>
        <v>0</v>
      </c>
      <c r="S142" s="322">
        <f t="shared" si="18"/>
        <v>0.12895483870967742</v>
      </c>
      <c r="T142" s="322">
        <f t="shared" si="19"/>
        <v>81.017003578923479</v>
      </c>
      <c r="U142" s="354">
        <f t="shared" si="22"/>
        <v>141</v>
      </c>
      <c r="V142" s="354">
        <f t="shared" si="26"/>
        <v>7</v>
      </c>
      <c r="W142" s="348">
        <v>27.938387096774193</v>
      </c>
      <c r="X142" s="346">
        <v>110.41193548387099</v>
      </c>
      <c r="Y142" s="566">
        <v>42.114400000000003</v>
      </c>
    </row>
    <row r="143" spans="1:25" x14ac:dyDescent="0.15">
      <c r="A143" s="201">
        <f t="shared" si="27"/>
        <v>19</v>
      </c>
      <c r="B143" s="260">
        <f t="shared" si="20"/>
        <v>39881</v>
      </c>
      <c r="C143" s="374">
        <f t="shared" ref="C143:C206" si="28">+(D143-VLOOKUP(D143,capacitycurveุ,1))*VLOOKUP(D143,capacitycurveุ,6)/VLOOKUP(D143,capacitycurveุ,5)+VLOOKUP(D143,capacitycurveุ,2)</f>
        <v>216.79978434524426</v>
      </c>
      <c r="D143" s="319">
        <f t="shared" si="23"/>
        <v>81.017003578923479</v>
      </c>
      <c r="E143" s="319">
        <f>VLOOKUP(MONTH(B143),[0]!Evap,3)</f>
        <v>5.5193548387096776</v>
      </c>
      <c r="F143" s="322">
        <f t="shared" si="24"/>
        <v>4.3050967741935491</v>
      </c>
      <c r="G143" s="319">
        <f t="shared" ref="G143:G206" si="29">+(D143-VLOOKUP(D143,capacitycurveุ,1))*VLOOKUP(D143,capacitycurveุ,7)/VLOOKUP(D143,capacitycurveุ,5)+VLOOKUP(D143,capacitycurveุ,3)</f>
        <v>12.066654608339492</v>
      </c>
      <c r="H143" s="322">
        <f t="shared" ref="H143:H206" si="30">F143/1000*G143</f>
        <v>5.1948115829670072E-2</v>
      </c>
      <c r="I143" s="322">
        <f>+fill_data!B187</f>
        <v>5.6470450873558335E-2</v>
      </c>
      <c r="J143" s="322">
        <f t="shared" ref="J143:J206" si="31">D143-H143+I143</f>
        <v>81.021525913967366</v>
      </c>
      <c r="K143" s="322">
        <f>+fill_data!C187</f>
        <v>4.193548387096774E-3</v>
      </c>
      <c r="L143" s="322">
        <f>+fill_data!F187</f>
        <v>0</v>
      </c>
      <c r="M143" s="322">
        <f>+fill_data!D187</f>
        <v>4.0161290322580652E-2</v>
      </c>
      <c r="N143" s="322">
        <f>++fill_data!E187</f>
        <v>8.4599999999999995E-2</v>
      </c>
      <c r="O143" s="322">
        <f>VLOOKUP($A143,[0]!ความต้องการน้ำ,3)/7</f>
        <v>0</v>
      </c>
      <c r="P143" s="322">
        <f>VLOOKUP($A143,[0]!ฝนใช้การ,3)/7</f>
        <v>0</v>
      </c>
      <c r="Q143" s="322">
        <f t="shared" si="25"/>
        <v>60</v>
      </c>
      <c r="R143" s="322">
        <f t="shared" si="21"/>
        <v>0</v>
      </c>
      <c r="S143" s="322">
        <f t="shared" ref="S143:S206" si="32">K143+L143+M143+N143+R143</f>
        <v>0.12895483870967742</v>
      </c>
      <c r="T143" s="322">
        <f t="shared" ref="T143:T206" si="33">J143-S143</f>
        <v>80.892571075257692</v>
      </c>
      <c r="U143" s="354">
        <f t="shared" si="22"/>
        <v>141</v>
      </c>
      <c r="V143" s="354">
        <f t="shared" si="26"/>
        <v>7</v>
      </c>
      <c r="W143" s="348">
        <v>27.913870967741936</v>
      </c>
      <c r="X143" s="346">
        <v>110.23935483870972</v>
      </c>
      <c r="Y143" s="566">
        <v>41.911999999999999</v>
      </c>
    </row>
    <row r="144" spans="1:25" x14ac:dyDescent="0.15">
      <c r="A144" s="201">
        <f t="shared" si="27"/>
        <v>19</v>
      </c>
      <c r="B144" s="260">
        <f t="shared" ref="B144:B207" si="34">+B143+1</f>
        <v>39882</v>
      </c>
      <c r="C144" s="374">
        <f t="shared" si="28"/>
        <v>216.78968118647856</v>
      </c>
      <c r="D144" s="319">
        <f t="shared" si="23"/>
        <v>80.892571075257692</v>
      </c>
      <c r="E144" s="319">
        <f>VLOOKUP(MONTH(B144),[0]!Evap,3)</f>
        <v>5.5193548387096776</v>
      </c>
      <c r="F144" s="322">
        <f t="shared" si="24"/>
        <v>4.3050967741935491</v>
      </c>
      <c r="G144" s="319">
        <f t="shared" si="29"/>
        <v>12.057733326684867</v>
      </c>
      <c r="H144" s="322">
        <f t="shared" si="30"/>
        <v>5.1909708848797073E-2</v>
      </c>
      <c r="I144" s="322">
        <f>+fill_data!B188</f>
        <v>5.6470450873558335E-2</v>
      </c>
      <c r="J144" s="322">
        <f t="shared" si="31"/>
        <v>80.897131817282457</v>
      </c>
      <c r="K144" s="322">
        <f>+fill_data!C188</f>
        <v>4.193548387096774E-3</v>
      </c>
      <c r="L144" s="322">
        <f>+fill_data!F188</f>
        <v>0</v>
      </c>
      <c r="M144" s="322">
        <f>+fill_data!D188</f>
        <v>4.0161290322580652E-2</v>
      </c>
      <c r="N144" s="322">
        <f>++fill_data!E188</f>
        <v>8.4599999999999995E-2</v>
      </c>
      <c r="O144" s="322">
        <f>VLOOKUP($A144,[0]!ความต้องการน้ำ,3)/7</f>
        <v>0</v>
      </c>
      <c r="P144" s="322">
        <f>VLOOKUP($A144,[0]!ฝนใช้การ,3)/7</f>
        <v>0</v>
      </c>
      <c r="Q144" s="322">
        <f t="shared" si="25"/>
        <v>60</v>
      </c>
      <c r="R144" s="322">
        <f t="shared" ref="R144:R207" si="35">IF((O144-P144)&lt;=0,0,+(O144-P144)/(Q144/100))</f>
        <v>0</v>
      </c>
      <c r="S144" s="322">
        <f t="shared" si="32"/>
        <v>0.12895483870967742</v>
      </c>
      <c r="T144" s="322">
        <f t="shared" si="33"/>
        <v>80.768176978572782</v>
      </c>
      <c r="U144" s="354">
        <f t="shared" ref="U144:U207" si="36">+U143</f>
        <v>141</v>
      </c>
      <c r="V144" s="354">
        <f t="shared" si="26"/>
        <v>7</v>
      </c>
      <c r="W144" s="348">
        <v>27.889354838709679</v>
      </c>
      <c r="X144" s="346">
        <v>110.06677419354843</v>
      </c>
      <c r="Y144" s="566">
        <v>41.709600000000002</v>
      </c>
    </row>
    <row r="145" spans="1:25" x14ac:dyDescent="0.15">
      <c r="A145" s="201">
        <f t="shared" si="27"/>
        <v>19</v>
      </c>
      <c r="B145" s="260">
        <f t="shared" si="34"/>
        <v>39883</v>
      </c>
      <c r="C145" s="374">
        <f t="shared" si="28"/>
        <v>216.77958114612497</v>
      </c>
      <c r="D145" s="319">
        <f t="shared" ref="D145:D208" si="37">IF(T144&gt;U144,U144,T144)</f>
        <v>80.768176978572782</v>
      </c>
      <c r="E145" s="319">
        <f>VLOOKUP(MONTH(B145),[0]!Evap,3)</f>
        <v>5.5193548387096776</v>
      </c>
      <c r="F145" s="322">
        <f t="shared" ref="F145:F208" si="38">E145*0.78</f>
        <v>4.3050967741935491</v>
      </c>
      <c r="G145" s="319">
        <f t="shared" si="29"/>
        <v>12.048814798647534</v>
      </c>
      <c r="H145" s="322">
        <f t="shared" si="30"/>
        <v>5.1871313722512996E-2</v>
      </c>
      <c r="I145" s="322">
        <f>+fill_data!B189</f>
        <v>5.6470450873558335E-2</v>
      </c>
      <c r="J145" s="322">
        <f t="shared" si="31"/>
        <v>80.772776115723829</v>
      </c>
      <c r="K145" s="322">
        <f>+fill_data!C189</f>
        <v>4.193548387096774E-3</v>
      </c>
      <c r="L145" s="322">
        <f>+fill_data!F189</f>
        <v>0</v>
      </c>
      <c r="M145" s="322">
        <f>+fill_data!D189</f>
        <v>4.0161290322580652E-2</v>
      </c>
      <c r="N145" s="322">
        <f>++fill_data!E189</f>
        <v>8.4599999999999995E-2</v>
      </c>
      <c r="O145" s="322">
        <f>VLOOKUP($A145,[0]!ความต้องการน้ำ,3)/7</f>
        <v>0</v>
      </c>
      <c r="P145" s="322">
        <f>VLOOKUP($A145,[0]!ฝนใช้การ,3)/7</f>
        <v>0</v>
      </c>
      <c r="Q145" s="322">
        <f t="shared" ref="Q145:Q208" si="39">+Q144</f>
        <v>60</v>
      </c>
      <c r="R145" s="322">
        <f t="shared" si="35"/>
        <v>0</v>
      </c>
      <c r="S145" s="322">
        <f t="shared" si="32"/>
        <v>0.12895483870967742</v>
      </c>
      <c r="T145" s="322">
        <f t="shared" si="33"/>
        <v>80.643821277014155</v>
      </c>
      <c r="U145" s="354">
        <f t="shared" si="36"/>
        <v>141</v>
      </c>
      <c r="V145" s="354">
        <f t="shared" ref="V145:V208" si="40">+V144</f>
        <v>7</v>
      </c>
      <c r="W145" s="348">
        <v>27.864838709677421</v>
      </c>
      <c r="X145" s="346">
        <v>109.89419354838714</v>
      </c>
      <c r="Y145" s="566">
        <v>41.608400000000003</v>
      </c>
    </row>
    <row r="146" spans="1:25" x14ac:dyDescent="0.15">
      <c r="A146" s="201">
        <f t="shared" si="27"/>
        <v>19</v>
      </c>
      <c r="B146" s="260">
        <f t="shared" si="34"/>
        <v>39884</v>
      </c>
      <c r="C146" s="374">
        <f t="shared" si="28"/>
        <v>216.76948422322096</v>
      </c>
      <c r="D146" s="319">
        <f t="shared" si="37"/>
        <v>80.643821277014155</v>
      </c>
      <c r="E146" s="319">
        <f>VLOOKUP(MONTH(B146),[0]!Evap,3)</f>
        <v>5.5193548387096776</v>
      </c>
      <c r="F146" s="322">
        <f t="shared" si="38"/>
        <v>4.3050967741935491</v>
      </c>
      <c r="G146" s="319">
        <f t="shared" si="29"/>
        <v>12.03989902337757</v>
      </c>
      <c r="H146" s="322">
        <f t="shared" si="30"/>
        <v>5.1832930447158837E-2</v>
      </c>
      <c r="I146" s="322">
        <f>+fill_data!B190</f>
        <v>5.6470450873558335E-2</v>
      </c>
      <c r="J146" s="322">
        <f t="shared" si="31"/>
        <v>80.648458797440554</v>
      </c>
      <c r="K146" s="322">
        <f>+fill_data!C190</f>
        <v>4.193548387096774E-3</v>
      </c>
      <c r="L146" s="322">
        <f>+fill_data!F190</f>
        <v>0</v>
      </c>
      <c r="M146" s="322">
        <f>+fill_data!D190</f>
        <v>4.0161290322580652E-2</v>
      </c>
      <c r="N146" s="322">
        <f>++fill_data!E190</f>
        <v>8.4599999999999995E-2</v>
      </c>
      <c r="O146" s="322">
        <f>VLOOKUP($A146,[0]!ความต้องการน้ำ,3)/7</f>
        <v>0</v>
      </c>
      <c r="P146" s="322">
        <f>VLOOKUP($A146,[0]!ฝนใช้การ,3)/7</f>
        <v>0</v>
      </c>
      <c r="Q146" s="322">
        <f t="shared" si="39"/>
        <v>60</v>
      </c>
      <c r="R146" s="322">
        <f t="shared" si="35"/>
        <v>0</v>
      </c>
      <c r="S146" s="322">
        <f t="shared" si="32"/>
        <v>0.12895483870967742</v>
      </c>
      <c r="T146" s="322">
        <f t="shared" si="33"/>
        <v>80.51950395873088</v>
      </c>
      <c r="U146" s="354">
        <f t="shared" si="36"/>
        <v>141</v>
      </c>
      <c r="V146" s="354">
        <f t="shared" si="40"/>
        <v>7</v>
      </c>
      <c r="W146" s="348">
        <v>27.840322580645161</v>
      </c>
      <c r="X146" s="346">
        <v>109.72161290322586</v>
      </c>
      <c r="Y146" s="566">
        <v>41.507199999999997</v>
      </c>
    </row>
    <row r="147" spans="1:25" x14ac:dyDescent="0.15">
      <c r="A147" s="201">
        <f t="shared" si="27"/>
        <v>19</v>
      </c>
      <c r="B147" s="260">
        <f t="shared" si="34"/>
        <v>39885</v>
      </c>
      <c r="C147" s="374">
        <f t="shared" si="28"/>
        <v>216.75939041680428</v>
      </c>
      <c r="D147" s="319">
        <f t="shared" si="37"/>
        <v>80.51950395873088</v>
      </c>
      <c r="E147" s="319">
        <f>VLOOKUP(MONTH(B147),[0]!Evap,3)</f>
        <v>5.5193548387096776</v>
      </c>
      <c r="F147" s="322">
        <f t="shared" si="38"/>
        <v>4.3050967741935491</v>
      </c>
      <c r="G147" s="319">
        <f t="shared" si="29"/>
        <v>12.030986000025313</v>
      </c>
      <c r="H147" s="322">
        <f t="shared" si="30"/>
        <v>5.179455901907673E-2</v>
      </c>
      <c r="I147" s="322">
        <f>+fill_data!B191</f>
        <v>5.6470450873558335E-2</v>
      </c>
      <c r="J147" s="322">
        <f t="shared" si="31"/>
        <v>80.524179850585369</v>
      </c>
      <c r="K147" s="322">
        <f>+fill_data!C191</f>
        <v>4.193548387096774E-3</v>
      </c>
      <c r="L147" s="322">
        <f>+fill_data!F191</f>
        <v>0</v>
      </c>
      <c r="M147" s="322">
        <f>+fill_data!D191</f>
        <v>4.0161290322580652E-2</v>
      </c>
      <c r="N147" s="322">
        <f>++fill_data!E191</f>
        <v>8.4599999999999995E-2</v>
      </c>
      <c r="O147" s="322">
        <f>VLOOKUP($A147,[0]!ความต้องการน้ำ,3)/7</f>
        <v>0</v>
      </c>
      <c r="P147" s="322">
        <f>VLOOKUP($A147,[0]!ฝนใช้การ,3)/7</f>
        <v>0</v>
      </c>
      <c r="Q147" s="322">
        <f t="shared" si="39"/>
        <v>60</v>
      </c>
      <c r="R147" s="322">
        <f t="shared" si="35"/>
        <v>0</v>
      </c>
      <c r="S147" s="322">
        <f t="shared" si="32"/>
        <v>0.12895483870967742</v>
      </c>
      <c r="T147" s="322">
        <f t="shared" si="33"/>
        <v>80.395225011875695</v>
      </c>
      <c r="U147" s="354">
        <f t="shared" si="36"/>
        <v>141</v>
      </c>
      <c r="V147" s="354">
        <f t="shared" si="40"/>
        <v>7</v>
      </c>
      <c r="W147" s="348">
        <v>27.815806451612904</v>
      </c>
      <c r="X147" s="346">
        <v>109.54903225806457</v>
      </c>
      <c r="Y147" s="566">
        <v>41.507199999999997</v>
      </c>
    </row>
    <row r="148" spans="1:25" x14ac:dyDescent="0.15">
      <c r="A148" s="201">
        <v>20</v>
      </c>
      <c r="B148" s="260">
        <f t="shared" si="34"/>
        <v>39886</v>
      </c>
      <c r="C148" s="374">
        <f t="shared" si="28"/>
        <v>216.74929972591306</v>
      </c>
      <c r="D148" s="319">
        <f t="shared" si="37"/>
        <v>80.395225011875695</v>
      </c>
      <c r="E148" s="319">
        <f>VLOOKUP(MONTH(B148),[0]!Evap,3)</f>
        <v>5.5193548387096776</v>
      </c>
      <c r="F148" s="322">
        <f t="shared" si="38"/>
        <v>4.3050967741935491</v>
      </c>
      <c r="G148" s="319">
        <f t="shared" si="29"/>
        <v>12.022075727741367</v>
      </c>
      <c r="H148" s="322">
        <f t="shared" si="30"/>
        <v>5.175619943460992E-2</v>
      </c>
      <c r="I148" s="322">
        <f>+fill_data!B192</f>
        <v>5.6470450873558335E-2</v>
      </c>
      <c r="J148" s="322">
        <f t="shared" si="31"/>
        <v>80.39993926331465</v>
      </c>
      <c r="K148" s="322">
        <f>+fill_data!C192</f>
        <v>4.193548387096774E-3</v>
      </c>
      <c r="L148" s="322">
        <f>+fill_data!F192</f>
        <v>0</v>
      </c>
      <c r="M148" s="322">
        <f>+fill_data!D192</f>
        <v>4.0161290322580652E-2</v>
      </c>
      <c r="N148" s="322">
        <f>++fill_data!E192</f>
        <v>8.4599999999999995E-2</v>
      </c>
      <c r="O148" s="322">
        <f>VLOOKUP($A148,[0]!ความต้องการน้ำ,3)/7</f>
        <v>0</v>
      </c>
      <c r="P148" s="322">
        <f>VLOOKUP($A148,[0]!ฝนใช้การ,3)/7</f>
        <v>0</v>
      </c>
      <c r="Q148" s="322">
        <f t="shared" si="39"/>
        <v>60</v>
      </c>
      <c r="R148" s="322">
        <f t="shared" si="35"/>
        <v>0</v>
      </c>
      <c r="S148" s="322">
        <f t="shared" si="32"/>
        <v>0.12895483870967742</v>
      </c>
      <c r="T148" s="322">
        <f>J148-S148</f>
        <v>80.270984424604976</v>
      </c>
      <c r="U148" s="354">
        <f t="shared" si="36"/>
        <v>141</v>
      </c>
      <c r="V148" s="354">
        <f t="shared" si="40"/>
        <v>7</v>
      </c>
      <c r="W148" s="348">
        <v>27.791290322580647</v>
      </c>
      <c r="X148" s="346">
        <v>109.37645161290328</v>
      </c>
      <c r="Y148" s="566">
        <v>41.507199999999997</v>
      </c>
    </row>
    <row r="149" spans="1:25" x14ac:dyDescent="0.15">
      <c r="A149" s="201">
        <f t="shared" ref="A149:A212" si="41">+A148</f>
        <v>20</v>
      </c>
      <c r="B149" s="260">
        <f t="shared" si="34"/>
        <v>39887</v>
      </c>
      <c r="C149" s="374">
        <f t="shared" si="28"/>
        <v>216.73921214958565</v>
      </c>
      <c r="D149" s="319">
        <f t="shared" si="37"/>
        <v>80.270984424604976</v>
      </c>
      <c r="E149" s="319">
        <f>VLOOKUP(MONTH(B149),[0]!Evap,3)</f>
        <v>5.5193548387096776</v>
      </c>
      <c r="F149" s="322">
        <f t="shared" si="38"/>
        <v>4.3050967741935491</v>
      </c>
      <c r="G149" s="319">
        <f t="shared" si="29"/>
        <v>12.013168205676592</v>
      </c>
      <c r="H149" s="322">
        <f t="shared" si="30"/>
        <v>5.1717851690102803E-2</v>
      </c>
      <c r="I149" s="322">
        <f>+fill_data!B193</f>
        <v>5.6470450873558335E-2</v>
      </c>
      <c r="J149" s="322">
        <f t="shared" si="31"/>
        <v>80.275737023788437</v>
      </c>
      <c r="K149" s="322">
        <f>+fill_data!C193</f>
        <v>4.193548387096774E-3</v>
      </c>
      <c r="L149" s="322">
        <f>+fill_data!F193</f>
        <v>0</v>
      </c>
      <c r="M149" s="322">
        <f>+fill_data!D193</f>
        <v>4.0161290322580652E-2</v>
      </c>
      <c r="N149" s="322">
        <f>++fill_data!E193</f>
        <v>8.4599999999999995E-2</v>
      </c>
      <c r="O149" s="322">
        <f>VLOOKUP($A149,[0]!ความต้องการน้ำ,3)/7</f>
        <v>0</v>
      </c>
      <c r="P149" s="322">
        <f>VLOOKUP($A149,[0]!ฝนใช้การ,3)/7</f>
        <v>0</v>
      </c>
      <c r="Q149" s="322">
        <f t="shared" si="39"/>
        <v>60</v>
      </c>
      <c r="R149" s="322">
        <f t="shared" si="35"/>
        <v>0</v>
      </c>
      <c r="S149" s="322">
        <f t="shared" si="32"/>
        <v>0.12895483870967742</v>
      </c>
      <c r="T149" s="322">
        <f t="shared" si="33"/>
        <v>80.146782185078763</v>
      </c>
      <c r="U149" s="354">
        <f t="shared" si="36"/>
        <v>141</v>
      </c>
      <c r="V149" s="354">
        <f t="shared" si="40"/>
        <v>7</v>
      </c>
      <c r="W149" s="348">
        <v>27.76677419354839</v>
      </c>
      <c r="X149" s="346">
        <v>109.20387096774199</v>
      </c>
      <c r="Y149" s="566">
        <v>41.405999999999999</v>
      </c>
    </row>
    <row r="150" spans="1:25" x14ac:dyDescent="0.15">
      <c r="A150" s="201">
        <f t="shared" si="41"/>
        <v>20</v>
      </c>
      <c r="B150" s="260">
        <f t="shared" si="34"/>
        <v>39888</v>
      </c>
      <c r="C150" s="374">
        <f t="shared" si="28"/>
        <v>216.72912768686069</v>
      </c>
      <c r="D150" s="319">
        <f t="shared" si="37"/>
        <v>80.146782185078763</v>
      </c>
      <c r="E150" s="319">
        <f>VLOOKUP(MONTH(B150),[0]!Evap,3)</f>
        <v>5.5193548387096776</v>
      </c>
      <c r="F150" s="322">
        <f t="shared" si="38"/>
        <v>4.3050967741935491</v>
      </c>
      <c r="G150" s="319">
        <f t="shared" si="29"/>
        <v>12.004263432982114</v>
      </c>
      <c r="H150" s="322">
        <f t="shared" si="30"/>
        <v>5.167951578190088E-2</v>
      </c>
      <c r="I150" s="322">
        <f>+fill_data!B194</f>
        <v>5.6470450873558335E-2</v>
      </c>
      <c r="J150" s="322">
        <f t="shared" si="31"/>
        <v>80.151573120170426</v>
      </c>
      <c r="K150" s="322">
        <f>+fill_data!C194</f>
        <v>4.193548387096774E-3</v>
      </c>
      <c r="L150" s="322">
        <f>+fill_data!F194</f>
        <v>0</v>
      </c>
      <c r="M150" s="322">
        <f>+fill_data!D194</f>
        <v>4.0161290322580652E-2</v>
      </c>
      <c r="N150" s="322">
        <f>++fill_data!E194</f>
        <v>8.4599999999999995E-2</v>
      </c>
      <c r="O150" s="322">
        <f>VLOOKUP($A150,[0]!ความต้องการน้ำ,3)/7</f>
        <v>0</v>
      </c>
      <c r="P150" s="322">
        <f>VLOOKUP($A150,[0]!ฝนใช้การ,3)/7</f>
        <v>0</v>
      </c>
      <c r="Q150" s="322">
        <f t="shared" si="39"/>
        <v>60</v>
      </c>
      <c r="R150" s="322">
        <f t="shared" si="35"/>
        <v>0</v>
      </c>
      <c r="S150" s="322">
        <f t="shared" si="32"/>
        <v>0.12895483870967742</v>
      </c>
      <c r="T150" s="322">
        <f t="shared" si="33"/>
        <v>80.022618281460751</v>
      </c>
      <c r="U150" s="354">
        <f t="shared" si="36"/>
        <v>141</v>
      </c>
      <c r="V150" s="354">
        <f t="shared" si="40"/>
        <v>7</v>
      </c>
      <c r="W150" s="348">
        <v>27.742258064516133</v>
      </c>
      <c r="X150" s="346">
        <v>109.03129032258072</v>
      </c>
      <c r="Y150" s="566">
        <v>41.405999999999999</v>
      </c>
    </row>
    <row r="151" spans="1:25" x14ac:dyDescent="0.15">
      <c r="A151" s="201">
        <f t="shared" si="41"/>
        <v>20</v>
      </c>
      <c r="B151" s="260">
        <f t="shared" si="34"/>
        <v>39889</v>
      </c>
      <c r="C151" s="374">
        <f t="shared" si="28"/>
        <v>216.71904633677718</v>
      </c>
      <c r="D151" s="319">
        <f t="shared" si="37"/>
        <v>80.022618281460751</v>
      </c>
      <c r="E151" s="319">
        <f>VLOOKUP(MONTH(B151),[0]!Evap,3)</f>
        <v>5.5193548387096776</v>
      </c>
      <c r="F151" s="322">
        <f t="shared" si="38"/>
        <v>4.3050967741935491</v>
      </c>
      <c r="G151" s="319">
        <f t="shared" si="29"/>
        <v>11.995361408809321</v>
      </c>
      <c r="H151" s="322">
        <f t="shared" si="30"/>
        <v>5.1641191706350793E-2</v>
      </c>
      <c r="I151" s="322">
        <f>+fill_data!B195</f>
        <v>5.6470450873558335E-2</v>
      </c>
      <c r="J151" s="322">
        <f t="shared" si="31"/>
        <v>80.027447540627961</v>
      </c>
      <c r="K151" s="322">
        <f>+fill_data!C195</f>
        <v>4.193548387096774E-3</v>
      </c>
      <c r="L151" s="322">
        <f>+fill_data!F195</f>
        <v>0</v>
      </c>
      <c r="M151" s="322">
        <f>+fill_data!D195</f>
        <v>4.0161290322580652E-2</v>
      </c>
      <c r="N151" s="322">
        <f>++fill_data!E195</f>
        <v>8.4599999999999995E-2</v>
      </c>
      <c r="O151" s="322">
        <f>VLOOKUP($A151,[0]!ความต้องการน้ำ,3)/7</f>
        <v>0</v>
      </c>
      <c r="P151" s="322">
        <f>VLOOKUP($A151,[0]!ฝนใช้การ,3)/7</f>
        <v>0</v>
      </c>
      <c r="Q151" s="322">
        <f t="shared" si="39"/>
        <v>60</v>
      </c>
      <c r="R151" s="322">
        <f t="shared" si="35"/>
        <v>0</v>
      </c>
      <c r="S151" s="322">
        <f t="shared" si="32"/>
        <v>0.12895483870967742</v>
      </c>
      <c r="T151" s="322">
        <f t="shared" si="33"/>
        <v>79.898492701918286</v>
      </c>
      <c r="U151" s="354">
        <f t="shared" si="36"/>
        <v>141</v>
      </c>
      <c r="V151" s="354">
        <f t="shared" si="40"/>
        <v>7</v>
      </c>
      <c r="W151" s="348">
        <v>27.717741935483872</v>
      </c>
      <c r="X151" s="346">
        <v>108.85870967741943</v>
      </c>
      <c r="Y151" s="566">
        <v>41.102400000000003</v>
      </c>
    </row>
    <row r="152" spans="1:25" x14ac:dyDescent="0.15">
      <c r="A152" s="201">
        <f t="shared" si="41"/>
        <v>20</v>
      </c>
      <c r="B152" s="260">
        <f t="shared" si="34"/>
        <v>39890</v>
      </c>
      <c r="C152" s="374">
        <f t="shared" si="28"/>
        <v>216.70896809837438</v>
      </c>
      <c r="D152" s="319">
        <f t="shared" si="37"/>
        <v>79.898492701918286</v>
      </c>
      <c r="E152" s="319">
        <f>VLOOKUP(MONTH(B152),[0]!Evap,3)</f>
        <v>5.5193548387096776</v>
      </c>
      <c r="F152" s="322">
        <f t="shared" si="38"/>
        <v>4.3050967741935491</v>
      </c>
      <c r="G152" s="319">
        <f t="shared" si="29"/>
        <v>11.98646213230986</v>
      </c>
      <c r="H152" s="322">
        <f t="shared" si="30"/>
        <v>5.1602879459800313E-2</v>
      </c>
      <c r="I152" s="322">
        <f>+fill_data!B196</f>
        <v>5.6470450873558335E-2</v>
      </c>
      <c r="J152" s="322">
        <f t="shared" si="31"/>
        <v>79.903360273332041</v>
      </c>
      <c r="K152" s="322">
        <f>+fill_data!C196</f>
        <v>4.193548387096774E-3</v>
      </c>
      <c r="L152" s="322">
        <f>+fill_data!F196</f>
        <v>0</v>
      </c>
      <c r="M152" s="322">
        <f>+fill_data!D196</f>
        <v>4.0161290322580652E-2</v>
      </c>
      <c r="N152" s="322">
        <f>++fill_data!E196</f>
        <v>8.4599999999999995E-2</v>
      </c>
      <c r="O152" s="322">
        <f>VLOOKUP($A152,[0]!ความต้องการน้ำ,3)/7</f>
        <v>0</v>
      </c>
      <c r="P152" s="322">
        <f>VLOOKUP($A152,[0]!ฝนใช้การ,3)/7</f>
        <v>0</v>
      </c>
      <c r="Q152" s="322">
        <f t="shared" si="39"/>
        <v>60</v>
      </c>
      <c r="R152" s="322">
        <f t="shared" si="35"/>
        <v>0</v>
      </c>
      <c r="S152" s="322">
        <f t="shared" si="32"/>
        <v>0.12895483870967742</v>
      </c>
      <c r="T152" s="322">
        <f t="shared" si="33"/>
        <v>79.774405434622366</v>
      </c>
      <c r="U152" s="354">
        <f t="shared" si="36"/>
        <v>141</v>
      </c>
      <c r="V152" s="354">
        <f t="shared" si="40"/>
        <v>7</v>
      </c>
      <c r="W152" s="348">
        <v>27.693225806451615</v>
      </c>
      <c r="X152" s="346">
        <v>108.68612903225814</v>
      </c>
      <c r="Y152" s="566">
        <v>40.697600000000001</v>
      </c>
    </row>
    <row r="153" spans="1:25" x14ac:dyDescent="0.15">
      <c r="A153" s="201">
        <f t="shared" si="41"/>
        <v>20</v>
      </c>
      <c r="B153" s="260">
        <f t="shared" si="34"/>
        <v>39891</v>
      </c>
      <c r="C153" s="374">
        <f t="shared" si="28"/>
        <v>216.69889297069182</v>
      </c>
      <c r="D153" s="319">
        <f t="shared" si="37"/>
        <v>79.774405434622366</v>
      </c>
      <c r="E153" s="319">
        <f>VLOOKUP(MONTH(B153),[0]!Evap,3)</f>
        <v>5.5193548387096776</v>
      </c>
      <c r="F153" s="322">
        <f t="shared" si="38"/>
        <v>4.3050967741935491</v>
      </c>
      <c r="G153" s="319">
        <f t="shared" si="29"/>
        <v>11.977565602635643</v>
      </c>
      <c r="H153" s="322">
        <f t="shared" si="30"/>
        <v>5.1564579038598318E-2</v>
      </c>
      <c r="I153" s="322">
        <f>+fill_data!B197</f>
        <v>5.6470450873558335E-2</v>
      </c>
      <c r="J153" s="322">
        <f t="shared" si="31"/>
        <v>79.77931130645733</v>
      </c>
      <c r="K153" s="322">
        <f>+fill_data!C197</f>
        <v>4.193548387096774E-3</v>
      </c>
      <c r="L153" s="322">
        <f>+fill_data!F197</f>
        <v>0</v>
      </c>
      <c r="M153" s="322">
        <f>+fill_data!D197</f>
        <v>4.0161290322580652E-2</v>
      </c>
      <c r="N153" s="322">
        <f>++fill_data!E197</f>
        <v>8.4599999999999995E-2</v>
      </c>
      <c r="O153" s="322">
        <f>VLOOKUP($A153,[0]!ความต้องการน้ำ,3)/7</f>
        <v>0</v>
      </c>
      <c r="P153" s="322">
        <f>VLOOKUP($A153,[0]!ฝนใช้การ,3)/7</f>
        <v>0</v>
      </c>
      <c r="Q153" s="322">
        <f t="shared" si="39"/>
        <v>60</v>
      </c>
      <c r="R153" s="322">
        <f t="shared" si="35"/>
        <v>0</v>
      </c>
      <c r="S153" s="322">
        <f t="shared" si="32"/>
        <v>0.12895483870967742</v>
      </c>
      <c r="T153" s="322">
        <f t="shared" si="33"/>
        <v>79.650356467747656</v>
      </c>
      <c r="U153" s="354">
        <f t="shared" si="36"/>
        <v>141</v>
      </c>
      <c r="V153" s="354">
        <f t="shared" si="40"/>
        <v>7</v>
      </c>
      <c r="W153" s="348">
        <v>27.668709677419358</v>
      </c>
      <c r="X153" s="346">
        <v>108.51354838709685</v>
      </c>
      <c r="Y153" s="566">
        <v>40.393999999999998</v>
      </c>
    </row>
    <row r="154" spans="1:25" x14ac:dyDescent="0.15">
      <c r="A154" s="201">
        <f t="shared" si="41"/>
        <v>20</v>
      </c>
      <c r="B154" s="260">
        <f t="shared" si="34"/>
        <v>39892</v>
      </c>
      <c r="C154" s="374">
        <f t="shared" si="28"/>
        <v>216.68882095276936</v>
      </c>
      <c r="D154" s="319">
        <f t="shared" si="37"/>
        <v>79.650356467747656</v>
      </c>
      <c r="E154" s="319">
        <f>VLOOKUP(MONTH(B154),[0]!Evap,3)</f>
        <v>5.5193548387096776</v>
      </c>
      <c r="F154" s="322">
        <f t="shared" si="38"/>
        <v>4.3050967741935491</v>
      </c>
      <c r="G154" s="319">
        <f t="shared" si="29"/>
        <v>11.968671818938844</v>
      </c>
      <c r="H154" s="322">
        <f t="shared" si="30"/>
        <v>5.152629043909486E-2</v>
      </c>
      <c r="I154" s="322">
        <f>+fill_data!B198</f>
        <v>5.6470450873558335E-2</v>
      </c>
      <c r="J154" s="322">
        <f t="shared" si="31"/>
        <v>79.655300628182118</v>
      </c>
      <c r="K154" s="322">
        <f>+fill_data!C198</f>
        <v>4.193548387096774E-3</v>
      </c>
      <c r="L154" s="322">
        <f>+fill_data!F198</f>
        <v>0</v>
      </c>
      <c r="M154" s="322">
        <f>+fill_data!D198</f>
        <v>4.0161290322580652E-2</v>
      </c>
      <c r="N154" s="322">
        <f>++fill_data!E198</f>
        <v>8.4599999999999995E-2</v>
      </c>
      <c r="O154" s="322">
        <f>VLOOKUP($A154,[0]!ความต้องการน้ำ,3)/7</f>
        <v>0</v>
      </c>
      <c r="P154" s="322">
        <f>VLOOKUP($A154,[0]!ฝนใช้การ,3)/7</f>
        <v>0</v>
      </c>
      <c r="Q154" s="322">
        <f t="shared" si="39"/>
        <v>60</v>
      </c>
      <c r="R154" s="322">
        <f t="shared" si="35"/>
        <v>0</v>
      </c>
      <c r="S154" s="322">
        <f t="shared" si="32"/>
        <v>0.12895483870967742</v>
      </c>
      <c r="T154" s="322">
        <f t="shared" si="33"/>
        <v>79.526345789472444</v>
      </c>
      <c r="U154" s="354">
        <f t="shared" si="36"/>
        <v>141</v>
      </c>
      <c r="V154" s="354">
        <f t="shared" si="40"/>
        <v>7</v>
      </c>
      <c r="W154" s="348">
        <v>27.644193548387101</v>
      </c>
      <c r="X154" s="346">
        <v>108.34096774193557</v>
      </c>
      <c r="Y154" s="566">
        <v>40.191600000000001</v>
      </c>
    </row>
    <row r="155" spans="1:25" x14ac:dyDescent="0.15">
      <c r="A155" s="201">
        <v>21</v>
      </c>
      <c r="B155" s="260">
        <f t="shared" si="34"/>
        <v>39893</v>
      </c>
      <c r="C155" s="374">
        <f t="shared" si="28"/>
        <v>216.67875204364719</v>
      </c>
      <c r="D155" s="319">
        <f t="shared" si="37"/>
        <v>79.526345789472444</v>
      </c>
      <c r="E155" s="319">
        <f>VLOOKUP(MONTH(B155),[0]!Evap,3)</f>
        <v>5.5193548387096776</v>
      </c>
      <c r="F155" s="322">
        <f t="shared" si="38"/>
        <v>4.3050967741935491</v>
      </c>
      <c r="G155" s="319">
        <f t="shared" si="29"/>
        <v>11.959780780371897</v>
      </c>
      <c r="H155" s="322">
        <f t="shared" si="30"/>
        <v>5.1488013657641059E-2</v>
      </c>
      <c r="I155" s="322">
        <f>+fill_data!B199</f>
        <v>5.6470450873558335E-2</v>
      </c>
      <c r="J155" s="322">
        <f t="shared" si="31"/>
        <v>79.531328226688359</v>
      </c>
      <c r="K155" s="322">
        <f>+fill_data!C199</f>
        <v>4.193548387096774E-3</v>
      </c>
      <c r="L155" s="322">
        <f>+fill_data!F199</f>
        <v>0</v>
      </c>
      <c r="M155" s="322">
        <f>+fill_data!D199</f>
        <v>4.0161290322580652E-2</v>
      </c>
      <c r="N155" s="322">
        <f>++fill_data!E199</f>
        <v>8.4599999999999995E-2</v>
      </c>
      <c r="O155" s="322">
        <f>VLOOKUP($A155,[0]!ความต้องการน้ำ,3)/7</f>
        <v>0</v>
      </c>
      <c r="P155" s="322">
        <f>VLOOKUP($A155,[0]!ฝนใช้การ,3)/7</f>
        <v>0</v>
      </c>
      <c r="Q155" s="322">
        <f t="shared" si="39"/>
        <v>60</v>
      </c>
      <c r="R155" s="322">
        <f t="shared" si="35"/>
        <v>0</v>
      </c>
      <c r="S155" s="322">
        <f t="shared" si="32"/>
        <v>0.12895483870967742</v>
      </c>
      <c r="T155" s="322">
        <f t="shared" si="33"/>
        <v>79.402373387978685</v>
      </c>
      <c r="U155" s="354">
        <f t="shared" si="36"/>
        <v>141</v>
      </c>
      <c r="V155" s="354">
        <f t="shared" si="40"/>
        <v>7</v>
      </c>
      <c r="W155" s="348">
        <v>27.61967741935484</v>
      </c>
      <c r="X155" s="346">
        <v>108.16838709677428</v>
      </c>
      <c r="Y155" s="566">
        <v>39.887999999999998</v>
      </c>
    </row>
    <row r="156" spans="1:25" x14ac:dyDescent="0.15">
      <c r="A156" s="201">
        <f t="shared" si="41"/>
        <v>21</v>
      </c>
      <c r="B156" s="260">
        <f t="shared" si="34"/>
        <v>39894</v>
      </c>
      <c r="C156" s="374">
        <f t="shared" si="28"/>
        <v>216.66868624236571</v>
      </c>
      <c r="D156" s="319">
        <f t="shared" si="37"/>
        <v>79.402373387978685</v>
      </c>
      <c r="E156" s="319">
        <f>VLOOKUP(MONTH(B156),[0]!Evap,3)</f>
        <v>5.5193548387096776</v>
      </c>
      <c r="F156" s="322">
        <f t="shared" si="38"/>
        <v>4.3050967741935491</v>
      </c>
      <c r="G156" s="319">
        <f t="shared" si="29"/>
        <v>11.950892486087497</v>
      </c>
      <c r="H156" s="322">
        <f t="shared" si="30"/>
        <v>5.1449748690589207E-2</v>
      </c>
      <c r="I156" s="322">
        <f>+fill_data!B200</f>
        <v>5.6470450873558335E-2</v>
      </c>
      <c r="J156" s="322">
        <f t="shared" si="31"/>
        <v>79.40739409016166</v>
      </c>
      <c r="K156" s="322">
        <f>+fill_data!C200</f>
        <v>4.193548387096774E-3</v>
      </c>
      <c r="L156" s="322">
        <f>+fill_data!F200</f>
        <v>0</v>
      </c>
      <c r="M156" s="322">
        <f>+fill_data!D200</f>
        <v>4.0161290322580652E-2</v>
      </c>
      <c r="N156" s="322">
        <f>++fill_data!E200</f>
        <v>8.4599999999999995E-2</v>
      </c>
      <c r="O156" s="322">
        <f>VLOOKUP($A156,[0]!ความต้องการน้ำ,3)/7</f>
        <v>0</v>
      </c>
      <c r="P156" s="322">
        <f>VLOOKUP($A156,[0]!ฝนใช้การ,3)/7</f>
        <v>0</v>
      </c>
      <c r="Q156" s="322">
        <f t="shared" si="39"/>
        <v>60</v>
      </c>
      <c r="R156" s="322">
        <f t="shared" si="35"/>
        <v>0</v>
      </c>
      <c r="S156" s="322">
        <f t="shared" si="32"/>
        <v>0.12895483870967742</v>
      </c>
      <c r="T156" s="322">
        <f t="shared" si="33"/>
        <v>79.278439251451985</v>
      </c>
      <c r="U156" s="354">
        <f t="shared" si="36"/>
        <v>141</v>
      </c>
      <c r="V156" s="354">
        <f t="shared" si="40"/>
        <v>7</v>
      </c>
      <c r="W156" s="348">
        <v>27.595161290322583</v>
      </c>
      <c r="X156" s="346">
        <v>107.99580645161299</v>
      </c>
      <c r="Y156" s="566">
        <v>39.70984</v>
      </c>
    </row>
    <row r="157" spans="1:25" x14ac:dyDescent="0.15">
      <c r="A157" s="201">
        <f t="shared" si="41"/>
        <v>21</v>
      </c>
      <c r="B157" s="260">
        <f t="shared" si="34"/>
        <v>39895</v>
      </c>
      <c r="C157" s="374">
        <f t="shared" si="28"/>
        <v>216.65862354796568</v>
      </c>
      <c r="D157" s="319">
        <f t="shared" si="37"/>
        <v>79.278439251451985</v>
      </c>
      <c r="E157" s="319">
        <f>VLOOKUP(MONTH(B157),[0]!Evap,3)</f>
        <v>5.5193548387096776</v>
      </c>
      <c r="F157" s="322">
        <f t="shared" si="38"/>
        <v>4.3050967741935491</v>
      </c>
      <c r="G157" s="319">
        <f t="shared" si="29"/>
        <v>11.942006935238604</v>
      </c>
      <c r="H157" s="322">
        <f t="shared" si="30"/>
        <v>5.1411495534292709E-2</v>
      </c>
      <c r="I157" s="322">
        <f>+fill_data!B201</f>
        <v>5.6470450873558335E-2</v>
      </c>
      <c r="J157" s="322">
        <f t="shared" si="31"/>
        <v>79.283498206791251</v>
      </c>
      <c r="K157" s="322">
        <f>+fill_data!C201</f>
        <v>4.193548387096774E-3</v>
      </c>
      <c r="L157" s="322">
        <f>+fill_data!F201</f>
        <v>0</v>
      </c>
      <c r="M157" s="322">
        <f>+fill_data!D201</f>
        <v>4.0161290322580652E-2</v>
      </c>
      <c r="N157" s="322">
        <f>++fill_data!E201</f>
        <v>8.4599999999999995E-2</v>
      </c>
      <c r="O157" s="322">
        <f>VLOOKUP($A157,[0]!ความต้องการน้ำ,3)/7</f>
        <v>0</v>
      </c>
      <c r="P157" s="322">
        <f>VLOOKUP($A157,[0]!ฝนใช้การ,3)/7</f>
        <v>0</v>
      </c>
      <c r="Q157" s="322">
        <f t="shared" si="39"/>
        <v>60</v>
      </c>
      <c r="R157" s="322">
        <f t="shared" si="35"/>
        <v>0</v>
      </c>
      <c r="S157" s="322">
        <f t="shared" si="32"/>
        <v>0.12895483870967742</v>
      </c>
      <c r="T157" s="322">
        <f t="shared" si="33"/>
        <v>79.154543368081576</v>
      </c>
      <c r="U157" s="354">
        <f t="shared" si="36"/>
        <v>141</v>
      </c>
      <c r="V157" s="354">
        <f t="shared" si="40"/>
        <v>7</v>
      </c>
      <c r="W157" s="348">
        <v>27.570645161290326</v>
      </c>
      <c r="X157" s="346">
        <v>107.8232258064517</v>
      </c>
      <c r="Y157" s="566">
        <v>39.620759999999997</v>
      </c>
    </row>
    <row r="158" spans="1:25" x14ac:dyDescent="0.15">
      <c r="A158" s="201">
        <f t="shared" si="41"/>
        <v>21</v>
      </c>
      <c r="B158" s="260">
        <f t="shared" si="34"/>
        <v>39896</v>
      </c>
      <c r="C158" s="374">
        <f t="shared" si="28"/>
        <v>216.64856395948811</v>
      </c>
      <c r="D158" s="319">
        <f t="shared" si="37"/>
        <v>79.154543368081576</v>
      </c>
      <c r="E158" s="319">
        <f>VLOOKUP(MONTH(B158),[0]!Evap,3)</f>
        <v>5.5193548387096776</v>
      </c>
      <c r="F158" s="322">
        <f t="shared" si="38"/>
        <v>4.3050967741935491</v>
      </c>
      <c r="G158" s="319">
        <f t="shared" si="29"/>
        <v>11.933124126978434</v>
      </c>
      <c r="H158" s="322">
        <f t="shared" si="30"/>
        <v>5.137325418510607E-2</v>
      </c>
      <c r="I158" s="322">
        <f>+fill_data!B202</f>
        <v>5.6470450873558335E-2</v>
      </c>
      <c r="J158" s="322">
        <f t="shared" si="31"/>
        <v>79.159640564770029</v>
      </c>
      <c r="K158" s="322">
        <f>+fill_data!C202</f>
        <v>4.193548387096774E-3</v>
      </c>
      <c r="L158" s="322">
        <f>+fill_data!F202</f>
        <v>0</v>
      </c>
      <c r="M158" s="322">
        <f>+fill_data!D202</f>
        <v>4.0161290322580652E-2</v>
      </c>
      <c r="N158" s="322">
        <f>++fill_data!E202</f>
        <v>8.4599999999999995E-2</v>
      </c>
      <c r="O158" s="322">
        <f>VLOOKUP($A158,[0]!ความต้องการน้ำ,3)/7</f>
        <v>0</v>
      </c>
      <c r="P158" s="322">
        <f>VLOOKUP($A158,[0]!ฝนใช้การ,3)/7</f>
        <v>0</v>
      </c>
      <c r="Q158" s="322">
        <f t="shared" si="39"/>
        <v>60</v>
      </c>
      <c r="R158" s="322">
        <f t="shared" si="35"/>
        <v>0</v>
      </c>
      <c r="S158" s="322">
        <f t="shared" si="32"/>
        <v>0.12895483870967742</v>
      </c>
      <c r="T158" s="322">
        <f t="shared" si="33"/>
        <v>79.030685726060355</v>
      </c>
      <c r="U158" s="354">
        <f t="shared" si="36"/>
        <v>141</v>
      </c>
      <c r="V158" s="354">
        <f t="shared" si="40"/>
        <v>7</v>
      </c>
      <c r="W158" s="348">
        <v>27.546129032258069</v>
      </c>
      <c r="X158" s="346">
        <v>107.65064516129043</v>
      </c>
      <c r="Y158" s="566">
        <v>39.531680000000001</v>
      </c>
    </row>
    <row r="159" spans="1:25" x14ac:dyDescent="0.15">
      <c r="A159" s="201">
        <f t="shared" si="41"/>
        <v>21</v>
      </c>
      <c r="B159" s="260">
        <f t="shared" si="34"/>
        <v>39897</v>
      </c>
      <c r="C159" s="374">
        <f t="shared" si="28"/>
        <v>216.63850747597439</v>
      </c>
      <c r="D159" s="319">
        <f t="shared" si="37"/>
        <v>79.030685726060355</v>
      </c>
      <c r="E159" s="319">
        <f>VLOOKUP(MONTH(B159),[0]!Evap,3)</f>
        <v>5.5193548387096776</v>
      </c>
      <c r="F159" s="322">
        <f t="shared" si="38"/>
        <v>4.3050967741935491</v>
      </c>
      <c r="G159" s="319">
        <f t="shared" si="29"/>
        <v>11.924244060460468</v>
      </c>
      <c r="H159" s="322">
        <f t="shared" si="30"/>
        <v>5.1335024639384948E-2</v>
      </c>
      <c r="I159" s="322">
        <f>+fill_data!B203</f>
        <v>5.6470450873558335E-2</v>
      </c>
      <c r="J159" s="322">
        <f t="shared" si="31"/>
        <v>79.035821152294531</v>
      </c>
      <c r="K159" s="322">
        <f>+fill_data!C203</f>
        <v>4.193548387096774E-3</v>
      </c>
      <c r="L159" s="322">
        <f>+fill_data!F203</f>
        <v>0</v>
      </c>
      <c r="M159" s="322">
        <f>+fill_data!D203</f>
        <v>4.0161290322580652E-2</v>
      </c>
      <c r="N159" s="322">
        <f>++fill_data!E203</f>
        <v>8.4599999999999995E-2</v>
      </c>
      <c r="O159" s="322">
        <f>VLOOKUP($A159,[0]!ความต้องการน้ำ,3)/7</f>
        <v>0</v>
      </c>
      <c r="P159" s="322">
        <f>VLOOKUP($A159,[0]!ฝนใช้การ,3)/7</f>
        <v>0</v>
      </c>
      <c r="Q159" s="322">
        <f t="shared" si="39"/>
        <v>60</v>
      </c>
      <c r="R159" s="322">
        <f t="shared" si="35"/>
        <v>0</v>
      </c>
      <c r="S159" s="322">
        <f t="shared" si="32"/>
        <v>0.12895483870967742</v>
      </c>
      <c r="T159" s="322">
        <f t="shared" si="33"/>
        <v>78.906866313584857</v>
      </c>
      <c r="U159" s="354">
        <f t="shared" si="36"/>
        <v>141</v>
      </c>
      <c r="V159" s="354">
        <f t="shared" si="40"/>
        <v>7</v>
      </c>
      <c r="W159" s="348">
        <v>27.521612903225808</v>
      </c>
      <c r="X159" s="346">
        <v>107.47806451612914</v>
      </c>
      <c r="Y159" s="566">
        <v>39.353520000000003</v>
      </c>
    </row>
    <row r="160" spans="1:25" x14ac:dyDescent="0.15">
      <c r="A160" s="201">
        <f t="shared" si="41"/>
        <v>21</v>
      </c>
      <c r="B160" s="260">
        <f t="shared" si="34"/>
        <v>39898</v>
      </c>
      <c r="C160" s="374">
        <f t="shared" si="28"/>
        <v>216.62845409646613</v>
      </c>
      <c r="D160" s="319">
        <f t="shared" si="37"/>
        <v>78.906866313584857</v>
      </c>
      <c r="E160" s="319">
        <f>VLOOKUP(MONTH(B160),[0]!Evap,3)</f>
        <v>5.5193548387096776</v>
      </c>
      <c r="F160" s="322">
        <f t="shared" si="38"/>
        <v>4.3050967741935491</v>
      </c>
      <c r="G160" s="319">
        <f t="shared" si="29"/>
        <v>11.91536673483845</v>
      </c>
      <c r="H160" s="322">
        <f t="shared" si="30"/>
        <v>5.1296806893486133E-2</v>
      </c>
      <c r="I160" s="322">
        <f>+fill_data!B204</f>
        <v>5.6470450873558335E-2</v>
      </c>
      <c r="J160" s="322">
        <f t="shared" si="31"/>
        <v>78.912039957564929</v>
      </c>
      <c r="K160" s="322">
        <f>+fill_data!C204</f>
        <v>4.193548387096774E-3</v>
      </c>
      <c r="L160" s="322">
        <f>+fill_data!F204</f>
        <v>0</v>
      </c>
      <c r="M160" s="322">
        <f>+fill_data!D204</f>
        <v>4.0161290322580652E-2</v>
      </c>
      <c r="N160" s="322">
        <f>++fill_data!E204</f>
        <v>8.4599999999999995E-2</v>
      </c>
      <c r="O160" s="322">
        <f>VLOOKUP($A160,[0]!ความต้องการน้ำ,3)/7</f>
        <v>0</v>
      </c>
      <c r="P160" s="322">
        <f>VLOOKUP($A160,[0]!ฝนใช้การ,3)/7</f>
        <v>0</v>
      </c>
      <c r="Q160" s="322">
        <f t="shared" si="39"/>
        <v>60</v>
      </c>
      <c r="R160" s="322">
        <f t="shared" si="35"/>
        <v>0</v>
      </c>
      <c r="S160" s="322">
        <f t="shared" si="32"/>
        <v>0.12895483870967742</v>
      </c>
      <c r="T160" s="322">
        <f t="shared" si="33"/>
        <v>78.783085118855254</v>
      </c>
      <c r="U160" s="354">
        <f t="shared" si="36"/>
        <v>141</v>
      </c>
      <c r="V160" s="354">
        <f t="shared" si="40"/>
        <v>7</v>
      </c>
      <c r="W160" s="348">
        <v>27.497096774193551</v>
      </c>
      <c r="X160" s="346">
        <v>107.30548387096785</v>
      </c>
      <c r="Y160" s="566">
        <v>38.997199999999999</v>
      </c>
    </row>
    <row r="161" spans="1:25" x14ac:dyDescent="0.15">
      <c r="A161" s="201">
        <f t="shared" si="41"/>
        <v>21</v>
      </c>
      <c r="B161" s="260">
        <f t="shared" si="34"/>
        <v>39899</v>
      </c>
      <c r="C161" s="374">
        <f t="shared" si="28"/>
        <v>216.61840382000523</v>
      </c>
      <c r="D161" s="319">
        <f t="shared" si="37"/>
        <v>78.783085118855254</v>
      </c>
      <c r="E161" s="319">
        <f>VLOOKUP(MONTH(B161),[0]!Evap,3)</f>
        <v>5.5193548387096776</v>
      </c>
      <c r="F161" s="322">
        <f t="shared" si="38"/>
        <v>4.3050967741935491</v>
      </c>
      <c r="G161" s="319">
        <f t="shared" si="29"/>
        <v>11.906492149266381</v>
      </c>
      <c r="H161" s="322">
        <f t="shared" si="30"/>
        <v>5.125860094376751E-2</v>
      </c>
      <c r="I161" s="322">
        <f>+fill_data!B205</f>
        <v>5.6470450873558335E-2</v>
      </c>
      <c r="J161" s="322">
        <f t="shared" si="31"/>
        <v>78.788296968785048</v>
      </c>
      <c r="K161" s="322">
        <f>+fill_data!C205</f>
        <v>4.193548387096774E-3</v>
      </c>
      <c r="L161" s="322">
        <f>+fill_data!F205</f>
        <v>0</v>
      </c>
      <c r="M161" s="322">
        <f>+fill_data!D205</f>
        <v>4.0161290322580652E-2</v>
      </c>
      <c r="N161" s="322">
        <f>++fill_data!E205</f>
        <v>8.4599999999999995E-2</v>
      </c>
      <c r="O161" s="322">
        <f>VLOOKUP($A161,[0]!ความต้องการน้ำ,3)/7</f>
        <v>0</v>
      </c>
      <c r="P161" s="322">
        <f>VLOOKUP($A161,[0]!ฝนใช้การ,3)/7</f>
        <v>0</v>
      </c>
      <c r="Q161" s="322">
        <f t="shared" si="39"/>
        <v>60</v>
      </c>
      <c r="R161" s="322">
        <f t="shared" si="35"/>
        <v>0</v>
      </c>
      <c r="S161" s="322">
        <f t="shared" si="32"/>
        <v>0.12895483870967742</v>
      </c>
      <c r="T161" s="322">
        <f t="shared" si="33"/>
        <v>78.659342130075373</v>
      </c>
      <c r="U161" s="354">
        <f t="shared" si="36"/>
        <v>141</v>
      </c>
      <c r="V161" s="354">
        <f t="shared" si="40"/>
        <v>7</v>
      </c>
      <c r="W161" s="348">
        <v>27.472580645161294</v>
      </c>
      <c r="X161" s="346">
        <v>107.13290322580656</v>
      </c>
      <c r="Y161" s="566">
        <v>38.819040000000001</v>
      </c>
    </row>
    <row r="162" spans="1:25" x14ac:dyDescent="0.15">
      <c r="A162" s="201">
        <v>22</v>
      </c>
      <c r="B162" s="260">
        <f t="shared" si="34"/>
        <v>39900</v>
      </c>
      <c r="C162" s="374">
        <f t="shared" si="28"/>
        <v>216.60835664563396</v>
      </c>
      <c r="D162" s="319">
        <f t="shared" si="37"/>
        <v>78.659342130075373</v>
      </c>
      <c r="E162" s="319">
        <f>VLOOKUP(MONTH(B162),[0]!Evap,3)</f>
        <v>5.5193548387096776</v>
      </c>
      <c r="F162" s="322">
        <f t="shared" si="38"/>
        <v>4.3050967741935491</v>
      </c>
      <c r="G162" s="319">
        <f t="shared" si="29"/>
        <v>11.897620302898526</v>
      </c>
      <c r="H162" s="322">
        <f t="shared" si="30"/>
        <v>5.1220406786588117E-2</v>
      </c>
      <c r="I162" s="322">
        <f>+fill_data!B206</f>
        <v>5.6470450873558335E-2</v>
      </c>
      <c r="J162" s="322">
        <f t="shared" si="31"/>
        <v>78.664592174162351</v>
      </c>
      <c r="K162" s="322">
        <f>+fill_data!C206</f>
        <v>4.193548387096774E-3</v>
      </c>
      <c r="L162" s="322">
        <f>+fill_data!F206</f>
        <v>0</v>
      </c>
      <c r="M162" s="322">
        <f>+fill_data!D206</f>
        <v>4.0161290322580652E-2</v>
      </c>
      <c r="N162" s="322">
        <f>++fill_data!E206</f>
        <v>8.4599999999999995E-2</v>
      </c>
      <c r="O162" s="322">
        <f>VLOOKUP($A162,[0]!ความต้องการน้ำ,3)/7</f>
        <v>0</v>
      </c>
      <c r="P162" s="322">
        <f>VLOOKUP($A162,[0]!ฝนใช้การ,3)/7</f>
        <v>0</v>
      </c>
      <c r="Q162" s="322">
        <f t="shared" si="39"/>
        <v>60</v>
      </c>
      <c r="R162" s="322">
        <f t="shared" si="35"/>
        <v>0</v>
      </c>
      <c r="S162" s="322">
        <f t="shared" si="32"/>
        <v>0.12895483870967742</v>
      </c>
      <c r="T162" s="322">
        <f t="shared" si="33"/>
        <v>78.535637335452677</v>
      </c>
      <c r="U162" s="354">
        <f t="shared" si="36"/>
        <v>141</v>
      </c>
      <c r="V162" s="354">
        <f t="shared" si="40"/>
        <v>7</v>
      </c>
      <c r="W162" s="348">
        <v>27.448064516129037</v>
      </c>
      <c r="X162" s="346">
        <v>106.96032258064528</v>
      </c>
      <c r="Y162" s="566">
        <v>38.640880000000003</v>
      </c>
    </row>
    <row r="163" spans="1:25" x14ac:dyDescent="0.15">
      <c r="A163" s="201">
        <f t="shared" si="41"/>
        <v>22</v>
      </c>
      <c r="B163" s="260">
        <f t="shared" si="34"/>
        <v>39901</v>
      </c>
      <c r="C163" s="374">
        <f t="shared" si="28"/>
        <v>216.59831257239478</v>
      </c>
      <c r="D163" s="319">
        <f t="shared" si="37"/>
        <v>78.535637335452677</v>
      </c>
      <c r="E163" s="319">
        <f>VLOOKUP(MONTH(B163),[0]!Evap,3)</f>
        <v>5.5193548387096776</v>
      </c>
      <c r="F163" s="322">
        <f t="shared" si="38"/>
        <v>4.3050967741935491</v>
      </c>
      <c r="G163" s="319">
        <f t="shared" si="29"/>
        <v>11.888751194889409</v>
      </c>
      <c r="H163" s="322">
        <f t="shared" si="30"/>
        <v>5.1182224418308095E-2</v>
      </c>
      <c r="I163" s="322">
        <f>+fill_data!B207</f>
        <v>5.6470450873558335E-2</v>
      </c>
      <c r="J163" s="322">
        <f t="shared" si="31"/>
        <v>78.540925561907926</v>
      </c>
      <c r="K163" s="322">
        <f>+fill_data!C207</f>
        <v>4.193548387096774E-3</v>
      </c>
      <c r="L163" s="322">
        <f>+fill_data!F207</f>
        <v>0</v>
      </c>
      <c r="M163" s="322">
        <f>+fill_data!D207</f>
        <v>4.0161290322580652E-2</v>
      </c>
      <c r="N163" s="322">
        <f>++fill_data!E207</f>
        <v>8.4599999999999995E-2</v>
      </c>
      <c r="O163" s="322">
        <f>VLOOKUP($A163,[0]!ความต้องการน้ำ,3)/7</f>
        <v>0</v>
      </c>
      <c r="P163" s="322">
        <f>VLOOKUP($A163,[0]!ฝนใช้การ,3)/7</f>
        <v>0</v>
      </c>
      <c r="Q163" s="322">
        <f t="shared" si="39"/>
        <v>60</v>
      </c>
      <c r="R163" s="322">
        <f t="shared" si="35"/>
        <v>0</v>
      </c>
      <c r="S163" s="322">
        <f t="shared" si="32"/>
        <v>0.12895483870967742</v>
      </c>
      <c r="T163" s="322">
        <f t="shared" si="33"/>
        <v>78.411970723198252</v>
      </c>
      <c r="U163" s="354">
        <f t="shared" si="36"/>
        <v>141</v>
      </c>
      <c r="V163" s="354">
        <f t="shared" si="40"/>
        <v>7</v>
      </c>
      <c r="W163" s="348">
        <v>27.423548387096776</v>
      </c>
      <c r="X163" s="346">
        <v>106.78774193548399</v>
      </c>
      <c r="Y163" s="566">
        <v>38.5518</v>
      </c>
    </row>
    <row r="164" spans="1:25" x14ac:dyDescent="0.15">
      <c r="A164" s="201">
        <f t="shared" si="41"/>
        <v>22</v>
      </c>
      <c r="B164" s="260">
        <f t="shared" si="34"/>
        <v>39902</v>
      </c>
      <c r="C164" s="374">
        <f t="shared" si="28"/>
        <v>216.58827159933054</v>
      </c>
      <c r="D164" s="319">
        <f t="shared" si="37"/>
        <v>78.411970723198252</v>
      </c>
      <c r="E164" s="319">
        <f>VLOOKUP(MONTH(B164),[0]!Evap,3)</f>
        <v>5.5193548387096776</v>
      </c>
      <c r="F164" s="322">
        <f t="shared" si="38"/>
        <v>4.3050967741935491</v>
      </c>
      <c r="G164" s="319">
        <f t="shared" si="29"/>
        <v>11.879884824393814</v>
      </c>
      <c r="H164" s="322">
        <f t="shared" si="30"/>
        <v>5.1144053835288708E-2</v>
      </c>
      <c r="I164" s="322">
        <f>+fill_data!B208</f>
        <v>5.6470450873558335E-2</v>
      </c>
      <c r="J164" s="322">
        <f t="shared" si="31"/>
        <v>78.417297120236526</v>
      </c>
      <c r="K164" s="322">
        <f>+fill_data!C208</f>
        <v>4.193548387096774E-3</v>
      </c>
      <c r="L164" s="322">
        <f>+fill_data!F208</f>
        <v>0</v>
      </c>
      <c r="M164" s="322">
        <f>+fill_data!D208</f>
        <v>4.0161290322580652E-2</v>
      </c>
      <c r="N164" s="322">
        <f>++fill_data!E208</f>
        <v>8.4599999999999995E-2</v>
      </c>
      <c r="O164" s="322">
        <f>VLOOKUP($A164,[0]!ความต้องการน้ำ,3)/7</f>
        <v>0</v>
      </c>
      <c r="P164" s="322">
        <f>VLOOKUP($A164,[0]!ฝนใช้การ,3)/7</f>
        <v>0</v>
      </c>
      <c r="Q164" s="322">
        <f t="shared" si="39"/>
        <v>60</v>
      </c>
      <c r="R164" s="322">
        <f t="shared" si="35"/>
        <v>0</v>
      </c>
      <c r="S164" s="322">
        <f t="shared" si="32"/>
        <v>0.12895483870967742</v>
      </c>
      <c r="T164" s="322">
        <f t="shared" si="33"/>
        <v>78.288342281526852</v>
      </c>
      <c r="U164" s="354">
        <f t="shared" si="36"/>
        <v>141</v>
      </c>
      <c r="V164" s="354">
        <f t="shared" si="40"/>
        <v>7</v>
      </c>
      <c r="W164" s="348">
        <v>27.399032258064519</v>
      </c>
      <c r="X164" s="346">
        <v>106.6151612903227</v>
      </c>
      <c r="Y164" s="566">
        <v>38.373640000000002</v>
      </c>
    </row>
    <row r="165" spans="1:25" x14ac:dyDescent="0.15">
      <c r="A165" s="201">
        <f t="shared" si="41"/>
        <v>22</v>
      </c>
      <c r="B165" s="260">
        <f t="shared" si="34"/>
        <v>39903</v>
      </c>
      <c r="C165" s="374">
        <f t="shared" si="28"/>
        <v>216.57823372548435</v>
      </c>
      <c r="D165" s="319">
        <f t="shared" si="37"/>
        <v>78.288342281526852</v>
      </c>
      <c r="E165" s="319">
        <f>VLOOKUP(MONTH(B165),[0]!Evap,3)</f>
        <v>5.5193548387096776</v>
      </c>
      <c r="F165" s="322">
        <f t="shared" si="38"/>
        <v>4.3050967741935491</v>
      </c>
      <c r="G165" s="319">
        <f t="shared" si="29"/>
        <v>11.871021190566793</v>
      </c>
      <c r="H165" s="322">
        <f t="shared" si="30"/>
        <v>5.1105895033892366E-2</v>
      </c>
      <c r="I165" s="322">
        <f>+fill_data!B209</f>
        <v>5.6470450873558335E-2</v>
      </c>
      <c r="J165" s="322">
        <f t="shared" si="31"/>
        <v>78.293706837366514</v>
      </c>
      <c r="K165" s="322">
        <f>+fill_data!C209</f>
        <v>4.193548387096774E-3</v>
      </c>
      <c r="L165" s="322">
        <f>+fill_data!F209</f>
        <v>0</v>
      </c>
      <c r="M165" s="322">
        <f>+fill_data!D209</f>
        <v>4.0161290322580652E-2</v>
      </c>
      <c r="N165" s="322">
        <f>++fill_data!E209</f>
        <v>8.4599999999999995E-2</v>
      </c>
      <c r="O165" s="322">
        <f>VLOOKUP($A165,[0]!ความต้องการน้ำ,3)/7</f>
        <v>0</v>
      </c>
      <c r="P165" s="322">
        <f>VLOOKUP($A165,[0]!ฝนใช้การ,3)/7</f>
        <v>0</v>
      </c>
      <c r="Q165" s="322">
        <f t="shared" si="39"/>
        <v>60</v>
      </c>
      <c r="R165" s="322">
        <f t="shared" si="35"/>
        <v>0</v>
      </c>
      <c r="S165" s="322">
        <f t="shared" si="32"/>
        <v>0.12895483870967742</v>
      </c>
      <c r="T165" s="322">
        <f t="shared" si="33"/>
        <v>78.16475199865684</v>
      </c>
      <c r="U165" s="354">
        <f t="shared" si="36"/>
        <v>141</v>
      </c>
      <c r="V165" s="354">
        <f t="shared" si="40"/>
        <v>7</v>
      </c>
      <c r="W165" s="348">
        <v>27.374516129032262</v>
      </c>
      <c r="X165" s="346">
        <v>106.44258064516141</v>
      </c>
      <c r="Y165" s="566">
        <v>38.373640000000002</v>
      </c>
    </row>
    <row r="166" spans="1:25" x14ac:dyDescent="0.15">
      <c r="A166" s="201">
        <f t="shared" si="41"/>
        <v>22</v>
      </c>
      <c r="B166" s="260">
        <f t="shared" si="34"/>
        <v>39904</v>
      </c>
      <c r="C166" s="374">
        <f t="shared" si="28"/>
        <v>216.56819894989962</v>
      </c>
      <c r="D166" s="319">
        <f t="shared" si="37"/>
        <v>78.16475199865684</v>
      </c>
      <c r="E166" s="319">
        <f>VLOOKUP(MONTH(B166),[0]!Evap,3)</f>
        <v>5.9233333333333329</v>
      </c>
      <c r="F166" s="322">
        <f t="shared" si="38"/>
        <v>4.6201999999999996</v>
      </c>
      <c r="G166" s="319">
        <f t="shared" si="29"/>
        <v>11.862160292563651</v>
      </c>
      <c r="H166" s="322">
        <f t="shared" si="30"/>
        <v>5.4805552983702578E-2</v>
      </c>
      <c r="I166" s="322">
        <f>+fill_data!B210</f>
        <v>6.9330923096873817E-2</v>
      </c>
      <c r="J166" s="322">
        <f t="shared" si="31"/>
        <v>78.179277368770002</v>
      </c>
      <c r="K166" s="322">
        <f>+fill_data!C210</f>
        <v>4.3333333333333331E-3</v>
      </c>
      <c r="L166" s="322">
        <f>+fill_data!F210</f>
        <v>0</v>
      </c>
      <c r="M166" s="322">
        <f>+fill_data!D210</f>
        <v>3.8166666666666668E-2</v>
      </c>
      <c r="N166" s="322">
        <f>++fill_data!E210</f>
        <v>8.4599999999999995E-2</v>
      </c>
      <c r="O166" s="322">
        <f>VLOOKUP($A166,[0]!ความต้องการน้ำ,3)/7</f>
        <v>0</v>
      </c>
      <c r="P166" s="322">
        <f>VLOOKUP($A166,[0]!ฝนใช้การ,3)/7</f>
        <v>0</v>
      </c>
      <c r="Q166" s="322">
        <f t="shared" si="39"/>
        <v>60</v>
      </c>
      <c r="R166" s="322">
        <f t="shared" si="35"/>
        <v>0</v>
      </c>
      <c r="S166" s="322">
        <f t="shared" si="32"/>
        <v>0.12709999999999999</v>
      </c>
      <c r="T166" s="322">
        <f t="shared" si="33"/>
        <v>78.052177368770003</v>
      </c>
      <c r="U166" s="354">
        <f t="shared" si="36"/>
        <v>141</v>
      </c>
      <c r="V166" s="354">
        <f t="shared" si="40"/>
        <v>7</v>
      </c>
      <c r="W166" s="348">
        <v>27.35</v>
      </c>
      <c r="X166" s="346">
        <v>106.27</v>
      </c>
      <c r="Y166" s="566">
        <v>38.284559999999999</v>
      </c>
    </row>
    <row r="167" spans="1:25" x14ac:dyDescent="0.15">
      <c r="A167" s="201">
        <f t="shared" si="41"/>
        <v>22</v>
      </c>
      <c r="B167" s="260">
        <f t="shared" si="34"/>
        <v>39905</v>
      </c>
      <c r="C167" s="374">
        <f t="shared" si="28"/>
        <v>216.5590585780094</v>
      </c>
      <c r="D167" s="319">
        <f t="shared" si="37"/>
        <v>78.052177368770003</v>
      </c>
      <c r="E167" s="319">
        <f>VLOOKUP(MONTH(B167),[0]!Evap,3)</f>
        <v>5.9233333333333329</v>
      </c>
      <c r="F167" s="322">
        <f t="shared" si="38"/>
        <v>4.6201999999999996</v>
      </c>
      <c r="G167" s="319">
        <f t="shared" si="29"/>
        <v>11.8540891700611</v>
      </c>
      <c r="H167" s="322">
        <f t="shared" si="30"/>
        <v>5.4768262783516285E-2</v>
      </c>
      <c r="I167" s="322">
        <f>+fill_data!B211</f>
        <v>6.9330923096873817E-2</v>
      </c>
      <c r="J167" s="322">
        <f t="shared" si="31"/>
        <v>78.066740029083363</v>
      </c>
      <c r="K167" s="322">
        <f>+fill_data!C211</f>
        <v>4.3333333333333331E-3</v>
      </c>
      <c r="L167" s="322">
        <f>+fill_data!F211</f>
        <v>0</v>
      </c>
      <c r="M167" s="322">
        <f>+fill_data!D211</f>
        <v>3.8166666666666668E-2</v>
      </c>
      <c r="N167" s="322">
        <f>++fill_data!E211</f>
        <v>8.4599999999999995E-2</v>
      </c>
      <c r="O167" s="322">
        <f>VLOOKUP($A167,[0]!ความต้องการน้ำ,3)/7</f>
        <v>0</v>
      </c>
      <c r="P167" s="322">
        <f>VLOOKUP($A167,[0]!ฝนใช้การ,3)/7</f>
        <v>0</v>
      </c>
      <c r="Q167" s="322">
        <f t="shared" si="39"/>
        <v>60</v>
      </c>
      <c r="R167" s="322">
        <f t="shared" si="35"/>
        <v>0</v>
      </c>
      <c r="S167" s="322">
        <f t="shared" si="32"/>
        <v>0.12709999999999999</v>
      </c>
      <c r="T167" s="322">
        <f t="shared" si="33"/>
        <v>77.939640029083364</v>
      </c>
      <c r="U167" s="354">
        <f t="shared" si="36"/>
        <v>141</v>
      </c>
      <c r="V167" s="354">
        <f t="shared" si="40"/>
        <v>7</v>
      </c>
      <c r="W167" s="348">
        <v>27.338333333333331</v>
      </c>
      <c r="X167" s="346">
        <v>106.09033333333333</v>
      </c>
      <c r="Y167" s="566">
        <v>38.284559999999999</v>
      </c>
    </row>
    <row r="168" spans="1:25" x14ac:dyDescent="0.15">
      <c r="A168" s="201">
        <f t="shared" si="41"/>
        <v>22</v>
      </c>
      <c r="B168" s="260">
        <f t="shared" si="34"/>
        <v>39906</v>
      </c>
      <c r="C168" s="374">
        <f t="shared" si="28"/>
        <v>216.54992123385551</v>
      </c>
      <c r="D168" s="319">
        <f t="shared" si="37"/>
        <v>77.939640029083364</v>
      </c>
      <c r="E168" s="319">
        <f>VLOOKUP(MONTH(B168),[0]!Evap,3)</f>
        <v>5.9233333333333329</v>
      </c>
      <c r="F168" s="322">
        <f t="shared" si="38"/>
        <v>4.6201999999999996</v>
      </c>
      <c r="G168" s="319">
        <f t="shared" si="29"/>
        <v>11.846020721107413</v>
      </c>
      <c r="H168" s="322">
        <f t="shared" si="30"/>
        <v>5.4730984935660469E-2</v>
      </c>
      <c r="I168" s="322">
        <f>+fill_data!B212</f>
        <v>6.9330923096873817E-2</v>
      </c>
      <c r="J168" s="322">
        <f t="shared" si="31"/>
        <v>77.954239967244575</v>
      </c>
      <c r="K168" s="322">
        <f>+fill_data!C212</f>
        <v>4.3333333333333331E-3</v>
      </c>
      <c r="L168" s="322">
        <f>+fill_data!F212</f>
        <v>0</v>
      </c>
      <c r="M168" s="322">
        <f>+fill_data!D212</f>
        <v>3.8166666666666668E-2</v>
      </c>
      <c r="N168" s="322">
        <f>++fill_data!E212</f>
        <v>8.4599999999999995E-2</v>
      </c>
      <c r="O168" s="322">
        <f>VLOOKUP($A168,[0]!ความต้องการน้ำ,3)/7</f>
        <v>0</v>
      </c>
      <c r="P168" s="322">
        <f>VLOOKUP($A168,[0]!ฝนใช้การ,3)/7</f>
        <v>0</v>
      </c>
      <c r="Q168" s="322">
        <f t="shared" si="39"/>
        <v>60</v>
      </c>
      <c r="R168" s="322">
        <f t="shared" si="35"/>
        <v>0</v>
      </c>
      <c r="S168" s="322">
        <f t="shared" si="32"/>
        <v>0.12709999999999999</v>
      </c>
      <c r="T168" s="322">
        <f t="shared" si="33"/>
        <v>77.827139967244577</v>
      </c>
      <c r="U168" s="354">
        <f t="shared" si="36"/>
        <v>141</v>
      </c>
      <c r="V168" s="354">
        <f t="shared" si="40"/>
        <v>7</v>
      </c>
      <c r="W168" s="348">
        <v>27.326666666666664</v>
      </c>
      <c r="X168" s="346">
        <v>105.91066666666666</v>
      </c>
      <c r="Y168" s="566">
        <v>38.106400000000001</v>
      </c>
    </row>
    <row r="169" spans="1:25" x14ac:dyDescent="0.15">
      <c r="A169" s="201">
        <v>23</v>
      </c>
      <c r="B169" s="260">
        <f t="shared" si="34"/>
        <v>39907</v>
      </c>
      <c r="C169" s="374">
        <f t="shared" si="28"/>
        <v>216.54078691643502</v>
      </c>
      <c r="D169" s="319">
        <f t="shared" si="37"/>
        <v>77.827139967244577</v>
      </c>
      <c r="E169" s="319">
        <f>VLOOKUP(MONTH(B169),[0]!Evap,3)</f>
        <v>5.9233333333333329</v>
      </c>
      <c r="F169" s="322">
        <f t="shared" si="38"/>
        <v>4.6201999999999996</v>
      </c>
      <c r="G169" s="319">
        <f t="shared" si="29"/>
        <v>11.83795494481698</v>
      </c>
      <c r="H169" s="322">
        <f t="shared" si="30"/>
        <v>5.4693719436043405E-2</v>
      </c>
      <c r="I169" s="322">
        <f>+fill_data!B213</f>
        <v>6.9330923096873817E-2</v>
      </c>
      <c r="J169" s="322">
        <f t="shared" si="31"/>
        <v>77.841777170905402</v>
      </c>
      <c r="K169" s="322">
        <f>+fill_data!C213</f>
        <v>4.3333333333333331E-3</v>
      </c>
      <c r="L169" s="322">
        <f>+fill_data!F213</f>
        <v>0</v>
      </c>
      <c r="M169" s="322">
        <f>+fill_data!D213</f>
        <v>3.8166666666666668E-2</v>
      </c>
      <c r="N169" s="322">
        <f>++fill_data!E213</f>
        <v>8.4599999999999995E-2</v>
      </c>
      <c r="O169" s="322">
        <f>VLOOKUP($A169,[0]!ความต้องการน้ำ,3)/7</f>
        <v>0</v>
      </c>
      <c r="P169" s="322">
        <f>VLOOKUP($A169,[0]!ฝนใช้การ,3)/7</f>
        <v>0</v>
      </c>
      <c r="Q169" s="322">
        <f t="shared" si="39"/>
        <v>60</v>
      </c>
      <c r="R169" s="322">
        <f t="shared" si="35"/>
        <v>0</v>
      </c>
      <c r="S169" s="322">
        <f t="shared" si="32"/>
        <v>0.12709999999999999</v>
      </c>
      <c r="T169" s="322">
        <f t="shared" si="33"/>
        <v>77.714677170905404</v>
      </c>
      <c r="U169" s="354">
        <f t="shared" si="36"/>
        <v>141</v>
      </c>
      <c r="V169" s="354">
        <f t="shared" si="40"/>
        <v>7</v>
      </c>
      <c r="W169" s="348">
        <v>27.314999999999998</v>
      </c>
      <c r="X169" s="346">
        <v>105.73099999999998</v>
      </c>
      <c r="Y169" s="566">
        <v>37.928240000000002</v>
      </c>
    </row>
    <row r="170" spans="1:25" x14ac:dyDescent="0.15">
      <c r="A170" s="201">
        <f t="shared" si="41"/>
        <v>23</v>
      </c>
      <c r="B170" s="260">
        <f t="shared" si="34"/>
        <v>39908</v>
      </c>
      <c r="C170" s="374">
        <f t="shared" si="28"/>
        <v>216.53165562474533</v>
      </c>
      <c r="D170" s="319">
        <f t="shared" si="37"/>
        <v>77.714677170905404</v>
      </c>
      <c r="E170" s="319">
        <f>VLOOKUP(MONTH(B170),[0]!Evap,3)</f>
        <v>5.9233333333333329</v>
      </c>
      <c r="F170" s="322">
        <f t="shared" si="38"/>
        <v>4.6201999999999996</v>
      </c>
      <c r="G170" s="319">
        <f t="shared" si="29"/>
        <v>11.829891840304485</v>
      </c>
      <c r="H170" s="322">
        <f t="shared" si="30"/>
        <v>5.4656466280574779E-2</v>
      </c>
      <c r="I170" s="322">
        <f>+fill_data!B214</f>
        <v>6.9330923096873817E-2</v>
      </c>
      <c r="J170" s="322">
        <f t="shared" si="31"/>
        <v>77.729351627721698</v>
      </c>
      <c r="K170" s="322">
        <f>+fill_data!C214</f>
        <v>4.3333333333333331E-3</v>
      </c>
      <c r="L170" s="322">
        <f>+fill_data!F214</f>
        <v>0</v>
      </c>
      <c r="M170" s="322">
        <f>+fill_data!D214</f>
        <v>3.8166666666666668E-2</v>
      </c>
      <c r="N170" s="322">
        <f>++fill_data!E214</f>
        <v>8.4599999999999995E-2</v>
      </c>
      <c r="O170" s="322">
        <f>VLOOKUP($A170,[0]!ความต้องการน้ำ,3)/7</f>
        <v>0</v>
      </c>
      <c r="P170" s="322">
        <f>VLOOKUP($A170,[0]!ฝนใช้การ,3)/7</f>
        <v>0</v>
      </c>
      <c r="Q170" s="322">
        <f t="shared" si="39"/>
        <v>60</v>
      </c>
      <c r="R170" s="322">
        <f t="shared" si="35"/>
        <v>0</v>
      </c>
      <c r="S170" s="322">
        <f t="shared" si="32"/>
        <v>0.12709999999999999</v>
      </c>
      <c r="T170" s="322">
        <f t="shared" si="33"/>
        <v>77.602251627721699</v>
      </c>
      <c r="U170" s="354">
        <f t="shared" si="36"/>
        <v>141</v>
      </c>
      <c r="V170" s="354">
        <f t="shared" si="40"/>
        <v>7</v>
      </c>
      <c r="W170" s="348">
        <v>27.303333333333327</v>
      </c>
      <c r="X170" s="346">
        <v>105.55133333333332</v>
      </c>
      <c r="Y170" s="566">
        <v>37.661000000000001</v>
      </c>
    </row>
    <row r="171" spans="1:25" x14ac:dyDescent="0.15">
      <c r="A171" s="201">
        <f t="shared" si="41"/>
        <v>23</v>
      </c>
      <c r="B171" s="260">
        <f t="shared" si="34"/>
        <v>39909</v>
      </c>
      <c r="C171" s="374">
        <f t="shared" si="28"/>
        <v>216.52252735778418</v>
      </c>
      <c r="D171" s="319">
        <f t="shared" si="37"/>
        <v>77.602251627721699</v>
      </c>
      <c r="E171" s="319">
        <f>VLOOKUP(MONTH(B171),[0]!Evap,3)</f>
        <v>5.9233333333333329</v>
      </c>
      <c r="F171" s="322">
        <f t="shared" si="38"/>
        <v>4.6201999999999996</v>
      </c>
      <c r="G171" s="319">
        <f t="shared" si="29"/>
        <v>11.821831406684908</v>
      </c>
      <c r="H171" s="322">
        <f t="shared" si="30"/>
        <v>5.4619225465165608E-2</v>
      </c>
      <c r="I171" s="322">
        <f>+fill_data!B215</f>
        <v>6.9330923096873817E-2</v>
      </c>
      <c r="J171" s="322">
        <f t="shared" si="31"/>
        <v>77.61696332535341</v>
      </c>
      <c r="K171" s="322">
        <f>+fill_data!C215</f>
        <v>4.3333333333333331E-3</v>
      </c>
      <c r="L171" s="322">
        <f>+fill_data!F215</f>
        <v>0</v>
      </c>
      <c r="M171" s="322">
        <f>+fill_data!D215</f>
        <v>3.8166666666666668E-2</v>
      </c>
      <c r="N171" s="322">
        <f>++fill_data!E215</f>
        <v>8.4599999999999995E-2</v>
      </c>
      <c r="O171" s="322">
        <f>VLOOKUP($A171,[0]!ความต้องการน้ำ,3)/7</f>
        <v>0</v>
      </c>
      <c r="P171" s="322">
        <f>VLOOKUP($A171,[0]!ฝนใช้การ,3)/7</f>
        <v>0</v>
      </c>
      <c r="Q171" s="322">
        <f t="shared" si="39"/>
        <v>60</v>
      </c>
      <c r="R171" s="322">
        <f t="shared" si="35"/>
        <v>0</v>
      </c>
      <c r="S171" s="322">
        <f t="shared" si="32"/>
        <v>0.12709999999999999</v>
      </c>
      <c r="T171" s="322">
        <f t="shared" si="33"/>
        <v>77.489863325353411</v>
      </c>
      <c r="U171" s="354">
        <f t="shared" si="36"/>
        <v>141</v>
      </c>
      <c r="V171" s="354">
        <f t="shared" si="40"/>
        <v>7</v>
      </c>
      <c r="W171" s="348">
        <v>27.291666666666661</v>
      </c>
      <c r="X171" s="346">
        <v>105.37166666666664</v>
      </c>
      <c r="Y171" s="566">
        <v>37.661000000000001</v>
      </c>
    </row>
    <row r="172" spans="1:25" x14ac:dyDescent="0.15">
      <c r="A172" s="201">
        <f t="shared" si="41"/>
        <v>23</v>
      </c>
      <c r="B172" s="260">
        <f t="shared" si="34"/>
        <v>39910</v>
      </c>
      <c r="C172" s="374">
        <f t="shared" si="28"/>
        <v>216.51340211454965</v>
      </c>
      <c r="D172" s="319">
        <f t="shared" si="37"/>
        <v>77.489863325353411</v>
      </c>
      <c r="E172" s="319">
        <f>VLOOKUP(MONTH(B172),[0]!Evap,3)</f>
        <v>5.9233333333333329</v>
      </c>
      <c r="F172" s="322">
        <f t="shared" si="38"/>
        <v>4.6201999999999996</v>
      </c>
      <c r="G172" s="319">
        <f t="shared" si="29"/>
        <v>11.813773643073514</v>
      </c>
      <c r="H172" s="322">
        <f t="shared" si="30"/>
        <v>5.4581996985728243E-2</v>
      </c>
      <c r="I172" s="322">
        <f>+fill_data!B216</f>
        <v>6.9330923096873817E-2</v>
      </c>
      <c r="J172" s="322">
        <f t="shared" si="31"/>
        <v>77.50461225146455</v>
      </c>
      <c r="K172" s="322">
        <f>+fill_data!C216</f>
        <v>4.3333333333333331E-3</v>
      </c>
      <c r="L172" s="322">
        <f>+fill_data!F216</f>
        <v>0</v>
      </c>
      <c r="M172" s="322">
        <f>+fill_data!D216</f>
        <v>3.8166666666666668E-2</v>
      </c>
      <c r="N172" s="322">
        <f>++fill_data!E216</f>
        <v>8.4599999999999995E-2</v>
      </c>
      <c r="O172" s="322">
        <f>VLOOKUP($A172,[0]!ความต้องการน้ำ,3)/7</f>
        <v>0</v>
      </c>
      <c r="P172" s="322">
        <f>VLOOKUP($A172,[0]!ฝนใช้การ,3)/7</f>
        <v>0</v>
      </c>
      <c r="Q172" s="322">
        <f t="shared" si="39"/>
        <v>60</v>
      </c>
      <c r="R172" s="322">
        <f t="shared" si="35"/>
        <v>0</v>
      </c>
      <c r="S172" s="322">
        <f t="shared" si="32"/>
        <v>0.12709999999999999</v>
      </c>
      <c r="T172" s="322">
        <f t="shared" si="33"/>
        <v>77.377512251464552</v>
      </c>
      <c r="U172" s="354">
        <f t="shared" si="36"/>
        <v>141</v>
      </c>
      <c r="V172" s="354">
        <f t="shared" si="40"/>
        <v>7</v>
      </c>
      <c r="W172" s="348">
        <v>27.279999999999994</v>
      </c>
      <c r="X172" s="346">
        <v>105.19199999999996</v>
      </c>
      <c r="Y172" s="566">
        <v>37.571919999999999</v>
      </c>
    </row>
    <row r="173" spans="1:25" x14ac:dyDescent="0.15">
      <c r="A173" s="201">
        <f t="shared" si="41"/>
        <v>23</v>
      </c>
      <c r="B173" s="260">
        <f t="shared" si="34"/>
        <v>39911</v>
      </c>
      <c r="C173" s="374">
        <f t="shared" si="28"/>
        <v>216.50427989404008</v>
      </c>
      <c r="D173" s="319">
        <f t="shared" si="37"/>
        <v>77.377512251464552</v>
      </c>
      <c r="E173" s="319">
        <f>VLOOKUP(MONTH(B173),[0]!Evap,3)</f>
        <v>5.9233333333333329</v>
      </c>
      <c r="F173" s="322">
        <f t="shared" si="38"/>
        <v>4.6201999999999996</v>
      </c>
      <c r="G173" s="319">
        <f t="shared" si="29"/>
        <v>11.805718548585869</v>
      </c>
      <c r="H173" s="322">
        <f t="shared" si="30"/>
        <v>5.4544780838176425E-2</v>
      </c>
      <c r="I173" s="322">
        <f>+fill_data!B217</f>
        <v>6.9330923096873817E-2</v>
      </c>
      <c r="J173" s="322">
        <f t="shared" si="31"/>
        <v>77.392298393723252</v>
      </c>
      <c r="K173" s="322">
        <f>+fill_data!C217</f>
        <v>4.3333333333333331E-3</v>
      </c>
      <c r="L173" s="322">
        <f>+fill_data!F217</f>
        <v>0</v>
      </c>
      <c r="M173" s="322">
        <f>+fill_data!D217</f>
        <v>3.8166666666666668E-2</v>
      </c>
      <c r="N173" s="322">
        <f>++fill_data!E217</f>
        <v>8.4599999999999995E-2</v>
      </c>
      <c r="O173" s="322">
        <f>VLOOKUP($A173,[0]!ความต้องการน้ำ,3)/7</f>
        <v>0</v>
      </c>
      <c r="P173" s="322">
        <f>VLOOKUP($A173,[0]!ฝนใช้การ,3)/7</f>
        <v>0</v>
      </c>
      <c r="Q173" s="322">
        <f t="shared" si="39"/>
        <v>60</v>
      </c>
      <c r="R173" s="322">
        <f t="shared" si="35"/>
        <v>0</v>
      </c>
      <c r="S173" s="322">
        <f t="shared" si="32"/>
        <v>0.12709999999999999</v>
      </c>
      <c r="T173" s="322">
        <f t="shared" si="33"/>
        <v>77.265198393723253</v>
      </c>
      <c r="U173" s="354">
        <f t="shared" si="36"/>
        <v>141</v>
      </c>
      <c r="V173" s="354">
        <f t="shared" si="40"/>
        <v>7</v>
      </c>
      <c r="W173" s="348">
        <v>27.268333333333324</v>
      </c>
      <c r="X173" s="346">
        <v>105.0123333333333</v>
      </c>
      <c r="Y173" s="566">
        <v>37.571919999999999</v>
      </c>
    </row>
    <row r="174" spans="1:25" x14ac:dyDescent="0.15">
      <c r="A174" s="201">
        <f t="shared" si="41"/>
        <v>23</v>
      </c>
      <c r="B174" s="260">
        <f t="shared" si="34"/>
        <v>39912</v>
      </c>
      <c r="C174" s="374">
        <f t="shared" si="28"/>
        <v>216.4949724841959</v>
      </c>
      <c r="D174" s="319">
        <f t="shared" si="37"/>
        <v>77.265198393723253</v>
      </c>
      <c r="E174" s="319">
        <f>VLOOKUP(MONTH(B174),[0]!Evap,3)</f>
        <v>5.9233333333333329</v>
      </c>
      <c r="F174" s="322">
        <f t="shared" si="38"/>
        <v>4.6201999999999996</v>
      </c>
      <c r="G174" s="319">
        <f t="shared" si="29"/>
        <v>11.797488620996463</v>
      </c>
      <c r="H174" s="322">
        <f t="shared" si="30"/>
        <v>5.4506756926727851E-2</v>
      </c>
      <c r="I174" s="322">
        <f>+fill_data!B218</f>
        <v>6.9330923096873817E-2</v>
      </c>
      <c r="J174" s="322">
        <f t="shared" si="31"/>
        <v>77.280022559893396</v>
      </c>
      <c r="K174" s="322">
        <f>+fill_data!C218</f>
        <v>4.3333333333333331E-3</v>
      </c>
      <c r="L174" s="322">
        <f>+fill_data!F218</f>
        <v>0</v>
      </c>
      <c r="M174" s="322">
        <f>+fill_data!D218</f>
        <v>3.8166666666666668E-2</v>
      </c>
      <c r="N174" s="322">
        <f>++fill_data!E218</f>
        <v>8.4599999999999995E-2</v>
      </c>
      <c r="O174" s="322">
        <f>VLOOKUP($A174,[0]!ความต้องการน้ำ,3)/7</f>
        <v>0</v>
      </c>
      <c r="P174" s="322">
        <f>VLOOKUP($A174,[0]!ฝนใช้การ,3)/7</f>
        <v>0</v>
      </c>
      <c r="Q174" s="322">
        <f t="shared" si="39"/>
        <v>60</v>
      </c>
      <c r="R174" s="322">
        <f t="shared" si="35"/>
        <v>0</v>
      </c>
      <c r="S174" s="322">
        <f t="shared" si="32"/>
        <v>0.12709999999999999</v>
      </c>
      <c r="T174" s="322">
        <f t="shared" si="33"/>
        <v>77.152922559893398</v>
      </c>
      <c r="U174" s="354">
        <f t="shared" si="36"/>
        <v>141</v>
      </c>
      <c r="V174" s="354">
        <f t="shared" si="40"/>
        <v>7</v>
      </c>
      <c r="W174" s="348">
        <v>27.256666666666657</v>
      </c>
      <c r="X174" s="346">
        <v>104.83266666666663</v>
      </c>
      <c r="Y174" s="566">
        <v>37.482840000000003</v>
      </c>
    </row>
    <row r="175" spans="1:25" x14ac:dyDescent="0.15">
      <c r="A175" s="201">
        <f t="shared" si="41"/>
        <v>23</v>
      </c>
      <c r="B175" s="260">
        <f t="shared" si="34"/>
        <v>39913</v>
      </c>
      <c r="C175" s="374">
        <f t="shared" si="28"/>
        <v>216.48550182737048</v>
      </c>
      <c r="D175" s="319">
        <f t="shared" si="37"/>
        <v>77.152922559893398</v>
      </c>
      <c r="E175" s="319">
        <f>VLOOKUP(MONTH(B175),[0]!Evap,3)</f>
        <v>5.9233333333333329</v>
      </c>
      <c r="F175" s="322">
        <f t="shared" si="38"/>
        <v>4.6201999999999996</v>
      </c>
      <c r="G175" s="319">
        <f t="shared" si="29"/>
        <v>11.789104550139319</v>
      </c>
      <c r="H175" s="322">
        <f t="shared" si="30"/>
        <v>5.4468020842553679E-2</v>
      </c>
      <c r="I175" s="322">
        <f>+fill_data!B219</f>
        <v>6.9330923096873817E-2</v>
      </c>
      <c r="J175" s="322">
        <f t="shared" si="31"/>
        <v>77.167785462147719</v>
      </c>
      <c r="K175" s="322">
        <f>+fill_data!C219</f>
        <v>4.3333333333333331E-3</v>
      </c>
      <c r="L175" s="322">
        <f>+fill_data!F219</f>
        <v>0</v>
      </c>
      <c r="M175" s="322">
        <f>+fill_data!D219</f>
        <v>3.8166666666666668E-2</v>
      </c>
      <c r="N175" s="322">
        <f>++fill_data!E219</f>
        <v>8.4599999999999995E-2</v>
      </c>
      <c r="O175" s="322">
        <f>VLOOKUP($A175,[0]!ความต้องการน้ำ,3)/7</f>
        <v>0</v>
      </c>
      <c r="P175" s="322">
        <f>VLOOKUP($A175,[0]!ฝนใช้การ,3)/7</f>
        <v>0</v>
      </c>
      <c r="Q175" s="322">
        <f t="shared" si="39"/>
        <v>60</v>
      </c>
      <c r="R175" s="322">
        <f t="shared" si="35"/>
        <v>0</v>
      </c>
      <c r="S175" s="322">
        <f t="shared" si="32"/>
        <v>0.12709999999999999</v>
      </c>
      <c r="T175" s="322">
        <f t="shared" si="33"/>
        <v>77.040685462147721</v>
      </c>
      <c r="U175" s="354">
        <f t="shared" si="36"/>
        <v>141</v>
      </c>
      <c r="V175" s="354">
        <f t="shared" si="40"/>
        <v>7</v>
      </c>
      <c r="W175" s="348">
        <v>27.24499999999999</v>
      </c>
      <c r="X175" s="346">
        <v>104.65299999999995</v>
      </c>
      <c r="Y175" s="566">
        <v>37.482840000000003</v>
      </c>
    </row>
    <row r="176" spans="1:25" x14ac:dyDescent="0.15">
      <c r="A176" s="201">
        <v>24</v>
      </c>
      <c r="B176" s="260">
        <f t="shared" si="34"/>
        <v>39914</v>
      </c>
      <c r="C176" s="374">
        <f t="shared" si="28"/>
        <v>216.4760344379994</v>
      </c>
      <c r="D176" s="319">
        <f t="shared" si="37"/>
        <v>77.040685462147721</v>
      </c>
      <c r="E176" s="319">
        <f>VLOOKUP(MONTH(B176),[0]!Evap,3)</f>
        <v>5.9233333333333329</v>
      </c>
      <c r="F176" s="322">
        <f t="shared" si="38"/>
        <v>4.6201999999999996</v>
      </c>
      <c r="G176" s="319">
        <f t="shared" si="29"/>
        <v>11.780723371855434</v>
      </c>
      <c r="H176" s="322">
        <f t="shared" si="30"/>
        <v>5.442929812264647E-2</v>
      </c>
      <c r="I176" s="322">
        <f>+fill_data!B220</f>
        <v>6.9330923096873817E-2</v>
      </c>
      <c r="J176" s="322">
        <f t="shared" si="31"/>
        <v>77.05558708712195</v>
      </c>
      <c r="K176" s="322">
        <f>+fill_data!C220</f>
        <v>4.3333333333333331E-3</v>
      </c>
      <c r="L176" s="322">
        <f>+fill_data!F220</f>
        <v>0</v>
      </c>
      <c r="M176" s="322">
        <f>+fill_data!D220</f>
        <v>3.8166666666666668E-2</v>
      </c>
      <c r="N176" s="322">
        <f>++fill_data!E220</f>
        <v>8.4599999999999995E-2</v>
      </c>
      <c r="O176" s="322">
        <f>VLOOKUP($A176,[0]!ความต้องการน้ำ,3)/7</f>
        <v>0</v>
      </c>
      <c r="P176" s="322">
        <f>VLOOKUP($A176,[0]!ฝนใช้การ,3)/7</f>
        <v>0</v>
      </c>
      <c r="Q176" s="322">
        <f t="shared" si="39"/>
        <v>60</v>
      </c>
      <c r="R176" s="322">
        <f t="shared" si="35"/>
        <v>0</v>
      </c>
      <c r="S176" s="322">
        <f t="shared" si="32"/>
        <v>0.12709999999999999</v>
      </c>
      <c r="T176" s="322">
        <f t="shared" si="33"/>
        <v>76.928487087121951</v>
      </c>
      <c r="U176" s="354">
        <f t="shared" si="36"/>
        <v>141</v>
      </c>
      <c r="V176" s="354">
        <f t="shared" si="40"/>
        <v>7</v>
      </c>
      <c r="W176" s="348">
        <v>27.23333333333332</v>
      </c>
      <c r="X176" s="346">
        <v>104.47333333333329</v>
      </c>
      <c r="Y176" s="566">
        <v>37.39376</v>
      </c>
    </row>
    <row r="177" spans="1:25" x14ac:dyDescent="0.15">
      <c r="A177" s="201">
        <f t="shared" si="41"/>
        <v>24</v>
      </c>
      <c r="B177" s="260">
        <f t="shared" si="34"/>
        <v>39915</v>
      </c>
      <c r="C177" s="374">
        <f t="shared" si="28"/>
        <v>216.46657031495536</v>
      </c>
      <c r="D177" s="319">
        <f t="shared" si="37"/>
        <v>76.928487087121951</v>
      </c>
      <c r="E177" s="319">
        <f>VLOOKUP(MONTH(B177),[0]!Evap,3)</f>
        <v>5.9233333333333329</v>
      </c>
      <c r="F177" s="322">
        <f t="shared" si="38"/>
        <v>4.6201999999999996</v>
      </c>
      <c r="G177" s="319">
        <f t="shared" si="29"/>
        <v>11.772345085146844</v>
      </c>
      <c r="H177" s="322">
        <f t="shared" si="30"/>
        <v>5.4390588762395442E-2</v>
      </c>
      <c r="I177" s="322">
        <f>+fill_data!B221</f>
        <v>6.9330923096873817E-2</v>
      </c>
      <c r="J177" s="322">
        <f t="shared" si="31"/>
        <v>76.94342742145642</v>
      </c>
      <c r="K177" s="322">
        <f>+fill_data!C221</f>
        <v>4.3333333333333331E-3</v>
      </c>
      <c r="L177" s="322">
        <f>+fill_data!F221</f>
        <v>0</v>
      </c>
      <c r="M177" s="322">
        <f>+fill_data!D221</f>
        <v>3.8166666666666668E-2</v>
      </c>
      <c r="N177" s="322">
        <f>++fill_data!E221</f>
        <v>8.4599999999999995E-2</v>
      </c>
      <c r="O177" s="322">
        <f>VLOOKUP($A177,[0]!ความต้องการน้ำ,3)/7</f>
        <v>0</v>
      </c>
      <c r="P177" s="322">
        <f>VLOOKUP($A177,[0]!ฝนใช้การ,3)/7</f>
        <v>0</v>
      </c>
      <c r="Q177" s="322">
        <f t="shared" si="39"/>
        <v>60</v>
      </c>
      <c r="R177" s="322">
        <f t="shared" si="35"/>
        <v>0</v>
      </c>
      <c r="S177" s="322">
        <f t="shared" si="32"/>
        <v>0.12709999999999999</v>
      </c>
      <c r="T177" s="322">
        <f t="shared" si="33"/>
        <v>76.816327421456421</v>
      </c>
      <c r="U177" s="354">
        <f t="shared" si="36"/>
        <v>141</v>
      </c>
      <c r="V177" s="354">
        <f t="shared" si="40"/>
        <v>7</v>
      </c>
      <c r="W177" s="348">
        <v>27.221666666666653</v>
      </c>
      <c r="X177" s="346">
        <v>104.29366666666661</v>
      </c>
      <c r="Y177" s="566">
        <v>37.39376</v>
      </c>
    </row>
    <row r="178" spans="1:25" x14ac:dyDescent="0.15">
      <c r="A178" s="201">
        <f t="shared" si="41"/>
        <v>24</v>
      </c>
      <c r="B178" s="260">
        <f t="shared" si="34"/>
        <v>39916</v>
      </c>
      <c r="C178" s="374">
        <f t="shared" si="28"/>
        <v>216.45710945711147</v>
      </c>
      <c r="D178" s="319">
        <f t="shared" si="37"/>
        <v>76.816327421456421</v>
      </c>
      <c r="E178" s="319">
        <f>VLOOKUP(MONTH(B178),[0]!Evap,3)</f>
        <v>5.9233333333333329</v>
      </c>
      <c r="F178" s="322">
        <f t="shared" si="38"/>
        <v>4.6201999999999996</v>
      </c>
      <c r="G178" s="319">
        <f t="shared" si="29"/>
        <v>11.763969689015934</v>
      </c>
      <c r="H178" s="322">
        <f t="shared" si="30"/>
        <v>5.4351892757191413E-2</v>
      </c>
      <c r="I178" s="322">
        <f>+fill_data!B222</f>
        <v>6.9330923096873817E-2</v>
      </c>
      <c r="J178" s="322">
        <f t="shared" si="31"/>
        <v>76.831306451796095</v>
      </c>
      <c r="K178" s="322">
        <f>+fill_data!C222</f>
        <v>4.3333333333333331E-3</v>
      </c>
      <c r="L178" s="322">
        <f>+fill_data!F222</f>
        <v>0</v>
      </c>
      <c r="M178" s="322">
        <f>+fill_data!D222</f>
        <v>3.8166666666666668E-2</v>
      </c>
      <c r="N178" s="322">
        <f>++fill_data!E222</f>
        <v>8.4599999999999995E-2</v>
      </c>
      <c r="O178" s="322">
        <f>VLOOKUP($A178,[0]!ความต้องการน้ำ,3)/7</f>
        <v>0</v>
      </c>
      <c r="P178" s="322">
        <f>VLOOKUP($A178,[0]!ฝนใช้การ,3)/7</f>
        <v>0</v>
      </c>
      <c r="Q178" s="322">
        <f t="shared" si="39"/>
        <v>60</v>
      </c>
      <c r="R178" s="322">
        <f t="shared" si="35"/>
        <v>0</v>
      </c>
      <c r="S178" s="322">
        <f t="shared" si="32"/>
        <v>0.12709999999999999</v>
      </c>
      <c r="T178" s="322">
        <f t="shared" si="33"/>
        <v>76.704206451796097</v>
      </c>
      <c r="U178" s="354">
        <f t="shared" si="36"/>
        <v>141</v>
      </c>
      <c r="V178" s="354">
        <f t="shared" si="40"/>
        <v>7</v>
      </c>
      <c r="W178" s="348">
        <v>27.209999999999987</v>
      </c>
      <c r="X178" s="346">
        <v>104.11399999999995</v>
      </c>
      <c r="Y178" s="566">
        <v>37.215600000000002</v>
      </c>
    </row>
    <row r="179" spans="1:25" x14ac:dyDescent="0.15">
      <c r="A179" s="201">
        <f t="shared" si="41"/>
        <v>24</v>
      </c>
      <c r="B179" s="260">
        <f t="shared" si="34"/>
        <v>39917</v>
      </c>
      <c r="C179" s="374">
        <f t="shared" si="28"/>
        <v>216.44765186334115</v>
      </c>
      <c r="D179" s="319">
        <f t="shared" si="37"/>
        <v>76.704206451796097</v>
      </c>
      <c r="E179" s="319">
        <f>VLOOKUP(MONTH(B179),[0]!Evap,3)</f>
        <v>5.9233333333333329</v>
      </c>
      <c r="F179" s="322">
        <f t="shared" si="38"/>
        <v>4.6201999999999996</v>
      </c>
      <c r="G179" s="319">
        <f t="shared" si="29"/>
        <v>11.755597182465429</v>
      </c>
      <c r="H179" s="322">
        <f t="shared" si="30"/>
        <v>5.4313210102426769E-2</v>
      </c>
      <c r="I179" s="322">
        <f>+fill_data!B223</f>
        <v>6.9330923096873817E-2</v>
      </c>
      <c r="J179" s="322">
        <f t="shared" si="31"/>
        <v>76.719224164790546</v>
      </c>
      <c r="K179" s="322">
        <f>+fill_data!C223</f>
        <v>4.3333333333333331E-3</v>
      </c>
      <c r="L179" s="322">
        <f>+fill_data!F223</f>
        <v>0</v>
      </c>
      <c r="M179" s="322">
        <f>+fill_data!D223</f>
        <v>3.8166666666666668E-2</v>
      </c>
      <c r="N179" s="322">
        <f>++fill_data!E223</f>
        <v>8.4599999999999995E-2</v>
      </c>
      <c r="O179" s="322">
        <f>VLOOKUP($A179,[0]!ความต้องการน้ำ,3)/7</f>
        <v>0</v>
      </c>
      <c r="P179" s="322">
        <f>VLOOKUP($A179,[0]!ฝนใช้การ,3)/7</f>
        <v>0</v>
      </c>
      <c r="Q179" s="322">
        <f t="shared" si="39"/>
        <v>60</v>
      </c>
      <c r="R179" s="322">
        <f t="shared" si="35"/>
        <v>0</v>
      </c>
      <c r="S179" s="322">
        <f t="shared" si="32"/>
        <v>0.12709999999999999</v>
      </c>
      <c r="T179" s="322">
        <f t="shared" si="33"/>
        <v>76.592124164790548</v>
      </c>
      <c r="U179" s="354">
        <f t="shared" si="36"/>
        <v>141</v>
      </c>
      <c r="V179" s="354">
        <f t="shared" si="40"/>
        <v>7</v>
      </c>
      <c r="W179" s="348">
        <v>27.198333333333316</v>
      </c>
      <c r="X179" s="346">
        <v>103.93433333333327</v>
      </c>
      <c r="Y179" s="566">
        <v>37.215600000000002</v>
      </c>
    </row>
    <row r="180" spans="1:25" x14ac:dyDescent="0.15">
      <c r="A180" s="201">
        <f t="shared" si="41"/>
        <v>24</v>
      </c>
      <c r="B180" s="260">
        <f t="shared" si="34"/>
        <v>39918</v>
      </c>
      <c r="C180" s="374">
        <f t="shared" si="28"/>
        <v>216.43819753251833</v>
      </c>
      <c r="D180" s="319">
        <f t="shared" si="37"/>
        <v>76.592124164790548</v>
      </c>
      <c r="E180" s="319">
        <f>VLOOKUP(MONTH(B180),[0]!Evap,3)</f>
        <v>5.9233333333333329</v>
      </c>
      <c r="F180" s="322">
        <f t="shared" si="38"/>
        <v>4.6201999999999996</v>
      </c>
      <c r="G180" s="319">
        <f t="shared" si="29"/>
        <v>11.747227564498402</v>
      </c>
      <c r="H180" s="322">
        <f t="shared" si="30"/>
        <v>5.4274540793495515E-2</v>
      </c>
      <c r="I180" s="322">
        <f>+fill_data!B224</f>
        <v>6.9330923096873817E-2</v>
      </c>
      <c r="J180" s="322">
        <f t="shared" si="31"/>
        <v>76.607180547093918</v>
      </c>
      <c r="K180" s="322">
        <f>+fill_data!C224</f>
        <v>4.3333333333333331E-3</v>
      </c>
      <c r="L180" s="322">
        <f>+fill_data!F224</f>
        <v>0</v>
      </c>
      <c r="M180" s="322">
        <f>+fill_data!D224</f>
        <v>3.8166666666666668E-2</v>
      </c>
      <c r="N180" s="322">
        <f>++fill_data!E224</f>
        <v>8.4599999999999995E-2</v>
      </c>
      <c r="O180" s="322">
        <f>VLOOKUP($A180,[0]!ความต้องการน้ำ,3)/7</f>
        <v>0</v>
      </c>
      <c r="P180" s="322">
        <f>VLOOKUP($A180,[0]!ฝนใช้การ,3)/7</f>
        <v>0</v>
      </c>
      <c r="Q180" s="322">
        <f t="shared" si="39"/>
        <v>60</v>
      </c>
      <c r="R180" s="322">
        <f t="shared" si="35"/>
        <v>0</v>
      </c>
      <c r="S180" s="322">
        <f t="shared" si="32"/>
        <v>0.12709999999999999</v>
      </c>
      <c r="T180" s="322">
        <f t="shared" si="33"/>
        <v>76.48008054709392</v>
      </c>
      <c r="U180" s="354">
        <f t="shared" si="36"/>
        <v>141</v>
      </c>
      <c r="V180" s="354">
        <f t="shared" si="40"/>
        <v>7</v>
      </c>
      <c r="W180" s="348">
        <v>27.18666666666665</v>
      </c>
      <c r="X180" s="346">
        <v>103.75466666666659</v>
      </c>
      <c r="Y180" s="566">
        <v>36.948360000000001</v>
      </c>
    </row>
    <row r="181" spans="1:25" x14ac:dyDescent="0.15">
      <c r="A181" s="201">
        <f t="shared" si="41"/>
        <v>24</v>
      </c>
      <c r="B181" s="260">
        <f t="shared" si="34"/>
        <v>39919</v>
      </c>
      <c r="C181" s="374">
        <f t="shared" si="28"/>
        <v>216.42874646351723</v>
      </c>
      <c r="D181" s="319">
        <f t="shared" si="37"/>
        <v>76.48008054709392</v>
      </c>
      <c r="E181" s="319">
        <f>VLOOKUP(MONTH(B181),[0]!Evap,3)</f>
        <v>5.9233333333333329</v>
      </c>
      <c r="F181" s="322">
        <f t="shared" si="38"/>
        <v>4.6201999999999996</v>
      </c>
      <c r="G181" s="319">
        <f t="shared" si="29"/>
        <v>11.738860834118267</v>
      </c>
      <c r="H181" s="322">
        <f t="shared" si="30"/>
        <v>5.423588482579321E-2</v>
      </c>
      <c r="I181" s="322">
        <f>+fill_data!B225</f>
        <v>6.9330923096873817E-2</v>
      </c>
      <c r="J181" s="322">
        <f t="shared" si="31"/>
        <v>76.495175585365004</v>
      </c>
      <c r="K181" s="322">
        <f>+fill_data!C225</f>
        <v>4.3333333333333331E-3</v>
      </c>
      <c r="L181" s="322">
        <f>+fill_data!F225</f>
        <v>0</v>
      </c>
      <c r="M181" s="322">
        <f>+fill_data!D225</f>
        <v>3.8166666666666668E-2</v>
      </c>
      <c r="N181" s="322">
        <f>++fill_data!E225</f>
        <v>8.4599999999999995E-2</v>
      </c>
      <c r="O181" s="322">
        <f>VLOOKUP($A181,[0]!ความต้องการน้ำ,3)/7</f>
        <v>0</v>
      </c>
      <c r="P181" s="322">
        <f>VLOOKUP($A181,[0]!ฝนใช้การ,3)/7</f>
        <v>0</v>
      </c>
      <c r="Q181" s="322">
        <f t="shared" si="39"/>
        <v>60</v>
      </c>
      <c r="R181" s="322">
        <f t="shared" si="35"/>
        <v>0</v>
      </c>
      <c r="S181" s="322">
        <f t="shared" si="32"/>
        <v>0.12709999999999999</v>
      </c>
      <c r="T181" s="322">
        <f t="shared" si="33"/>
        <v>76.368075585365006</v>
      </c>
      <c r="U181" s="354">
        <f t="shared" si="36"/>
        <v>141</v>
      </c>
      <c r="V181" s="354">
        <f t="shared" si="40"/>
        <v>7</v>
      </c>
      <c r="W181" s="348">
        <v>27.174999999999983</v>
      </c>
      <c r="X181" s="346">
        <v>103.57499999999993</v>
      </c>
      <c r="Y181" s="566">
        <v>36.948360000000001</v>
      </c>
    </row>
    <row r="182" spans="1:25" x14ac:dyDescent="0.15">
      <c r="A182" s="201">
        <f t="shared" si="41"/>
        <v>24</v>
      </c>
      <c r="B182" s="260">
        <f t="shared" si="34"/>
        <v>39920</v>
      </c>
      <c r="C182" s="374">
        <f t="shared" si="28"/>
        <v>216.41929865521249</v>
      </c>
      <c r="D182" s="319">
        <f t="shared" si="37"/>
        <v>76.368075585365006</v>
      </c>
      <c r="E182" s="319">
        <f>VLOOKUP(MONTH(B182),[0]!Evap,3)</f>
        <v>5.9233333333333329</v>
      </c>
      <c r="F182" s="322">
        <f t="shared" si="38"/>
        <v>4.6201999999999996</v>
      </c>
      <c r="G182" s="319">
        <f t="shared" si="29"/>
        <v>11.730496990328783</v>
      </c>
      <c r="H182" s="322">
        <f t="shared" si="30"/>
        <v>5.4197242194717041E-2</v>
      </c>
      <c r="I182" s="322">
        <f>+fill_data!B226</f>
        <v>6.9330923096873817E-2</v>
      </c>
      <c r="J182" s="322">
        <f t="shared" si="31"/>
        <v>76.383209266267158</v>
      </c>
      <c r="K182" s="322">
        <f>+fill_data!C226</f>
        <v>4.3333333333333331E-3</v>
      </c>
      <c r="L182" s="322">
        <f>+fill_data!F226</f>
        <v>0</v>
      </c>
      <c r="M182" s="322">
        <f>+fill_data!D226</f>
        <v>3.8166666666666668E-2</v>
      </c>
      <c r="N182" s="322">
        <f>++fill_data!E226</f>
        <v>8.4599999999999995E-2</v>
      </c>
      <c r="O182" s="322">
        <f>VLOOKUP($A182,[0]!ความต้องการน้ำ,3)/7</f>
        <v>0</v>
      </c>
      <c r="P182" s="322">
        <f>VLOOKUP($A182,[0]!ฝนใช้การ,3)/7</f>
        <v>0</v>
      </c>
      <c r="Q182" s="322">
        <f t="shared" si="39"/>
        <v>60</v>
      </c>
      <c r="R182" s="322">
        <f t="shared" si="35"/>
        <v>0</v>
      </c>
      <c r="S182" s="322">
        <f t="shared" si="32"/>
        <v>0.12709999999999999</v>
      </c>
      <c r="T182" s="322">
        <f t="shared" si="33"/>
        <v>76.25610926626716</v>
      </c>
      <c r="U182" s="354">
        <f t="shared" si="36"/>
        <v>141</v>
      </c>
      <c r="V182" s="354">
        <f t="shared" si="40"/>
        <v>7</v>
      </c>
      <c r="W182" s="348">
        <v>27.163333333333313</v>
      </c>
      <c r="X182" s="346">
        <v>103.39533333333326</v>
      </c>
      <c r="Y182" s="566">
        <v>36.770200000000003</v>
      </c>
    </row>
    <row r="183" spans="1:25" x14ac:dyDescent="0.15">
      <c r="A183" s="201">
        <v>25</v>
      </c>
      <c r="B183" s="260">
        <f t="shared" si="34"/>
        <v>39921</v>
      </c>
      <c r="C183" s="374">
        <f t="shared" si="28"/>
        <v>216.40985410647917</v>
      </c>
      <c r="D183" s="319">
        <f t="shared" si="37"/>
        <v>76.25610926626716</v>
      </c>
      <c r="E183" s="319">
        <f>VLOOKUP(MONTH(B183),[0]!Evap,3)</f>
        <v>5.9233333333333329</v>
      </c>
      <c r="F183" s="322">
        <f t="shared" si="38"/>
        <v>4.6201999999999996</v>
      </c>
      <c r="G183" s="319">
        <f t="shared" si="29"/>
        <v>11.722136032134053</v>
      </c>
      <c r="H183" s="322">
        <f t="shared" si="30"/>
        <v>5.4158612895665745E-2</v>
      </c>
      <c r="I183" s="322">
        <f>+fill_data!B227</f>
        <v>6.9330923096873817E-2</v>
      </c>
      <c r="J183" s="322">
        <f t="shared" si="31"/>
        <v>76.271281576468368</v>
      </c>
      <c r="K183" s="322">
        <f>+fill_data!C227</f>
        <v>4.3333333333333331E-3</v>
      </c>
      <c r="L183" s="322">
        <f>+fill_data!F227</f>
        <v>0</v>
      </c>
      <c r="M183" s="322">
        <f>+fill_data!D227</f>
        <v>3.8166666666666668E-2</v>
      </c>
      <c r="N183" s="322">
        <f>++fill_data!E227</f>
        <v>8.4599999999999995E-2</v>
      </c>
      <c r="O183" s="322">
        <f>VLOOKUP($A183,[0]!ความต้องการน้ำ,3)/7</f>
        <v>0</v>
      </c>
      <c r="P183" s="322">
        <f>VLOOKUP($A183,[0]!ฝนใช้การ,3)/7</f>
        <v>0</v>
      </c>
      <c r="Q183" s="322">
        <f t="shared" si="39"/>
        <v>60</v>
      </c>
      <c r="R183" s="322">
        <f t="shared" si="35"/>
        <v>0</v>
      </c>
      <c r="S183" s="322">
        <f t="shared" si="32"/>
        <v>0.12709999999999999</v>
      </c>
      <c r="T183" s="322">
        <f t="shared" si="33"/>
        <v>76.14418157646837</v>
      </c>
      <c r="U183" s="354">
        <f t="shared" si="36"/>
        <v>141</v>
      </c>
      <c r="V183" s="354">
        <f t="shared" si="40"/>
        <v>7</v>
      </c>
      <c r="W183" s="348">
        <v>27.151666666666646</v>
      </c>
      <c r="X183" s="346">
        <v>103.21566666666658</v>
      </c>
      <c r="Y183" s="566">
        <v>36.68112</v>
      </c>
    </row>
    <row r="184" spans="1:25" x14ac:dyDescent="0.15">
      <c r="A184" s="201">
        <f t="shared" si="41"/>
        <v>25</v>
      </c>
      <c r="B184" s="260">
        <f t="shared" si="34"/>
        <v>39922</v>
      </c>
      <c r="C184" s="374">
        <f t="shared" si="28"/>
        <v>216.4004128161927</v>
      </c>
      <c r="D184" s="319">
        <f t="shared" si="37"/>
        <v>76.14418157646837</v>
      </c>
      <c r="E184" s="319">
        <f>VLOOKUP(MONTH(B184),[0]!Evap,3)</f>
        <v>5.9233333333333329</v>
      </c>
      <c r="F184" s="322">
        <f t="shared" si="38"/>
        <v>4.6201999999999996</v>
      </c>
      <c r="G184" s="319">
        <f t="shared" si="29"/>
        <v>11.713777958538522</v>
      </c>
      <c r="H184" s="322">
        <f t="shared" si="30"/>
        <v>5.4119996924039675E-2</v>
      </c>
      <c r="I184" s="322">
        <f>+fill_data!B228</f>
        <v>6.9330923096873817E-2</v>
      </c>
      <c r="J184" s="322">
        <f t="shared" si="31"/>
        <v>76.159392502641197</v>
      </c>
      <c r="K184" s="322">
        <f>+fill_data!C228</f>
        <v>4.3333333333333331E-3</v>
      </c>
      <c r="L184" s="322">
        <f>+fill_data!F228</f>
        <v>0</v>
      </c>
      <c r="M184" s="322">
        <f>+fill_data!D228</f>
        <v>3.8166666666666668E-2</v>
      </c>
      <c r="N184" s="322">
        <f>++fill_data!E228</f>
        <v>8.4599999999999995E-2</v>
      </c>
      <c r="O184" s="322">
        <f>VLOOKUP($A184,[0]!ความต้องการน้ำ,3)/7</f>
        <v>0</v>
      </c>
      <c r="P184" s="322">
        <f>VLOOKUP($A184,[0]!ฝนใช้การ,3)/7</f>
        <v>0</v>
      </c>
      <c r="Q184" s="322">
        <f t="shared" si="39"/>
        <v>60</v>
      </c>
      <c r="R184" s="322">
        <f t="shared" si="35"/>
        <v>0</v>
      </c>
      <c r="S184" s="322">
        <f t="shared" si="32"/>
        <v>0.12709999999999999</v>
      </c>
      <c r="T184" s="322">
        <f t="shared" si="33"/>
        <v>76.032292502641198</v>
      </c>
      <c r="U184" s="354">
        <f t="shared" si="36"/>
        <v>141</v>
      </c>
      <c r="V184" s="354">
        <f t="shared" si="40"/>
        <v>7</v>
      </c>
      <c r="W184" s="348">
        <v>27.139999999999979</v>
      </c>
      <c r="X184" s="346">
        <v>103.03599999999992</v>
      </c>
      <c r="Y184" s="566">
        <v>36.502960000000002</v>
      </c>
    </row>
    <row r="185" spans="1:25" x14ac:dyDescent="0.15">
      <c r="A185" s="201">
        <f t="shared" si="41"/>
        <v>25</v>
      </c>
      <c r="B185" s="260">
        <f t="shared" si="34"/>
        <v>39923</v>
      </c>
      <c r="C185" s="374">
        <f t="shared" si="28"/>
        <v>216.39097478322884</v>
      </c>
      <c r="D185" s="319">
        <f t="shared" si="37"/>
        <v>76.032292502641198</v>
      </c>
      <c r="E185" s="319">
        <f>VLOOKUP(MONTH(B185),[0]!Evap,3)</f>
        <v>5.9233333333333329</v>
      </c>
      <c r="F185" s="322">
        <f t="shared" si="38"/>
        <v>4.6201999999999996</v>
      </c>
      <c r="G185" s="319">
        <f t="shared" si="29"/>
        <v>11.705422768546979</v>
      </c>
      <c r="H185" s="322">
        <f t="shared" si="30"/>
        <v>5.4081394275240752E-2</v>
      </c>
      <c r="I185" s="322">
        <f>+fill_data!B229</f>
        <v>6.9330923096873817E-2</v>
      </c>
      <c r="J185" s="322">
        <f t="shared" si="31"/>
        <v>76.047542031462825</v>
      </c>
      <c r="K185" s="322">
        <f>+fill_data!C229</f>
        <v>4.3333333333333331E-3</v>
      </c>
      <c r="L185" s="322">
        <f>+fill_data!F229</f>
        <v>0</v>
      </c>
      <c r="M185" s="322">
        <f>+fill_data!D229</f>
        <v>3.8166666666666668E-2</v>
      </c>
      <c r="N185" s="322">
        <f>++fill_data!E229</f>
        <v>8.4599999999999995E-2</v>
      </c>
      <c r="O185" s="322">
        <f>VLOOKUP($A185,[0]!ความต้องการน้ำ,3)/7</f>
        <v>0</v>
      </c>
      <c r="P185" s="322">
        <f>VLOOKUP($A185,[0]!ฝนใช้การ,3)/7</f>
        <v>0</v>
      </c>
      <c r="Q185" s="322">
        <f t="shared" si="39"/>
        <v>60</v>
      </c>
      <c r="R185" s="322">
        <f t="shared" si="35"/>
        <v>0</v>
      </c>
      <c r="S185" s="322">
        <f t="shared" si="32"/>
        <v>0.12709999999999999</v>
      </c>
      <c r="T185" s="322">
        <f t="shared" si="33"/>
        <v>75.920442031462827</v>
      </c>
      <c r="U185" s="354">
        <f t="shared" si="36"/>
        <v>141</v>
      </c>
      <c r="V185" s="354">
        <f t="shared" si="40"/>
        <v>7</v>
      </c>
      <c r="W185" s="348">
        <v>27.128333333333309</v>
      </c>
      <c r="X185" s="346">
        <v>102.85633333333324</v>
      </c>
      <c r="Y185" s="566">
        <v>36.324800000000003</v>
      </c>
    </row>
    <row r="186" spans="1:25" x14ac:dyDescent="0.15">
      <c r="A186" s="201">
        <f t="shared" si="41"/>
        <v>25</v>
      </c>
      <c r="B186" s="260">
        <f t="shared" si="34"/>
        <v>39924</v>
      </c>
      <c r="C186" s="374">
        <f t="shared" si="28"/>
        <v>216.38154000646384</v>
      </c>
      <c r="D186" s="319">
        <f t="shared" si="37"/>
        <v>75.920442031462827</v>
      </c>
      <c r="E186" s="319">
        <f>VLOOKUP(MONTH(B186),[0]!Evap,3)</f>
        <v>5.9233333333333329</v>
      </c>
      <c r="F186" s="322">
        <f t="shared" si="38"/>
        <v>4.6201999999999996</v>
      </c>
      <c r="G186" s="319">
        <f t="shared" si="29"/>
        <v>11.697070461164561</v>
      </c>
      <c r="H186" s="322">
        <f t="shared" si="30"/>
        <v>5.40428049446725E-2</v>
      </c>
      <c r="I186" s="322">
        <f>+fill_data!B230</f>
        <v>6.9330923096873817E-2</v>
      </c>
      <c r="J186" s="322">
        <f t="shared" si="31"/>
        <v>75.935730149615026</v>
      </c>
      <c r="K186" s="322">
        <f>+fill_data!C230</f>
        <v>4.3333333333333331E-3</v>
      </c>
      <c r="L186" s="322">
        <f>+fill_data!F230</f>
        <v>0</v>
      </c>
      <c r="M186" s="322">
        <f>+fill_data!D230</f>
        <v>3.8166666666666668E-2</v>
      </c>
      <c r="N186" s="322">
        <f>++fill_data!E230</f>
        <v>8.4599999999999995E-2</v>
      </c>
      <c r="O186" s="322">
        <f>VLOOKUP($A186,[0]!ความต้องการน้ำ,3)/7</f>
        <v>0</v>
      </c>
      <c r="P186" s="322">
        <f>VLOOKUP($A186,[0]!ฝนใช้การ,3)/7</f>
        <v>0</v>
      </c>
      <c r="Q186" s="322">
        <f t="shared" si="39"/>
        <v>60</v>
      </c>
      <c r="R186" s="322">
        <f t="shared" si="35"/>
        <v>0</v>
      </c>
      <c r="S186" s="322">
        <f t="shared" si="32"/>
        <v>0.12709999999999999</v>
      </c>
      <c r="T186" s="322">
        <f t="shared" si="33"/>
        <v>75.808630149615027</v>
      </c>
      <c r="U186" s="354">
        <f t="shared" si="36"/>
        <v>141</v>
      </c>
      <c r="V186" s="354">
        <f t="shared" si="40"/>
        <v>7</v>
      </c>
      <c r="W186" s="348">
        <v>27.116666666666642</v>
      </c>
      <c r="X186" s="346">
        <v>102.67666666666656</v>
      </c>
      <c r="Y186" s="566">
        <v>36.057560000000002</v>
      </c>
    </row>
    <row r="187" spans="1:25" x14ac:dyDescent="0.15">
      <c r="A187" s="201">
        <f t="shared" si="41"/>
        <v>25</v>
      </c>
      <c r="B187" s="260">
        <f t="shared" si="34"/>
        <v>39925</v>
      </c>
      <c r="C187" s="374">
        <f t="shared" si="28"/>
        <v>216.37210848477423</v>
      </c>
      <c r="D187" s="319">
        <f t="shared" si="37"/>
        <v>75.808630149615027</v>
      </c>
      <c r="E187" s="319">
        <f>VLOOKUP(MONTH(B187),[0]!Evap,3)</f>
        <v>5.9233333333333329</v>
      </c>
      <c r="F187" s="322">
        <f t="shared" si="38"/>
        <v>4.6201999999999996</v>
      </c>
      <c r="G187" s="319">
        <f t="shared" si="29"/>
        <v>11.688721035396739</v>
      </c>
      <c r="H187" s="322">
        <f t="shared" si="30"/>
        <v>5.4004228927740011E-2</v>
      </c>
      <c r="I187" s="322">
        <f>+fill_data!B231</f>
        <v>6.9330923096873817E-2</v>
      </c>
      <c r="J187" s="322">
        <f t="shared" si="31"/>
        <v>75.82395684378416</v>
      </c>
      <c r="K187" s="322">
        <f>+fill_data!C231</f>
        <v>4.3333333333333331E-3</v>
      </c>
      <c r="L187" s="322">
        <f>+fill_data!F231</f>
        <v>0</v>
      </c>
      <c r="M187" s="322">
        <f>+fill_data!D231</f>
        <v>3.8166666666666668E-2</v>
      </c>
      <c r="N187" s="322">
        <f>++fill_data!E231</f>
        <v>8.4599999999999995E-2</v>
      </c>
      <c r="O187" s="322">
        <f>VLOOKUP($A187,[0]!ความต้องการน้ำ,3)/7</f>
        <v>0</v>
      </c>
      <c r="P187" s="322">
        <f>VLOOKUP($A187,[0]!ฝนใช้การ,3)/7</f>
        <v>0</v>
      </c>
      <c r="Q187" s="322">
        <f t="shared" si="39"/>
        <v>60</v>
      </c>
      <c r="R187" s="322">
        <f t="shared" si="35"/>
        <v>0</v>
      </c>
      <c r="S187" s="322">
        <f t="shared" si="32"/>
        <v>0.12709999999999999</v>
      </c>
      <c r="T187" s="322">
        <f t="shared" si="33"/>
        <v>75.696856843784161</v>
      </c>
      <c r="U187" s="354">
        <f t="shared" si="36"/>
        <v>141</v>
      </c>
      <c r="V187" s="354">
        <f t="shared" si="40"/>
        <v>7</v>
      </c>
      <c r="W187" s="348">
        <v>27.104999999999976</v>
      </c>
      <c r="X187" s="346">
        <v>102.4969999999999</v>
      </c>
      <c r="Y187" s="566">
        <v>35.879399999999997</v>
      </c>
    </row>
    <row r="188" spans="1:25" x14ac:dyDescent="0.15">
      <c r="A188" s="201">
        <f t="shared" si="41"/>
        <v>25</v>
      </c>
      <c r="B188" s="260">
        <f t="shared" si="34"/>
        <v>39926</v>
      </c>
      <c r="C188" s="374">
        <f t="shared" si="28"/>
        <v>216.36268021703702</v>
      </c>
      <c r="D188" s="319">
        <f t="shared" si="37"/>
        <v>75.696856843784161</v>
      </c>
      <c r="E188" s="319">
        <f>VLOOKUP(MONTH(B188),[0]!Evap,3)</f>
        <v>5.9233333333333329</v>
      </c>
      <c r="F188" s="322">
        <f t="shared" si="38"/>
        <v>4.6201999999999996</v>
      </c>
      <c r="G188" s="319">
        <f t="shared" si="29"/>
        <v>11.680374490249337</v>
      </c>
      <c r="H188" s="322">
        <f t="shared" si="30"/>
        <v>5.3965666219849981E-2</v>
      </c>
      <c r="I188" s="322">
        <f>+fill_data!B232</f>
        <v>6.9330923096873817E-2</v>
      </c>
      <c r="J188" s="322">
        <f t="shared" si="31"/>
        <v>75.71222210066118</v>
      </c>
      <c r="K188" s="322">
        <f>+fill_data!C232</f>
        <v>4.3333333333333331E-3</v>
      </c>
      <c r="L188" s="322">
        <f>+fill_data!F232</f>
        <v>0</v>
      </c>
      <c r="M188" s="322">
        <f>+fill_data!D232</f>
        <v>3.8166666666666668E-2</v>
      </c>
      <c r="N188" s="322">
        <f>++fill_data!E232</f>
        <v>8.4599999999999995E-2</v>
      </c>
      <c r="O188" s="322">
        <f>VLOOKUP($A188,[0]!ความต้องการน้ำ,3)/7</f>
        <v>0</v>
      </c>
      <c r="P188" s="322">
        <f>VLOOKUP($A188,[0]!ฝนใช้การ,3)/7</f>
        <v>0</v>
      </c>
      <c r="Q188" s="322">
        <f t="shared" si="39"/>
        <v>60</v>
      </c>
      <c r="R188" s="322">
        <f t="shared" si="35"/>
        <v>0</v>
      </c>
      <c r="S188" s="322">
        <f t="shared" si="32"/>
        <v>0.12709999999999999</v>
      </c>
      <c r="T188" s="322">
        <f t="shared" si="33"/>
        <v>75.585122100661181</v>
      </c>
      <c r="U188" s="354">
        <f t="shared" si="36"/>
        <v>141</v>
      </c>
      <c r="V188" s="354">
        <f t="shared" si="40"/>
        <v>7</v>
      </c>
      <c r="W188" s="348">
        <v>27.093333333333305</v>
      </c>
      <c r="X188" s="346">
        <v>102.31733333333322</v>
      </c>
      <c r="Y188" s="566">
        <v>35.790320000000001</v>
      </c>
    </row>
    <row r="189" spans="1:25" x14ac:dyDescent="0.15">
      <c r="A189" s="201">
        <f t="shared" si="41"/>
        <v>25</v>
      </c>
      <c r="B189" s="260">
        <f t="shared" si="34"/>
        <v>39927</v>
      </c>
      <c r="C189" s="374">
        <f t="shared" si="28"/>
        <v>216.35325520212959</v>
      </c>
      <c r="D189" s="319">
        <f t="shared" si="37"/>
        <v>75.585122100661181</v>
      </c>
      <c r="E189" s="319">
        <f>VLOOKUP(MONTH(B189),[0]!Evap,3)</f>
        <v>5.9233333333333329</v>
      </c>
      <c r="F189" s="322">
        <f t="shared" si="38"/>
        <v>4.6201999999999996</v>
      </c>
      <c r="G189" s="319">
        <f t="shared" si="29"/>
        <v>11.672030824728514</v>
      </c>
      <c r="H189" s="322">
        <f t="shared" si="30"/>
        <v>5.3927116816410679E-2</v>
      </c>
      <c r="I189" s="322">
        <f>+fill_data!B233</f>
        <v>6.9330923096873817E-2</v>
      </c>
      <c r="J189" s="322">
        <f t="shared" si="31"/>
        <v>75.600525906941641</v>
      </c>
      <c r="K189" s="322">
        <f>+fill_data!C233</f>
        <v>4.3333333333333331E-3</v>
      </c>
      <c r="L189" s="322">
        <f>+fill_data!F233</f>
        <v>0</v>
      </c>
      <c r="M189" s="322">
        <f>+fill_data!D233</f>
        <v>3.8166666666666668E-2</v>
      </c>
      <c r="N189" s="322">
        <f>++fill_data!E233</f>
        <v>8.4599999999999995E-2</v>
      </c>
      <c r="O189" s="322">
        <f>VLOOKUP($A189,[0]!ความต้องการน้ำ,3)/7</f>
        <v>0</v>
      </c>
      <c r="P189" s="322">
        <f>VLOOKUP($A189,[0]!ฝนใช้การ,3)/7</f>
        <v>0</v>
      </c>
      <c r="Q189" s="322">
        <f t="shared" si="39"/>
        <v>60</v>
      </c>
      <c r="R189" s="322">
        <f t="shared" si="35"/>
        <v>0</v>
      </c>
      <c r="S189" s="322">
        <f t="shared" si="32"/>
        <v>0.12709999999999999</v>
      </c>
      <c r="T189" s="322">
        <f t="shared" si="33"/>
        <v>75.473425906941642</v>
      </c>
      <c r="U189" s="354">
        <f t="shared" si="36"/>
        <v>141</v>
      </c>
      <c r="V189" s="354">
        <f t="shared" si="40"/>
        <v>7</v>
      </c>
      <c r="W189" s="348">
        <v>27.081666666666639</v>
      </c>
      <c r="X189" s="346">
        <v>102.13766666666655</v>
      </c>
      <c r="Y189" s="566">
        <v>35.612160000000003</v>
      </c>
    </row>
    <row r="190" spans="1:25" x14ac:dyDescent="0.15">
      <c r="A190" s="201">
        <v>26</v>
      </c>
      <c r="B190" s="260">
        <f t="shared" si="34"/>
        <v>39928</v>
      </c>
      <c r="C190" s="374">
        <f t="shared" si="28"/>
        <v>216.34383343892964</v>
      </c>
      <c r="D190" s="319">
        <f t="shared" si="37"/>
        <v>75.473425906941642</v>
      </c>
      <c r="E190" s="319">
        <f>VLOOKUP(MONTH(B190),[0]!Evap,3)</f>
        <v>5.9233333333333329</v>
      </c>
      <c r="F190" s="322">
        <f t="shared" si="38"/>
        <v>4.6201999999999996</v>
      </c>
      <c r="G190" s="319">
        <f t="shared" si="29"/>
        <v>11.663690037840777</v>
      </c>
      <c r="H190" s="322">
        <f t="shared" si="30"/>
        <v>5.3888580712831952E-2</v>
      </c>
      <c r="I190" s="322">
        <f>+fill_data!B234</f>
        <v>6.9330923096873817E-2</v>
      </c>
      <c r="J190" s="322">
        <f t="shared" si="31"/>
        <v>75.488868249325677</v>
      </c>
      <c r="K190" s="322">
        <f>+fill_data!C234</f>
        <v>4.3333333333333331E-3</v>
      </c>
      <c r="L190" s="322">
        <f>+fill_data!F234</f>
        <v>0</v>
      </c>
      <c r="M190" s="322">
        <f>+fill_data!D234</f>
        <v>3.8166666666666668E-2</v>
      </c>
      <c r="N190" s="322">
        <f>++fill_data!E234</f>
        <v>8.4599999999999995E-2</v>
      </c>
      <c r="O190" s="322">
        <f>VLOOKUP($A190,[0]!ความต้องการน้ำ,3)/7</f>
        <v>0</v>
      </c>
      <c r="P190" s="322">
        <f>VLOOKUP($A190,[0]!ฝนใช้การ,3)/7</f>
        <v>0</v>
      </c>
      <c r="Q190" s="322">
        <f t="shared" si="39"/>
        <v>60</v>
      </c>
      <c r="R190" s="322">
        <f t="shared" si="35"/>
        <v>0</v>
      </c>
      <c r="S190" s="322">
        <f t="shared" si="32"/>
        <v>0.12709999999999999</v>
      </c>
      <c r="T190" s="322">
        <f t="shared" si="33"/>
        <v>75.361768249325678</v>
      </c>
      <c r="U190" s="354">
        <f t="shared" si="36"/>
        <v>141</v>
      </c>
      <c r="V190" s="354">
        <f t="shared" si="40"/>
        <v>7</v>
      </c>
      <c r="W190" s="348">
        <v>27.069999999999972</v>
      </c>
      <c r="X190" s="346">
        <v>101.95799999999988</v>
      </c>
      <c r="Y190" s="566">
        <v>35.433999999999997</v>
      </c>
    </row>
    <row r="191" spans="1:25" x14ac:dyDescent="0.15">
      <c r="A191" s="201">
        <f t="shared" si="41"/>
        <v>26</v>
      </c>
      <c r="B191" s="260">
        <f t="shared" si="34"/>
        <v>39929</v>
      </c>
      <c r="C191" s="374">
        <f t="shared" si="28"/>
        <v>216.3344149263153</v>
      </c>
      <c r="D191" s="319">
        <f t="shared" si="37"/>
        <v>75.361768249325678</v>
      </c>
      <c r="E191" s="319">
        <f>VLOOKUP(MONTH(B191),[0]!Evap,3)</f>
        <v>5.9233333333333329</v>
      </c>
      <c r="F191" s="322">
        <f t="shared" si="38"/>
        <v>4.6201999999999996</v>
      </c>
      <c r="G191" s="319">
        <f t="shared" si="29"/>
        <v>11.655352128592972</v>
      </c>
      <c r="H191" s="322">
        <f t="shared" si="30"/>
        <v>5.3850057904525246E-2</v>
      </c>
      <c r="I191" s="322">
        <f>+fill_data!B235</f>
        <v>6.9330923096873817E-2</v>
      </c>
      <c r="J191" s="322">
        <f t="shared" si="31"/>
        <v>75.377249114518023</v>
      </c>
      <c r="K191" s="322">
        <f>+fill_data!C235</f>
        <v>4.3333333333333331E-3</v>
      </c>
      <c r="L191" s="322">
        <f>+fill_data!F235</f>
        <v>0</v>
      </c>
      <c r="M191" s="322">
        <f>+fill_data!D235</f>
        <v>3.8166666666666668E-2</v>
      </c>
      <c r="N191" s="322">
        <f>++fill_data!E235</f>
        <v>8.4599999999999995E-2</v>
      </c>
      <c r="O191" s="322">
        <f>VLOOKUP($A191,[0]!ความต้องการน้ำ,3)/7</f>
        <v>0</v>
      </c>
      <c r="P191" s="322">
        <f>VLOOKUP($A191,[0]!ฝนใช้การ,3)/7</f>
        <v>0</v>
      </c>
      <c r="Q191" s="322">
        <f t="shared" si="39"/>
        <v>60</v>
      </c>
      <c r="R191" s="322">
        <f t="shared" si="35"/>
        <v>0</v>
      </c>
      <c r="S191" s="322">
        <f t="shared" si="32"/>
        <v>0.12709999999999999</v>
      </c>
      <c r="T191" s="322">
        <f t="shared" si="33"/>
        <v>75.250149114518024</v>
      </c>
      <c r="U191" s="354">
        <f t="shared" si="36"/>
        <v>141</v>
      </c>
      <c r="V191" s="354">
        <f t="shared" si="40"/>
        <v>7</v>
      </c>
      <c r="W191" s="348">
        <v>27.058333333333302</v>
      </c>
      <c r="X191" s="346">
        <v>101.77833333333321</v>
      </c>
      <c r="Y191" s="566">
        <v>35.255839999999999</v>
      </c>
    </row>
    <row r="192" spans="1:25" x14ac:dyDescent="0.15">
      <c r="A192" s="201">
        <f t="shared" si="41"/>
        <v>26</v>
      </c>
      <c r="B192" s="260">
        <f t="shared" si="34"/>
        <v>39930</v>
      </c>
      <c r="C192" s="374">
        <f t="shared" si="28"/>
        <v>216.32499966316513</v>
      </c>
      <c r="D192" s="319">
        <f t="shared" si="37"/>
        <v>75.250149114518024</v>
      </c>
      <c r="E192" s="319">
        <f>VLOOKUP(MONTH(B192),[0]!Evap,3)</f>
        <v>5.9233333333333329</v>
      </c>
      <c r="F192" s="322">
        <f t="shared" si="38"/>
        <v>4.6201999999999996</v>
      </c>
      <c r="G192" s="319">
        <f t="shared" si="29"/>
        <v>11.64701709599229</v>
      </c>
      <c r="H192" s="322">
        <f t="shared" si="30"/>
        <v>5.3811548386903572E-2</v>
      </c>
      <c r="I192" s="322">
        <f>+fill_data!B236</f>
        <v>6.9330923096873817E-2</v>
      </c>
      <c r="J192" s="322">
        <f t="shared" si="31"/>
        <v>75.265668489227991</v>
      </c>
      <c r="K192" s="322">
        <f>+fill_data!C236</f>
        <v>4.3333333333333331E-3</v>
      </c>
      <c r="L192" s="322">
        <f>+fill_data!F236</f>
        <v>0</v>
      </c>
      <c r="M192" s="322">
        <f>+fill_data!D236</f>
        <v>3.8166666666666668E-2</v>
      </c>
      <c r="N192" s="322">
        <f>++fill_data!E236</f>
        <v>8.4599999999999995E-2</v>
      </c>
      <c r="O192" s="322">
        <f>VLOOKUP($A192,[0]!ความต้องการน้ำ,3)/7</f>
        <v>0</v>
      </c>
      <c r="P192" s="322">
        <f>VLOOKUP($A192,[0]!ฝนใช้การ,3)/7</f>
        <v>0</v>
      </c>
      <c r="Q192" s="322">
        <f t="shared" si="39"/>
        <v>60</v>
      </c>
      <c r="R192" s="322">
        <f t="shared" si="35"/>
        <v>0</v>
      </c>
      <c r="S192" s="322">
        <f t="shared" si="32"/>
        <v>0.12709999999999999</v>
      </c>
      <c r="T192" s="322">
        <f t="shared" si="33"/>
        <v>75.138568489227993</v>
      </c>
      <c r="U192" s="354">
        <f t="shared" si="36"/>
        <v>141</v>
      </c>
      <c r="V192" s="354">
        <f t="shared" si="40"/>
        <v>7</v>
      </c>
      <c r="W192" s="348">
        <v>27.046666666666635</v>
      </c>
      <c r="X192" s="346">
        <v>101.59866666666653</v>
      </c>
      <c r="Y192" s="566">
        <v>35.077680000000001</v>
      </c>
    </row>
    <row r="193" spans="1:25" x14ac:dyDescent="0.15">
      <c r="A193" s="201">
        <f t="shared" si="41"/>
        <v>26</v>
      </c>
      <c r="B193" s="260">
        <f t="shared" si="34"/>
        <v>39931</v>
      </c>
      <c r="C193" s="374">
        <f t="shared" si="28"/>
        <v>216.31558764835805</v>
      </c>
      <c r="D193" s="319">
        <f t="shared" si="37"/>
        <v>75.138568489227993</v>
      </c>
      <c r="E193" s="319">
        <f>VLOOKUP(MONTH(B193),[0]!Evap,3)</f>
        <v>5.9233333333333329</v>
      </c>
      <c r="F193" s="322">
        <f t="shared" si="38"/>
        <v>4.6201999999999996</v>
      </c>
      <c r="G193" s="319">
        <f t="shared" si="29"/>
        <v>11.638684939046266</v>
      </c>
      <c r="H193" s="322">
        <f t="shared" si="30"/>
        <v>5.3773052155381557E-2</v>
      </c>
      <c r="I193" s="322">
        <f>+fill_data!B237</f>
        <v>6.9330923096873817E-2</v>
      </c>
      <c r="J193" s="322">
        <f t="shared" si="31"/>
        <v>75.154126360169485</v>
      </c>
      <c r="K193" s="322">
        <f>+fill_data!C237</f>
        <v>4.3333333333333331E-3</v>
      </c>
      <c r="L193" s="322">
        <f>+fill_data!F237</f>
        <v>0</v>
      </c>
      <c r="M193" s="322">
        <f>+fill_data!D237</f>
        <v>3.8166666666666668E-2</v>
      </c>
      <c r="N193" s="322">
        <f>++fill_data!E237</f>
        <v>8.4599999999999995E-2</v>
      </c>
      <c r="O193" s="322">
        <f>VLOOKUP($A193,[0]!ความต้องการน้ำ,3)/7</f>
        <v>0</v>
      </c>
      <c r="P193" s="322">
        <f>VLOOKUP($A193,[0]!ฝนใช้การ,3)/7</f>
        <v>0</v>
      </c>
      <c r="Q193" s="322">
        <f t="shared" si="39"/>
        <v>60</v>
      </c>
      <c r="R193" s="322">
        <f t="shared" si="35"/>
        <v>0</v>
      </c>
      <c r="S193" s="322">
        <f t="shared" si="32"/>
        <v>0.12709999999999999</v>
      </c>
      <c r="T193" s="322">
        <f t="shared" si="33"/>
        <v>75.027026360169486</v>
      </c>
      <c r="U193" s="354">
        <f t="shared" si="36"/>
        <v>141</v>
      </c>
      <c r="V193" s="354">
        <f t="shared" si="40"/>
        <v>7</v>
      </c>
      <c r="W193" s="348">
        <v>27.034999999999968</v>
      </c>
      <c r="X193" s="346">
        <v>101.41899999999987</v>
      </c>
      <c r="Y193" s="566">
        <v>34.899520000000003</v>
      </c>
    </row>
    <row r="194" spans="1:25" x14ac:dyDescent="0.15">
      <c r="A194" s="201">
        <f t="shared" si="41"/>
        <v>26</v>
      </c>
      <c r="B194" s="260">
        <f t="shared" si="34"/>
        <v>39932</v>
      </c>
      <c r="C194" s="374">
        <f t="shared" si="28"/>
        <v>216.30617888077327</v>
      </c>
      <c r="D194" s="319">
        <f t="shared" si="37"/>
        <v>75.027026360169486</v>
      </c>
      <c r="E194" s="319">
        <f>VLOOKUP(MONTH(B194),[0]!Evap,3)</f>
        <v>5.9233333333333329</v>
      </c>
      <c r="F194" s="322">
        <f t="shared" si="38"/>
        <v>4.6201999999999996</v>
      </c>
      <c r="G194" s="319">
        <f t="shared" si="29"/>
        <v>11.630355656762775</v>
      </c>
      <c r="H194" s="322">
        <f t="shared" si="30"/>
        <v>5.3734569205375372E-2</v>
      </c>
      <c r="I194" s="322">
        <f>+fill_data!B238</f>
        <v>6.9330923096873817E-2</v>
      </c>
      <c r="J194" s="322">
        <f t="shared" si="31"/>
        <v>75.042622714060983</v>
      </c>
      <c r="K194" s="322">
        <f>+fill_data!C238</f>
        <v>4.3333333333333331E-3</v>
      </c>
      <c r="L194" s="322">
        <f>+fill_data!F238</f>
        <v>0</v>
      </c>
      <c r="M194" s="322">
        <f>+fill_data!D238</f>
        <v>3.8166666666666668E-2</v>
      </c>
      <c r="N194" s="322">
        <f>++fill_data!E238</f>
        <v>8.4599999999999995E-2</v>
      </c>
      <c r="O194" s="322">
        <f>VLOOKUP($A194,[0]!ความต้องการน้ำ,3)/7</f>
        <v>0</v>
      </c>
      <c r="P194" s="322">
        <f>VLOOKUP($A194,[0]!ฝนใช้การ,3)/7</f>
        <v>0</v>
      </c>
      <c r="Q194" s="322">
        <f t="shared" si="39"/>
        <v>60</v>
      </c>
      <c r="R194" s="322">
        <f t="shared" si="35"/>
        <v>0</v>
      </c>
      <c r="S194" s="322">
        <f t="shared" si="32"/>
        <v>0.12709999999999999</v>
      </c>
      <c r="T194" s="322">
        <f t="shared" si="33"/>
        <v>74.915522714060984</v>
      </c>
      <c r="U194" s="354">
        <f t="shared" si="36"/>
        <v>141</v>
      </c>
      <c r="V194" s="354">
        <f t="shared" si="40"/>
        <v>7</v>
      </c>
      <c r="W194" s="348">
        <v>27.023333333333298</v>
      </c>
      <c r="X194" s="346">
        <v>101.23933333333319</v>
      </c>
      <c r="Y194" s="566">
        <v>34.81044</v>
      </c>
    </row>
    <row r="195" spans="1:25" x14ac:dyDescent="0.15">
      <c r="A195" s="201">
        <f t="shared" si="41"/>
        <v>26</v>
      </c>
      <c r="B195" s="260">
        <f t="shared" si="34"/>
        <v>39933</v>
      </c>
      <c r="C195" s="374">
        <f t="shared" si="28"/>
        <v>216.29677335929057</v>
      </c>
      <c r="D195" s="319">
        <f t="shared" si="37"/>
        <v>74.915522714060984</v>
      </c>
      <c r="E195" s="319">
        <f>VLOOKUP(MONTH(B195),[0]!Evap,3)</f>
        <v>5.9233333333333329</v>
      </c>
      <c r="F195" s="322">
        <f t="shared" si="38"/>
        <v>4.6201999999999996</v>
      </c>
      <c r="G195" s="319">
        <f t="shared" si="29"/>
        <v>11.622029248150033</v>
      </c>
      <c r="H195" s="322">
        <f t="shared" si="30"/>
        <v>5.3696099532302782E-2</v>
      </c>
      <c r="I195" s="322">
        <f>+fill_data!B239</f>
        <v>6.9330923096873817E-2</v>
      </c>
      <c r="J195" s="322">
        <f t="shared" si="31"/>
        <v>74.931157537625552</v>
      </c>
      <c r="K195" s="322">
        <f>+fill_data!C239</f>
        <v>4.3333333333333331E-3</v>
      </c>
      <c r="L195" s="322">
        <f>+fill_data!F239</f>
        <v>0</v>
      </c>
      <c r="M195" s="322">
        <f>+fill_data!D239</f>
        <v>3.8166666666666668E-2</v>
      </c>
      <c r="N195" s="322">
        <f>++fill_data!E239</f>
        <v>8.4599999999999995E-2</v>
      </c>
      <c r="O195" s="322">
        <f>VLOOKUP($A195,[0]!ความต้องการน้ำ,3)/7</f>
        <v>0</v>
      </c>
      <c r="P195" s="322">
        <f>VLOOKUP($A195,[0]!ฝนใช้การ,3)/7</f>
        <v>0</v>
      </c>
      <c r="Q195" s="322">
        <f t="shared" si="39"/>
        <v>60</v>
      </c>
      <c r="R195" s="322">
        <f t="shared" si="35"/>
        <v>0</v>
      </c>
      <c r="S195" s="322">
        <f t="shared" si="32"/>
        <v>0.12709999999999999</v>
      </c>
      <c r="T195" s="322">
        <f t="shared" si="33"/>
        <v>74.804057537625553</v>
      </c>
      <c r="U195" s="354">
        <f t="shared" si="36"/>
        <v>141</v>
      </c>
      <c r="V195" s="354">
        <f t="shared" si="40"/>
        <v>7</v>
      </c>
      <c r="W195" s="348">
        <v>27.011666666666631</v>
      </c>
      <c r="X195" s="346">
        <v>101.05966666666652</v>
      </c>
      <c r="Y195" s="566">
        <v>34.81044</v>
      </c>
    </row>
    <row r="196" spans="1:25" x14ac:dyDescent="0.15">
      <c r="A196" s="201">
        <f t="shared" si="41"/>
        <v>26</v>
      </c>
      <c r="B196" s="260">
        <f t="shared" si="34"/>
        <v>39934</v>
      </c>
      <c r="C196" s="374">
        <f t="shared" si="28"/>
        <v>216.28737108278997</v>
      </c>
      <c r="D196" s="319">
        <f t="shared" si="37"/>
        <v>74.804057537625553</v>
      </c>
      <c r="E196" s="319">
        <f>VLOOKUP(MONTH(B196),[0]!Evap,3)</f>
        <v>5.1899999999999995</v>
      </c>
      <c r="F196" s="322">
        <f t="shared" si="38"/>
        <v>4.0481999999999996</v>
      </c>
      <c r="G196" s="319">
        <f t="shared" si="29"/>
        <v>11.613705712216603</v>
      </c>
      <c r="H196" s="322">
        <f t="shared" si="30"/>
        <v>4.7014603464195247E-2</v>
      </c>
      <c r="I196" s="322">
        <f>+fill_data!B240</f>
        <v>0.11592562278506183</v>
      </c>
      <c r="J196" s="322">
        <f t="shared" si="31"/>
        <v>74.872968556946418</v>
      </c>
      <c r="K196" s="322">
        <f>+fill_data!C240</f>
        <v>4.193548387096774E-3</v>
      </c>
      <c r="L196" s="322">
        <f>+fill_data!F240</f>
        <v>0</v>
      </c>
      <c r="M196" s="322">
        <f>+fill_data!D240</f>
        <v>3.693548387096774E-2</v>
      </c>
      <c r="N196" s="322">
        <f>++fill_data!E240</f>
        <v>8.4599999999999995E-2</v>
      </c>
      <c r="O196" s="322">
        <f>VLOOKUP($A196,[0]!ความต้องการน้ำ,3)/7</f>
        <v>0</v>
      </c>
      <c r="P196" s="322">
        <f>VLOOKUP($A196,[0]!ฝนใช้การ,3)/7</f>
        <v>0</v>
      </c>
      <c r="Q196" s="322">
        <f t="shared" si="39"/>
        <v>60</v>
      </c>
      <c r="R196" s="322">
        <f t="shared" si="35"/>
        <v>0</v>
      </c>
      <c r="S196" s="322">
        <f t="shared" si="32"/>
        <v>0.1257290322580645</v>
      </c>
      <c r="T196" s="322">
        <f t="shared" si="33"/>
        <v>74.747239524688354</v>
      </c>
      <c r="U196" s="354">
        <f t="shared" si="36"/>
        <v>141</v>
      </c>
      <c r="V196" s="354">
        <f t="shared" si="40"/>
        <v>7</v>
      </c>
      <c r="W196" s="348">
        <v>27</v>
      </c>
      <c r="X196" s="346">
        <v>100.88</v>
      </c>
      <c r="Y196" s="566">
        <v>34.721359999999997</v>
      </c>
    </row>
    <row r="197" spans="1:25" x14ac:dyDescent="0.15">
      <c r="A197" s="201">
        <v>27</v>
      </c>
      <c r="B197" s="260">
        <f t="shared" si="34"/>
        <v>39935</v>
      </c>
      <c r="C197" s="374">
        <f t="shared" si="28"/>
        <v>216.28257838712543</v>
      </c>
      <c r="D197" s="319">
        <f t="shared" si="37"/>
        <v>74.747239524688354</v>
      </c>
      <c r="E197" s="319">
        <f>VLOOKUP(MONTH(B197),[0]!Evap,3)</f>
        <v>5.1899999999999995</v>
      </c>
      <c r="F197" s="322">
        <f t="shared" si="38"/>
        <v>4.0481999999999996</v>
      </c>
      <c r="G197" s="319">
        <f t="shared" si="29"/>
        <v>11.609462891387061</v>
      </c>
      <c r="H197" s="322">
        <f t="shared" si="30"/>
        <v>4.6997427676913089E-2</v>
      </c>
      <c r="I197" s="322">
        <f>+fill_data!B241</f>
        <v>0.11592562278506183</v>
      </c>
      <c r="J197" s="322">
        <f t="shared" si="31"/>
        <v>74.816167719796496</v>
      </c>
      <c r="K197" s="322">
        <f>+fill_data!C241</f>
        <v>4.193548387096774E-3</v>
      </c>
      <c r="L197" s="322">
        <f>+fill_data!F241</f>
        <v>0</v>
      </c>
      <c r="M197" s="322">
        <f>+fill_data!D241</f>
        <v>3.693548387096774E-2</v>
      </c>
      <c r="N197" s="322">
        <f>++fill_data!E241</f>
        <v>8.4599999999999995E-2</v>
      </c>
      <c r="O197" s="322">
        <f>VLOOKUP($A197,[0]!ความต้องการน้ำ,3)/7</f>
        <v>0</v>
      </c>
      <c r="P197" s="322">
        <f>VLOOKUP($A197,[0]!ฝนใช้การ,3)/7</f>
        <v>0</v>
      </c>
      <c r="Q197" s="322">
        <f t="shared" si="39"/>
        <v>60</v>
      </c>
      <c r="R197" s="322">
        <f t="shared" si="35"/>
        <v>0</v>
      </c>
      <c r="S197" s="322">
        <f t="shared" si="32"/>
        <v>0.1257290322580645</v>
      </c>
      <c r="T197" s="322">
        <f t="shared" si="33"/>
        <v>74.690438687538432</v>
      </c>
      <c r="U197" s="354">
        <f t="shared" si="36"/>
        <v>141</v>
      </c>
      <c r="V197" s="354">
        <f t="shared" si="40"/>
        <v>7</v>
      </c>
      <c r="W197" s="348">
        <v>27.010322580645163</v>
      </c>
      <c r="X197" s="346">
        <v>100.80548387096775</v>
      </c>
      <c r="Y197" s="566">
        <v>34.721359999999997</v>
      </c>
    </row>
    <row r="198" spans="1:25" x14ac:dyDescent="0.15">
      <c r="A198" s="201">
        <f t="shared" si="41"/>
        <v>27</v>
      </c>
      <c r="B198" s="260">
        <f t="shared" si="34"/>
        <v>39936</v>
      </c>
      <c r="C198" s="374">
        <f t="shared" si="28"/>
        <v>216.27778714026763</v>
      </c>
      <c r="D198" s="319">
        <f t="shared" si="37"/>
        <v>74.690438687538432</v>
      </c>
      <c r="E198" s="319">
        <f>VLOOKUP(MONTH(B198),[0]!Evap,3)</f>
        <v>5.1899999999999995</v>
      </c>
      <c r="F198" s="322">
        <f t="shared" si="38"/>
        <v>4.0481999999999996</v>
      </c>
      <c r="G198" s="319">
        <f t="shared" si="29"/>
        <v>11.605221353139999</v>
      </c>
      <c r="H198" s="322">
        <f t="shared" si="30"/>
        <v>4.6980257081781336E-2</v>
      </c>
      <c r="I198" s="322">
        <f>+fill_data!B242</f>
        <v>0.11592562278506183</v>
      </c>
      <c r="J198" s="322">
        <f t="shared" si="31"/>
        <v>74.759384053241703</v>
      </c>
      <c r="K198" s="322">
        <f>+fill_data!C242</f>
        <v>4.193548387096774E-3</v>
      </c>
      <c r="L198" s="322">
        <f>+fill_data!F242</f>
        <v>0</v>
      </c>
      <c r="M198" s="322">
        <f>+fill_data!D242</f>
        <v>3.693548387096774E-2</v>
      </c>
      <c r="N198" s="322">
        <f>++fill_data!E242</f>
        <v>8.4599999999999995E-2</v>
      </c>
      <c r="O198" s="322">
        <f>VLOOKUP($A198,[0]!ความต้องการน้ำ,3)/7</f>
        <v>0</v>
      </c>
      <c r="P198" s="322">
        <f>VLOOKUP($A198,[0]!ฝนใช้การ,3)/7</f>
        <v>0</v>
      </c>
      <c r="Q198" s="322">
        <f t="shared" si="39"/>
        <v>60</v>
      </c>
      <c r="R198" s="322">
        <f t="shared" si="35"/>
        <v>0</v>
      </c>
      <c r="S198" s="322">
        <f t="shared" si="32"/>
        <v>0.1257290322580645</v>
      </c>
      <c r="T198" s="322">
        <f t="shared" si="33"/>
        <v>74.633655020983639</v>
      </c>
      <c r="U198" s="354">
        <f t="shared" si="36"/>
        <v>141</v>
      </c>
      <c r="V198" s="354">
        <f t="shared" si="40"/>
        <v>7</v>
      </c>
      <c r="W198" s="348">
        <v>27.020645161290325</v>
      </c>
      <c r="X198" s="346">
        <v>100.73096774193549</v>
      </c>
      <c r="Y198" s="566">
        <v>34.632280000000002</v>
      </c>
    </row>
    <row r="199" spans="1:25" x14ac:dyDescent="0.15">
      <c r="A199" s="201">
        <f t="shared" si="41"/>
        <v>27</v>
      </c>
      <c r="B199" s="260">
        <f t="shared" si="34"/>
        <v>39937</v>
      </c>
      <c r="C199" s="374">
        <f t="shared" si="28"/>
        <v>216.27299734177865</v>
      </c>
      <c r="D199" s="319">
        <f t="shared" si="37"/>
        <v>74.633655020983639</v>
      </c>
      <c r="E199" s="319">
        <f>VLOOKUP(MONTH(B199),[0]!Evap,3)</f>
        <v>5.1899999999999995</v>
      </c>
      <c r="F199" s="322">
        <f t="shared" si="38"/>
        <v>4.0481999999999996</v>
      </c>
      <c r="G199" s="319">
        <f t="shared" si="29"/>
        <v>11.600981097087701</v>
      </c>
      <c r="H199" s="322">
        <f t="shared" si="30"/>
        <v>4.6963091677230423E-2</v>
      </c>
      <c r="I199" s="322">
        <f>+fill_data!B243</f>
        <v>0.11592562278506183</v>
      </c>
      <c r="J199" s="322">
        <f t="shared" si="31"/>
        <v>74.702617552091468</v>
      </c>
      <c r="K199" s="322">
        <f>+fill_data!C243</f>
        <v>4.193548387096774E-3</v>
      </c>
      <c r="L199" s="322">
        <f>+fill_data!F243</f>
        <v>0</v>
      </c>
      <c r="M199" s="322">
        <f>+fill_data!D243</f>
        <v>3.693548387096774E-2</v>
      </c>
      <c r="N199" s="322">
        <f>++fill_data!E243</f>
        <v>8.4599999999999995E-2</v>
      </c>
      <c r="O199" s="322">
        <f>VLOOKUP($A199,[0]!ความต้องการน้ำ,3)/7</f>
        <v>0</v>
      </c>
      <c r="P199" s="322">
        <f>VLOOKUP($A199,[0]!ฝนใช้การ,3)/7</f>
        <v>0</v>
      </c>
      <c r="Q199" s="322">
        <f t="shared" si="39"/>
        <v>60</v>
      </c>
      <c r="R199" s="322">
        <f t="shared" si="35"/>
        <v>0</v>
      </c>
      <c r="S199" s="322">
        <f t="shared" si="32"/>
        <v>0.1257290322580645</v>
      </c>
      <c r="T199" s="322">
        <f t="shared" si="33"/>
        <v>74.576888519833403</v>
      </c>
      <c r="U199" s="354">
        <f t="shared" si="36"/>
        <v>141</v>
      </c>
      <c r="V199" s="354">
        <f t="shared" si="40"/>
        <v>7</v>
      </c>
      <c r="W199" s="348">
        <v>27.030967741935488</v>
      </c>
      <c r="X199" s="346">
        <v>100.65645161290324</v>
      </c>
      <c r="Y199" s="566">
        <v>34.632280000000002</v>
      </c>
    </row>
    <row r="200" spans="1:25" x14ac:dyDescent="0.15">
      <c r="A200" s="201">
        <f t="shared" si="41"/>
        <v>27</v>
      </c>
      <c r="B200" s="260">
        <f t="shared" si="34"/>
        <v>39938</v>
      </c>
      <c r="C200" s="374">
        <f t="shared" si="28"/>
        <v>216.2682089912206</v>
      </c>
      <c r="D200" s="319">
        <f t="shared" si="37"/>
        <v>74.576888519833403</v>
      </c>
      <c r="E200" s="319">
        <f>VLOOKUP(MONTH(B200),[0]!Evap,3)</f>
        <v>5.1899999999999995</v>
      </c>
      <c r="F200" s="322">
        <f t="shared" si="38"/>
        <v>4.0481999999999996</v>
      </c>
      <c r="G200" s="319">
        <f t="shared" si="29"/>
        <v>11.596742122842567</v>
      </c>
      <c r="H200" s="322">
        <f t="shared" si="30"/>
        <v>4.6945931461691272E-2</v>
      </c>
      <c r="I200" s="322">
        <f>+fill_data!B244</f>
        <v>0.11592562278506183</v>
      </c>
      <c r="J200" s="322">
        <f t="shared" si="31"/>
        <v>74.645868211156767</v>
      </c>
      <c r="K200" s="322">
        <f>+fill_data!C244</f>
        <v>4.193548387096774E-3</v>
      </c>
      <c r="L200" s="322">
        <f>+fill_data!F244</f>
        <v>0</v>
      </c>
      <c r="M200" s="322">
        <f>+fill_data!D244</f>
        <v>3.693548387096774E-2</v>
      </c>
      <c r="N200" s="322">
        <f>++fill_data!E244</f>
        <v>8.4599999999999995E-2</v>
      </c>
      <c r="O200" s="322">
        <f>VLOOKUP($A200,[0]!ความต้องการน้ำ,3)/7</f>
        <v>0</v>
      </c>
      <c r="P200" s="322">
        <f>VLOOKUP($A200,[0]!ฝนใช้การ,3)/7</f>
        <v>0</v>
      </c>
      <c r="Q200" s="322">
        <f t="shared" si="39"/>
        <v>60</v>
      </c>
      <c r="R200" s="322">
        <f t="shared" si="35"/>
        <v>0</v>
      </c>
      <c r="S200" s="322">
        <f t="shared" si="32"/>
        <v>0.1257290322580645</v>
      </c>
      <c r="T200" s="322">
        <f t="shared" si="33"/>
        <v>74.520139178898702</v>
      </c>
      <c r="U200" s="354">
        <f t="shared" si="36"/>
        <v>141</v>
      </c>
      <c r="V200" s="354">
        <f t="shared" si="40"/>
        <v>7</v>
      </c>
      <c r="W200" s="348">
        <v>27.04129032258065</v>
      </c>
      <c r="X200" s="346">
        <v>100.58193548387098</v>
      </c>
      <c r="Y200" s="566">
        <v>34.543199999999999</v>
      </c>
    </row>
    <row r="201" spans="1:25" x14ac:dyDescent="0.15">
      <c r="A201" s="201">
        <f t="shared" si="41"/>
        <v>27</v>
      </c>
      <c r="B201" s="260">
        <f t="shared" si="34"/>
        <v>39939</v>
      </c>
      <c r="C201" s="374">
        <f t="shared" si="28"/>
        <v>216.26342208815583</v>
      </c>
      <c r="D201" s="319">
        <f t="shared" si="37"/>
        <v>74.520139178898702</v>
      </c>
      <c r="E201" s="319">
        <f>VLOOKUP(MONTH(B201),[0]!Evap,3)</f>
        <v>5.1899999999999995</v>
      </c>
      <c r="F201" s="322">
        <f t="shared" si="38"/>
        <v>4.0481999999999996</v>
      </c>
      <c r="G201" s="319">
        <f t="shared" si="29"/>
        <v>11.592504430017112</v>
      </c>
      <c r="H201" s="322">
        <f t="shared" si="30"/>
        <v>4.6928776433595262E-2</v>
      </c>
      <c r="I201" s="322">
        <f>+fill_data!B245</f>
        <v>0.11592562278506183</v>
      </c>
      <c r="J201" s="322">
        <f t="shared" si="31"/>
        <v>74.58913602525017</v>
      </c>
      <c r="K201" s="322">
        <f>+fill_data!C245</f>
        <v>4.193548387096774E-3</v>
      </c>
      <c r="L201" s="322">
        <f>+fill_data!F245</f>
        <v>0</v>
      </c>
      <c r="M201" s="322">
        <f>+fill_data!D245</f>
        <v>3.693548387096774E-2</v>
      </c>
      <c r="N201" s="322">
        <f>++fill_data!E245</f>
        <v>8.4599999999999995E-2</v>
      </c>
      <c r="O201" s="322">
        <f>VLOOKUP($A201,[0]!ความต้องการน้ำ,3)/7</f>
        <v>0</v>
      </c>
      <c r="P201" s="322">
        <f>VLOOKUP($A201,[0]!ฝนใช้การ,3)/7</f>
        <v>0</v>
      </c>
      <c r="Q201" s="322">
        <f t="shared" si="39"/>
        <v>60</v>
      </c>
      <c r="R201" s="322">
        <f t="shared" si="35"/>
        <v>0</v>
      </c>
      <c r="S201" s="322">
        <f t="shared" si="32"/>
        <v>0.1257290322580645</v>
      </c>
      <c r="T201" s="322">
        <f t="shared" si="33"/>
        <v>74.463406992992105</v>
      </c>
      <c r="U201" s="354">
        <f t="shared" si="36"/>
        <v>141</v>
      </c>
      <c r="V201" s="354">
        <f t="shared" si="40"/>
        <v>7</v>
      </c>
      <c r="W201" s="348">
        <v>27.051612903225813</v>
      </c>
      <c r="X201" s="346">
        <v>100.50741935483873</v>
      </c>
      <c r="Y201" s="566">
        <v>34.543199999999999</v>
      </c>
    </row>
    <row r="202" spans="1:25" x14ac:dyDescent="0.15">
      <c r="A202" s="201">
        <f t="shared" si="41"/>
        <v>27</v>
      </c>
      <c r="B202" s="260">
        <f t="shared" si="34"/>
        <v>39940</v>
      </c>
      <c r="C202" s="374">
        <f t="shared" si="28"/>
        <v>216.25863663214673</v>
      </c>
      <c r="D202" s="319">
        <f t="shared" si="37"/>
        <v>74.463406992992105</v>
      </c>
      <c r="E202" s="319">
        <f>VLOOKUP(MONTH(B202),[0]!Evap,3)</f>
        <v>5.1899999999999995</v>
      </c>
      <c r="F202" s="322">
        <f t="shared" si="38"/>
        <v>4.0481999999999996</v>
      </c>
      <c r="G202" s="319">
        <f t="shared" si="29"/>
        <v>11.588268018223971</v>
      </c>
      <c r="H202" s="322">
        <f t="shared" si="30"/>
        <v>4.6911626591374267E-2</v>
      </c>
      <c r="I202" s="322">
        <f>+fill_data!B246</f>
        <v>0.11592562278506183</v>
      </c>
      <c r="J202" s="322">
        <f t="shared" si="31"/>
        <v>74.532420989185781</v>
      </c>
      <c r="K202" s="322">
        <f>+fill_data!C246</f>
        <v>4.193548387096774E-3</v>
      </c>
      <c r="L202" s="322">
        <f>+fill_data!F246</f>
        <v>0</v>
      </c>
      <c r="M202" s="322">
        <f>+fill_data!D246</f>
        <v>3.693548387096774E-2</v>
      </c>
      <c r="N202" s="322">
        <f>++fill_data!E246</f>
        <v>8.4599999999999995E-2</v>
      </c>
      <c r="O202" s="322">
        <f>VLOOKUP($A202,[0]!ความต้องการน้ำ,3)/7</f>
        <v>0</v>
      </c>
      <c r="P202" s="322">
        <f>VLOOKUP($A202,[0]!ฝนใช้การ,3)/7</f>
        <v>0</v>
      </c>
      <c r="Q202" s="322">
        <f t="shared" si="39"/>
        <v>60</v>
      </c>
      <c r="R202" s="322">
        <f t="shared" si="35"/>
        <v>0</v>
      </c>
      <c r="S202" s="322">
        <f t="shared" si="32"/>
        <v>0.1257290322580645</v>
      </c>
      <c r="T202" s="322">
        <f t="shared" si="33"/>
        <v>74.406691956927716</v>
      </c>
      <c r="U202" s="354">
        <f t="shared" si="36"/>
        <v>141</v>
      </c>
      <c r="V202" s="354">
        <f t="shared" si="40"/>
        <v>7</v>
      </c>
      <c r="W202" s="348">
        <v>27.061935483870975</v>
      </c>
      <c r="X202" s="346">
        <v>100.43290322580647</v>
      </c>
      <c r="Y202" s="566">
        <v>34.454120000000003</v>
      </c>
    </row>
    <row r="203" spans="1:25" x14ac:dyDescent="0.15">
      <c r="A203" s="201">
        <f t="shared" si="41"/>
        <v>27</v>
      </c>
      <c r="B203" s="260">
        <f t="shared" si="34"/>
        <v>39941</v>
      </c>
      <c r="C203" s="374">
        <f t="shared" si="28"/>
        <v>216.25385262275591</v>
      </c>
      <c r="D203" s="319">
        <f t="shared" si="37"/>
        <v>74.406691956927716</v>
      </c>
      <c r="E203" s="319">
        <f>VLOOKUP(MONTH(B203),[0]!Evap,3)</f>
        <v>5.1899999999999995</v>
      </c>
      <c r="F203" s="322">
        <f t="shared" si="38"/>
        <v>4.0481999999999996</v>
      </c>
      <c r="G203" s="319">
        <f t="shared" si="29"/>
        <v>11.584032887075892</v>
      </c>
      <c r="H203" s="322">
        <f t="shared" si="30"/>
        <v>4.6894481933460616E-2</v>
      </c>
      <c r="I203" s="322">
        <f>+fill_data!B247</f>
        <v>0.11592562278506183</v>
      </c>
      <c r="J203" s="322">
        <f t="shared" si="31"/>
        <v>74.475723097779309</v>
      </c>
      <c r="K203" s="322">
        <f>+fill_data!C247</f>
        <v>4.193548387096774E-3</v>
      </c>
      <c r="L203" s="322">
        <f>+fill_data!F247</f>
        <v>0</v>
      </c>
      <c r="M203" s="322">
        <f>+fill_data!D247</f>
        <v>3.693548387096774E-2</v>
      </c>
      <c r="N203" s="322">
        <f>++fill_data!E247</f>
        <v>8.4599999999999995E-2</v>
      </c>
      <c r="O203" s="322">
        <f>VLOOKUP($A203,[0]!ความต้องการน้ำ,3)/7</f>
        <v>0</v>
      </c>
      <c r="P203" s="322">
        <f>VLOOKUP($A203,[0]!ฝนใช้การ,3)/7</f>
        <v>0</v>
      </c>
      <c r="Q203" s="322">
        <f t="shared" si="39"/>
        <v>60</v>
      </c>
      <c r="R203" s="322">
        <f t="shared" si="35"/>
        <v>0</v>
      </c>
      <c r="S203" s="322">
        <f t="shared" si="32"/>
        <v>0.1257290322580645</v>
      </c>
      <c r="T203" s="322">
        <f t="shared" si="33"/>
        <v>74.349994065521244</v>
      </c>
      <c r="U203" s="354">
        <f t="shared" si="36"/>
        <v>141</v>
      </c>
      <c r="V203" s="354">
        <f t="shared" si="40"/>
        <v>7</v>
      </c>
      <c r="W203" s="348">
        <v>27.072258064516138</v>
      </c>
      <c r="X203" s="346">
        <v>100.35838709677422</v>
      </c>
      <c r="Y203" s="566">
        <v>34.454120000000003</v>
      </c>
    </row>
    <row r="204" spans="1:25" x14ac:dyDescent="0.15">
      <c r="A204" s="201">
        <v>28</v>
      </c>
      <c r="B204" s="260">
        <f t="shared" si="34"/>
        <v>39942</v>
      </c>
      <c r="C204" s="374">
        <f t="shared" si="28"/>
        <v>216.249070059546</v>
      </c>
      <c r="D204" s="319">
        <f t="shared" si="37"/>
        <v>74.349994065521244</v>
      </c>
      <c r="E204" s="319">
        <f>VLOOKUP(MONTH(B204),[0]!Evap,3)</f>
        <v>5.1899999999999995</v>
      </c>
      <c r="F204" s="322">
        <f t="shared" si="38"/>
        <v>4.0481999999999996</v>
      </c>
      <c r="G204" s="319">
        <f t="shared" si="29"/>
        <v>11.579799036185745</v>
      </c>
      <c r="H204" s="322">
        <f t="shared" si="30"/>
        <v>4.6877342458287126E-2</v>
      </c>
      <c r="I204" s="322">
        <f>+fill_data!B248</f>
        <v>0.11592562278506183</v>
      </c>
      <c r="J204" s="322">
        <f t="shared" si="31"/>
        <v>74.419042345848013</v>
      </c>
      <c r="K204" s="322">
        <f>+fill_data!C248</f>
        <v>4.193548387096774E-3</v>
      </c>
      <c r="L204" s="322">
        <f>+fill_data!F248</f>
        <v>0</v>
      </c>
      <c r="M204" s="322">
        <f>+fill_data!D248</f>
        <v>3.693548387096774E-2</v>
      </c>
      <c r="N204" s="322">
        <f>++fill_data!E248</f>
        <v>8.4599999999999995E-2</v>
      </c>
      <c r="O204" s="322">
        <f>VLOOKUP($A204,[0]!ความต้องการน้ำ,3)/7</f>
        <v>0</v>
      </c>
      <c r="P204" s="322">
        <f>VLOOKUP($A204,[0]!ฝนใช้การ,3)/7</f>
        <v>0</v>
      </c>
      <c r="Q204" s="322">
        <f t="shared" si="39"/>
        <v>60</v>
      </c>
      <c r="R204" s="322">
        <f t="shared" si="35"/>
        <v>0</v>
      </c>
      <c r="S204" s="322">
        <f t="shared" si="32"/>
        <v>0.1257290322580645</v>
      </c>
      <c r="T204" s="322">
        <f t="shared" si="33"/>
        <v>74.293313313589948</v>
      </c>
      <c r="U204" s="354">
        <f t="shared" si="36"/>
        <v>141</v>
      </c>
      <c r="V204" s="354">
        <f t="shared" si="40"/>
        <v>7</v>
      </c>
      <c r="W204" s="348">
        <v>27.0825806451613</v>
      </c>
      <c r="X204" s="346">
        <v>100.28387096774196</v>
      </c>
      <c r="Y204" s="566">
        <v>34.275959999999998</v>
      </c>
    </row>
    <row r="205" spans="1:25" x14ac:dyDescent="0.15">
      <c r="A205" s="201">
        <f t="shared" si="41"/>
        <v>28</v>
      </c>
      <c r="B205" s="260">
        <f t="shared" si="34"/>
        <v>39943</v>
      </c>
      <c r="C205" s="374">
        <f t="shared" si="28"/>
        <v>216.24428894207989</v>
      </c>
      <c r="D205" s="319">
        <f t="shared" si="37"/>
        <v>74.293313313589948</v>
      </c>
      <c r="E205" s="319">
        <f>VLOOKUP(MONTH(B205),[0]!Evap,3)</f>
        <v>5.1899999999999995</v>
      </c>
      <c r="F205" s="322">
        <f t="shared" si="38"/>
        <v>4.0481999999999996</v>
      </c>
      <c r="G205" s="319">
        <f t="shared" si="29"/>
        <v>11.575566465166515</v>
      </c>
      <c r="H205" s="322">
        <f t="shared" si="30"/>
        <v>4.6860208164287077E-2</v>
      </c>
      <c r="I205" s="322">
        <f>+fill_data!B249</f>
        <v>0.11592562278506183</v>
      </c>
      <c r="J205" s="322">
        <f t="shared" si="31"/>
        <v>74.362378728210714</v>
      </c>
      <c r="K205" s="322">
        <f>+fill_data!C249</f>
        <v>4.193548387096774E-3</v>
      </c>
      <c r="L205" s="322">
        <f>+fill_data!F249</f>
        <v>0</v>
      </c>
      <c r="M205" s="322">
        <f>+fill_data!D249</f>
        <v>3.693548387096774E-2</v>
      </c>
      <c r="N205" s="322">
        <f>++fill_data!E249</f>
        <v>8.4599999999999995E-2</v>
      </c>
      <c r="O205" s="322">
        <f>VLOOKUP($A205,[0]!ความต้องการน้ำ,3)/7</f>
        <v>0</v>
      </c>
      <c r="P205" s="322">
        <f>VLOOKUP($A205,[0]!ฝนใช้การ,3)/7</f>
        <v>0</v>
      </c>
      <c r="Q205" s="322">
        <f t="shared" si="39"/>
        <v>60</v>
      </c>
      <c r="R205" s="322">
        <f t="shared" si="35"/>
        <v>0</v>
      </c>
      <c r="S205" s="322">
        <f t="shared" si="32"/>
        <v>0.1257290322580645</v>
      </c>
      <c r="T205" s="322">
        <f t="shared" si="33"/>
        <v>74.23664969595265</v>
      </c>
      <c r="U205" s="354">
        <f t="shared" si="36"/>
        <v>141</v>
      </c>
      <c r="V205" s="354">
        <f t="shared" si="40"/>
        <v>7</v>
      </c>
      <c r="W205" s="348">
        <v>27.092903225806463</v>
      </c>
      <c r="X205" s="346">
        <v>100.20935483870971</v>
      </c>
      <c r="Y205" s="566">
        <v>34.275959999999998</v>
      </c>
    </row>
    <row r="206" spans="1:25" x14ac:dyDescent="0.15">
      <c r="A206" s="201">
        <f t="shared" si="41"/>
        <v>28</v>
      </c>
      <c r="B206" s="260">
        <f t="shared" si="34"/>
        <v>39944</v>
      </c>
      <c r="C206" s="374">
        <f t="shared" si="28"/>
        <v>216.23950926992049</v>
      </c>
      <c r="D206" s="319">
        <f t="shared" si="37"/>
        <v>74.23664969595265</v>
      </c>
      <c r="E206" s="319">
        <f>VLOOKUP(MONTH(B206),[0]!Evap,3)</f>
        <v>5.1899999999999995</v>
      </c>
      <c r="F206" s="322">
        <f t="shared" si="38"/>
        <v>4.0481999999999996</v>
      </c>
      <c r="G206" s="319">
        <f t="shared" si="29"/>
        <v>11.571335173631303</v>
      </c>
      <c r="H206" s="322">
        <f t="shared" si="30"/>
        <v>4.684307904989423E-2</v>
      </c>
      <c r="I206" s="322">
        <f>+fill_data!B250</f>
        <v>0.11592562278506183</v>
      </c>
      <c r="J206" s="322">
        <f t="shared" si="31"/>
        <v>74.305732239687813</v>
      </c>
      <c r="K206" s="322">
        <f>+fill_data!C250</f>
        <v>4.193548387096774E-3</v>
      </c>
      <c r="L206" s="322">
        <f>+fill_data!F250</f>
        <v>0</v>
      </c>
      <c r="M206" s="322">
        <f>+fill_data!D250</f>
        <v>3.693548387096774E-2</v>
      </c>
      <c r="N206" s="322">
        <f>++fill_data!E250</f>
        <v>8.4599999999999995E-2</v>
      </c>
      <c r="O206" s="322">
        <f>VLOOKUP($A206,[0]!ความต้องการน้ำ,3)/7</f>
        <v>0</v>
      </c>
      <c r="P206" s="322">
        <f>VLOOKUP($A206,[0]!ฝนใช้การ,3)/7</f>
        <v>0</v>
      </c>
      <c r="Q206" s="322">
        <f t="shared" si="39"/>
        <v>60</v>
      </c>
      <c r="R206" s="322">
        <f t="shared" si="35"/>
        <v>0</v>
      </c>
      <c r="S206" s="322">
        <f t="shared" si="32"/>
        <v>0.1257290322580645</v>
      </c>
      <c r="T206" s="322">
        <f t="shared" si="33"/>
        <v>74.180003207429749</v>
      </c>
      <c r="U206" s="354">
        <f t="shared" si="36"/>
        <v>141</v>
      </c>
      <c r="V206" s="354">
        <f t="shared" si="40"/>
        <v>7</v>
      </c>
      <c r="W206" s="348">
        <v>27.103225806451626</v>
      </c>
      <c r="X206" s="346">
        <v>100.13483870967745</v>
      </c>
      <c r="Y206" s="566">
        <v>34.186880000000002</v>
      </c>
    </row>
    <row r="207" spans="1:25" x14ac:dyDescent="0.15">
      <c r="A207" s="201">
        <f t="shared" si="41"/>
        <v>28</v>
      </c>
      <c r="B207" s="260">
        <f t="shared" si="34"/>
        <v>39945</v>
      </c>
      <c r="C207" s="374">
        <f t="shared" ref="C207:C270" si="42">+(D207-VLOOKUP(D207,capacitycurveุ,1))*VLOOKUP(D207,capacitycurveุ,6)/VLOOKUP(D207,capacitycurveุ,5)+VLOOKUP(D207,capacitycurveุ,2)</f>
        <v>216.23473104263093</v>
      </c>
      <c r="D207" s="319">
        <f t="shared" si="37"/>
        <v>74.180003207429749</v>
      </c>
      <c r="E207" s="319">
        <f>VLOOKUP(MONTH(B207),[0]!Evap,3)</f>
        <v>5.1899999999999995</v>
      </c>
      <c r="F207" s="322">
        <f t="shared" si="38"/>
        <v>4.0481999999999996</v>
      </c>
      <c r="G207" s="319">
        <f t="shared" ref="G207:G270" si="43">+(D207-VLOOKUP(D207,capacitycurveุ,1))*VLOOKUP(D207,capacitycurveุ,7)/VLOOKUP(D207,capacitycurveุ,5)+VLOOKUP(D207,capacitycurveุ,3)</f>
        <v>11.567105161193327</v>
      </c>
      <c r="H207" s="322">
        <f t="shared" ref="H207:H270" si="44">F207/1000*G207</f>
        <v>4.6825955113542816E-2</v>
      </c>
      <c r="I207" s="322">
        <f>+fill_data!B251</f>
        <v>0.11592562278506183</v>
      </c>
      <c r="J207" s="322">
        <f t="shared" ref="J207:J270" si="45">D207-H207+I207</f>
        <v>74.249102875101258</v>
      </c>
      <c r="K207" s="322">
        <f>+fill_data!C251</f>
        <v>4.193548387096774E-3</v>
      </c>
      <c r="L207" s="322">
        <f>+fill_data!F251</f>
        <v>0</v>
      </c>
      <c r="M207" s="322">
        <f>+fill_data!D251</f>
        <v>3.693548387096774E-2</v>
      </c>
      <c r="N207" s="322">
        <f>++fill_data!E251</f>
        <v>8.4599999999999995E-2</v>
      </c>
      <c r="O207" s="322">
        <f>VLOOKUP($A207,[0]!ความต้องการน้ำ,3)/7</f>
        <v>0</v>
      </c>
      <c r="P207" s="322">
        <f>VLOOKUP($A207,[0]!ฝนใช้การ,3)/7</f>
        <v>0</v>
      </c>
      <c r="Q207" s="322">
        <f t="shared" si="39"/>
        <v>60</v>
      </c>
      <c r="R207" s="322">
        <f t="shared" si="35"/>
        <v>0</v>
      </c>
      <c r="S207" s="322">
        <f t="shared" ref="S207:S270" si="46">K207+L207+M207+N207+R207</f>
        <v>0.1257290322580645</v>
      </c>
      <c r="T207" s="322">
        <f t="shared" ref="T207:T270" si="47">J207-S207</f>
        <v>74.123373842843193</v>
      </c>
      <c r="U207" s="354">
        <f t="shared" si="36"/>
        <v>141</v>
      </c>
      <c r="V207" s="354">
        <f t="shared" si="40"/>
        <v>7</v>
      </c>
      <c r="W207" s="348">
        <v>27.113548387096788</v>
      </c>
      <c r="X207" s="346">
        <v>100.06032258064521</v>
      </c>
      <c r="Y207" s="566">
        <v>34.186880000000002</v>
      </c>
    </row>
    <row r="208" spans="1:25" x14ac:dyDescent="0.15">
      <c r="A208" s="201">
        <f t="shared" si="41"/>
        <v>28</v>
      </c>
      <c r="B208" s="260">
        <f t="shared" ref="B208:B271" si="48">+B207+1</f>
        <v>39946</v>
      </c>
      <c r="C208" s="374">
        <f t="shared" si="42"/>
        <v>216.22995425977442</v>
      </c>
      <c r="D208" s="319">
        <f t="shared" si="37"/>
        <v>74.123373842843193</v>
      </c>
      <c r="E208" s="319">
        <f>VLOOKUP(MONTH(B208),[0]!Evap,3)</f>
        <v>5.1899999999999995</v>
      </c>
      <c r="F208" s="322">
        <f t="shared" si="38"/>
        <v>4.0481999999999996</v>
      </c>
      <c r="G208" s="319">
        <f t="shared" si="43"/>
        <v>11.562876427465921</v>
      </c>
      <c r="H208" s="322">
        <f t="shared" si="44"/>
        <v>4.6808836353667532E-2</v>
      </c>
      <c r="I208" s="322">
        <f>+fill_data!B252</f>
        <v>0.11592562278506183</v>
      </c>
      <c r="J208" s="322">
        <f t="shared" si="45"/>
        <v>74.192490629274587</v>
      </c>
      <c r="K208" s="322">
        <f>+fill_data!C252</f>
        <v>4.193548387096774E-3</v>
      </c>
      <c r="L208" s="322">
        <f>+fill_data!F252</f>
        <v>0</v>
      </c>
      <c r="M208" s="322">
        <f>+fill_data!D252</f>
        <v>3.693548387096774E-2</v>
      </c>
      <c r="N208" s="322">
        <f>++fill_data!E252</f>
        <v>8.4599999999999995E-2</v>
      </c>
      <c r="O208" s="322">
        <f>VLOOKUP($A208,[0]!ความต้องการน้ำ,3)/7</f>
        <v>0</v>
      </c>
      <c r="P208" s="322">
        <f>VLOOKUP($A208,[0]!ฝนใช้การ,3)/7</f>
        <v>0</v>
      </c>
      <c r="Q208" s="322">
        <f t="shared" si="39"/>
        <v>60</v>
      </c>
      <c r="R208" s="322">
        <f t="shared" ref="R208:R271" si="49">IF((O208-P208)&lt;=0,0,+(O208-P208)/(Q208/100))</f>
        <v>0</v>
      </c>
      <c r="S208" s="322">
        <f t="shared" si="46"/>
        <v>0.1257290322580645</v>
      </c>
      <c r="T208" s="322">
        <f t="shared" si="47"/>
        <v>74.066761597016523</v>
      </c>
      <c r="U208" s="354">
        <f t="shared" ref="U208:U271" si="50">+U207</f>
        <v>141</v>
      </c>
      <c r="V208" s="354">
        <f t="shared" si="40"/>
        <v>7</v>
      </c>
      <c r="W208" s="348">
        <v>27.123870967741951</v>
      </c>
      <c r="X208" s="346">
        <v>99.985806451612945</v>
      </c>
      <c r="Y208" s="566">
        <v>34.097799999999999</v>
      </c>
    </row>
    <row r="209" spans="1:25" x14ac:dyDescent="0.15">
      <c r="A209" s="201">
        <f t="shared" si="41"/>
        <v>28</v>
      </c>
      <c r="B209" s="260">
        <f t="shared" si="48"/>
        <v>39947</v>
      </c>
      <c r="C209" s="374">
        <f t="shared" si="42"/>
        <v>216.22517892091429</v>
      </c>
      <c r="D209" s="319">
        <f t="shared" ref="D209:D272" si="51">IF(T208&gt;U208,U208,T208)</f>
        <v>74.066761597016523</v>
      </c>
      <c r="E209" s="319">
        <f>VLOOKUP(MONTH(B209),[0]!Evap,3)</f>
        <v>5.1899999999999995</v>
      </c>
      <c r="F209" s="322">
        <f t="shared" ref="F209:F272" si="52">E209*0.78</f>
        <v>4.0481999999999996</v>
      </c>
      <c r="G209" s="319">
        <f t="shared" si="43"/>
        <v>11.558648972062544</v>
      </c>
      <c r="H209" s="322">
        <f t="shared" si="44"/>
        <v>4.6791722768703581E-2</v>
      </c>
      <c r="I209" s="322">
        <f>+fill_data!B253</f>
        <v>0.11592562278506183</v>
      </c>
      <c r="J209" s="322">
        <f t="shared" si="45"/>
        <v>74.135895497032877</v>
      </c>
      <c r="K209" s="322">
        <f>+fill_data!C253</f>
        <v>4.193548387096774E-3</v>
      </c>
      <c r="L209" s="322">
        <f>+fill_data!F253</f>
        <v>0</v>
      </c>
      <c r="M209" s="322">
        <f>+fill_data!D253</f>
        <v>3.693548387096774E-2</v>
      </c>
      <c r="N209" s="322">
        <f>++fill_data!E253</f>
        <v>8.4599999999999995E-2</v>
      </c>
      <c r="O209" s="322">
        <f>VLOOKUP($A209,[0]!ความต้องการน้ำ,3)/7</f>
        <v>0</v>
      </c>
      <c r="P209" s="322">
        <f>VLOOKUP($A209,[0]!ฝนใช้การ,3)/7</f>
        <v>0</v>
      </c>
      <c r="Q209" s="322">
        <f t="shared" ref="Q209:Q272" si="53">+Q208</f>
        <v>60</v>
      </c>
      <c r="R209" s="322">
        <f t="shared" si="49"/>
        <v>0</v>
      </c>
      <c r="S209" s="322">
        <f t="shared" si="46"/>
        <v>0.1257290322580645</v>
      </c>
      <c r="T209" s="322">
        <f t="shared" si="47"/>
        <v>74.010166464774812</v>
      </c>
      <c r="U209" s="354">
        <f t="shared" si="50"/>
        <v>141</v>
      </c>
      <c r="V209" s="354">
        <f t="shared" ref="V209:V272" si="54">+V208</f>
        <v>7</v>
      </c>
      <c r="W209" s="348">
        <v>27.134193548387113</v>
      </c>
      <c r="X209" s="346">
        <v>99.911290322580697</v>
      </c>
      <c r="Y209" s="566">
        <v>34.097799999999999</v>
      </c>
    </row>
    <row r="210" spans="1:25" x14ac:dyDescent="0.15">
      <c r="A210" s="201">
        <f t="shared" si="41"/>
        <v>28</v>
      </c>
      <c r="B210" s="260">
        <f t="shared" si="48"/>
        <v>39948</v>
      </c>
      <c r="C210" s="374">
        <f t="shared" si="42"/>
        <v>216.22040502561404</v>
      </c>
      <c r="D210" s="319">
        <f t="shared" si="51"/>
        <v>74.010166464774812</v>
      </c>
      <c r="E210" s="319">
        <f>VLOOKUP(MONTH(B210),[0]!Evap,3)</f>
        <v>5.1899999999999995</v>
      </c>
      <c r="F210" s="322">
        <f t="shared" si="52"/>
        <v>4.0481999999999996</v>
      </c>
      <c r="G210" s="319">
        <f t="shared" si="43"/>
        <v>11.554422794596759</v>
      </c>
      <c r="H210" s="322">
        <f t="shared" si="44"/>
        <v>4.6774614357086589E-2</v>
      </c>
      <c r="I210" s="322">
        <f>+fill_data!B254</f>
        <v>0.11592562278506183</v>
      </c>
      <c r="J210" s="322">
        <f t="shared" si="45"/>
        <v>74.079317473202778</v>
      </c>
      <c r="K210" s="322">
        <f>+fill_data!C254</f>
        <v>4.193548387096774E-3</v>
      </c>
      <c r="L210" s="322">
        <f>+fill_data!F254</f>
        <v>0</v>
      </c>
      <c r="M210" s="322">
        <f>+fill_data!D254</f>
        <v>3.693548387096774E-2</v>
      </c>
      <c r="N210" s="322">
        <f>++fill_data!E254</f>
        <v>8.4599999999999995E-2</v>
      </c>
      <c r="O210" s="322">
        <f>VLOOKUP($A210,[0]!ความต้องการน้ำ,3)/7</f>
        <v>0</v>
      </c>
      <c r="P210" s="322">
        <f>VLOOKUP($A210,[0]!ฝนใช้การ,3)/7</f>
        <v>0</v>
      </c>
      <c r="Q210" s="322">
        <f t="shared" si="53"/>
        <v>60</v>
      </c>
      <c r="R210" s="322">
        <f t="shared" si="49"/>
        <v>0</v>
      </c>
      <c r="S210" s="322">
        <f t="shared" si="46"/>
        <v>0.1257290322580645</v>
      </c>
      <c r="T210" s="322">
        <f t="shared" si="47"/>
        <v>73.953588440944714</v>
      </c>
      <c r="U210" s="354">
        <f t="shared" si="50"/>
        <v>141</v>
      </c>
      <c r="V210" s="354">
        <f t="shared" si="54"/>
        <v>7</v>
      </c>
      <c r="W210" s="348">
        <v>27.144516129032276</v>
      </c>
      <c r="X210" s="346">
        <v>99.836774193548436</v>
      </c>
      <c r="Y210" s="566">
        <v>34.008719999999997</v>
      </c>
    </row>
    <row r="211" spans="1:25" x14ac:dyDescent="0.15">
      <c r="A211" s="201">
        <v>29</v>
      </c>
      <c r="B211" s="260">
        <f t="shared" si="48"/>
        <v>39949</v>
      </c>
      <c r="C211" s="374">
        <f t="shared" si="42"/>
        <v>216.21563257343732</v>
      </c>
      <c r="D211" s="319">
        <f t="shared" si="51"/>
        <v>73.953588440944714</v>
      </c>
      <c r="E211" s="319">
        <f>VLOOKUP(MONTH(B211),[0]!Evap,3)</f>
        <v>5.1899999999999995</v>
      </c>
      <c r="F211" s="322">
        <f t="shared" si="52"/>
        <v>4.0481999999999996</v>
      </c>
      <c r="G211" s="319">
        <f t="shared" si="43"/>
        <v>11.550197894682254</v>
      </c>
      <c r="H211" s="322">
        <f t="shared" si="44"/>
        <v>4.6757511117252695E-2</v>
      </c>
      <c r="I211" s="322">
        <f>+fill_data!B255</f>
        <v>0.11592562278506183</v>
      </c>
      <c r="J211" s="322">
        <f t="shared" si="45"/>
        <v>74.02275655261252</v>
      </c>
      <c r="K211" s="322">
        <f>+fill_data!C255</f>
        <v>4.193548387096774E-3</v>
      </c>
      <c r="L211" s="322">
        <f>+fill_data!F255</f>
        <v>0</v>
      </c>
      <c r="M211" s="322">
        <f>+fill_data!D255</f>
        <v>3.693548387096774E-2</v>
      </c>
      <c r="N211" s="322">
        <f>++fill_data!E255</f>
        <v>8.4599999999999995E-2</v>
      </c>
      <c r="O211" s="322">
        <f>VLOOKUP($A211,[0]!ความต้องการน้ำ,3)/7</f>
        <v>0</v>
      </c>
      <c r="P211" s="322">
        <f>VLOOKUP($A211,[0]!ฝนใช้การ,3)/7</f>
        <v>0</v>
      </c>
      <c r="Q211" s="322">
        <f t="shared" si="53"/>
        <v>60</v>
      </c>
      <c r="R211" s="322">
        <f t="shared" si="49"/>
        <v>0</v>
      </c>
      <c r="S211" s="322">
        <f t="shared" si="46"/>
        <v>0.1257290322580645</v>
      </c>
      <c r="T211" s="322">
        <f t="shared" si="47"/>
        <v>73.897027520354456</v>
      </c>
      <c r="U211" s="354">
        <f t="shared" si="50"/>
        <v>141</v>
      </c>
      <c r="V211" s="354">
        <f t="shared" si="54"/>
        <v>7</v>
      </c>
      <c r="W211" s="348">
        <v>27.154838709677438</v>
      </c>
      <c r="X211" s="346">
        <v>99.762258064516189</v>
      </c>
      <c r="Y211" s="566">
        <v>34.008719999999997</v>
      </c>
    </row>
    <row r="212" spans="1:25" x14ac:dyDescent="0.15">
      <c r="A212" s="201">
        <f t="shared" si="41"/>
        <v>29</v>
      </c>
      <c r="B212" s="260">
        <f t="shared" si="48"/>
        <v>39950</v>
      </c>
      <c r="C212" s="374">
        <f t="shared" si="42"/>
        <v>216.21086156394787</v>
      </c>
      <c r="D212" s="319">
        <f t="shared" si="51"/>
        <v>73.897027520354456</v>
      </c>
      <c r="E212" s="319">
        <f>VLOOKUP(MONTH(B212),[0]!Evap,3)</f>
        <v>5.1899999999999995</v>
      </c>
      <c r="F212" s="322">
        <f t="shared" si="52"/>
        <v>4.0481999999999996</v>
      </c>
      <c r="G212" s="319">
        <f t="shared" si="43"/>
        <v>11.545974271932833</v>
      </c>
      <c r="H212" s="322">
        <f t="shared" si="44"/>
        <v>4.6740413047638485E-2</v>
      </c>
      <c r="I212" s="322">
        <f>+fill_data!B256</f>
        <v>0.11592562278506183</v>
      </c>
      <c r="J212" s="322">
        <f t="shared" si="45"/>
        <v>73.966212730091868</v>
      </c>
      <c r="K212" s="322">
        <f>+fill_data!C256</f>
        <v>4.193548387096774E-3</v>
      </c>
      <c r="L212" s="322">
        <f>+fill_data!F256</f>
        <v>0</v>
      </c>
      <c r="M212" s="322">
        <f>+fill_data!D256</f>
        <v>3.693548387096774E-2</v>
      </c>
      <c r="N212" s="322">
        <f>++fill_data!E256</f>
        <v>8.4599999999999995E-2</v>
      </c>
      <c r="O212" s="322">
        <f>VLOOKUP($A212,[0]!ความต้องการน้ำ,3)/7</f>
        <v>0</v>
      </c>
      <c r="P212" s="322">
        <f>VLOOKUP($A212,[0]!ฝนใช้การ,3)/7</f>
        <v>0</v>
      </c>
      <c r="Q212" s="322">
        <f t="shared" si="53"/>
        <v>60</v>
      </c>
      <c r="R212" s="322">
        <f t="shared" si="49"/>
        <v>0</v>
      </c>
      <c r="S212" s="322">
        <f t="shared" si="46"/>
        <v>0.1257290322580645</v>
      </c>
      <c r="T212" s="322">
        <f t="shared" si="47"/>
        <v>73.840483697833804</v>
      </c>
      <c r="U212" s="354">
        <f t="shared" si="50"/>
        <v>141</v>
      </c>
      <c r="V212" s="354">
        <f t="shared" si="54"/>
        <v>7</v>
      </c>
      <c r="W212" s="348">
        <v>27.165161290322601</v>
      </c>
      <c r="X212" s="346">
        <v>99.687741935483928</v>
      </c>
      <c r="Y212" s="566">
        <v>34.008719999999997</v>
      </c>
    </row>
    <row r="213" spans="1:25" x14ac:dyDescent="0.15">
      <c r="A213" s="201">
        <f t="shared" ref="A213:A276" si="55">+A212</f>
        <v>29</v>
      </c>
      <c r="B213" s="260">
        <f t="shared" si="48"/>
        <v>39951</v>
      </c>
      <c r="C213" s="374">
        <f t="shared" si="42"/>
        <v>216.20609199670955</v>
      </c>
      <c r="D213" s="319">
        <f t="shared" si="51"/>
        <v>73.840483697833804</v>
      </c>
      <c r="E213" s="319">
        <f>VLOOKUP(MONTH(B213),[0]!Evap,3)</f>
        <v>5.1899999999999995</v>
      </c>
      <c r="F213" s="322">
        <f t="shared" si="52"/>
        <v>4.0481999999999996</v>
      </c>
      <c r="G213" s="319">
        <f t="shared" si="43"/>
        <v>11.541751925962414</v>
      </c>
      <c r="H213" s="322">
        <f t="shared" si="44"/>
        <v>4.6723320146681034E-2</v>
      </c>
      <c r="I213" s="322">
        <f>+fill_data!B257</f>
        <v>0.11592562278506183</v>
      </c>
      <c r="J213" s="322">
        <f t="shared" si="45"/>
        <v>73.909686000472178</v>
      </c>
      <c r="K213" s="322">
        <f>+fill_data!C257</f>
        <v>4.193548387096774E-3</v>
      </c>
      <c r="L213" s="322">
        <f>+fill_data!F257</f>
        <v>0</v>
      </c>
      <c r="M213" s="322">
        <f>+fill_data!D257</f>
        <v>3.693548387096774E-2</v>
      </c>
      <c r="N213" s="322">
        <f>++fill_data!E257</f>
        <v>8.4599999999999995E-2</v>
      </c>
      <c r="O213" s="322">
        <f>VLOOKUP($A213,[0]!ความต้องการน้ำ,3)/7</f>
        <v>0</v>
      </c>
      <c r="P213" s="322">
        <f>VLOOKUP($A213,[0]!ฝนใช้การ,3)/7</f>
        <v>0</v>
      </c>
      <c r="Q213" s="322">
        <f t="shared" si="53"/>
        <v>60</v>
      </c>
      <c r="R213" s="322">
        <f t="shared" si="49"/>
        <v>0</v>
      </c>
      <c r="S213" s="322">
        <f t="shared" si="46"/>
        <v>0.1257290322580645</v>
      </c>
      <c r="T213" s="322">
        <f t="shared" si="47"/>
        <v>73.783956968214113</v>
      </c>
      <c r="U213" s="354">
        <f t="shared" si="50"/>
        <v>141</v>
      </c>
      <c r="V213" s="354">
        <f t="shared" si="54"/>
        <v>7</v>
      </c>
      <c r="W213" s="348">
        <v>27.175483870967764</v>
      </c>
      <c r="X213" s="346">
        <v>99.61322580645168</v>
      </c>
      <c r="Y213" s="566">
        <v>33.919640000000001</v>
      </c>
    </row>
    <row r="214" spans="1:25" x14ac:dyDescent="0.15">
      <c r="A214" s="201">
        <f t="shared" si="55"/>
        <v>29</v>
      </c>
      <c r="B214" s="260">
        <f t="shared" si="48"/>
        <v>39952</v>
      </c>
      <c r="C214" s="374">
        <f t="shared" si="42"/>
        <v>216.20132387128638</v>
      </c>
      <c r="D214" s="319">
        <f t="shared" si="51"/>
        <v>73.783956968214113</v>
      </c>
      <c r="E214" s="319">
        <f>VLOOKUP(MONTH(B214),[0]!Evap,3)</f>
        <v>5.1899999999999995</v>
      </c>
      <c r="F214" s="322">
        <f t="shared" si="52"/>
        <v>4.0481999999999996</v>
      </c>
      <c r="G214" s="319">
        <f t="shared" si="43"/>
        <v>11.537530856385034</v>
      </c>
      <c r="H214" s="322">
        <f t="shared" si="44"/>
        <v>4.6706232412817884E-2</v>
      </c>
      <c r="I214" s="322">
        <f>+fill_data!B258</f>
        <v>0.11592562278506183</v>
      </c>
      <c r="J214" s="322">
        <f t="shared" si="45"/>
        <v>73.853176358586353</v>
      </c>
      <c r="K214" s="322">
        <f>+fill_data!C258</f>
        <v>4.193548387096774E-3</v>
      </c>
      <c r="L214" s="322">
        <f>+fill_data!F258</f>
        <v>0</v>
      </c>
      <c r="M214" s="322">
        <f>+fill_data!D258</f>
        <v>3.693548387096774E-2</v>
      </c>
      <c r="N214" s="322">
        <f>++fill_data!E258</f>
        <v>8.4599999999999995E-2</v>
      </c>
      <c r="O214" s="322">
        <f>VLOOKUP($A214,[0]!ความต้องการน้ำ,3)/7</f>
        <v>0</v>
      </c>
      <c r="P214" s="322">
        <f>VLOOKUP($A214,[0]!ฝนใช้การ,3)/7</f>
        <v>0</v>
      </c>
      <c r="Q214" s="322">
        <f t="shared" si="53"/>
        <v>60</v>
      </c>
      <c r="R214" s="322">
        <f t="shared" si="49"/>
        <v>0</v>
      </c>
      <c r="S214" s="322">
        <f t="shared" si="46"/>
        <v>0.1257290322580645</v>
      </c>
      <c r="T214" s="322">
        <f t="shared" si="47"/>
        <v>73.727447326328289</v>
      </c>
      <c r="U214" s="354">
        <f t="shared" si="50"/>
        <v>141</v>
      </c>
      <c r="V214" s="354">
        <f t="shared" si="54"/>
        <v>7</v>
      </c>
      <c r="W214" s="348">
        <v>27.185806451612926</v>
      </c>
      <c r="X214" s="346">
        <v>99.538709677419419</v>
      </c>
      <c r="Y214" s="566">
        <v>33.919640000000001</v>
      </c>
    </row>
    <row r="215" spans="1:25" x14ac:dyDescent="0.15">
      <c r="A215" s="201">
        <f t="shared" si="55"/>
        <v>29</v>
      </c>
      <c r="B215" s="260">
        <f t="shared" si="48"/>
        <v>39953</v>
      </c>
      <c r="C215" s="374">
        <f t="shared" si="42"/>
        <v>216.19655718724252</v>
      </c>
      <c r="D215" s="319">
        <f t="shared" si="51"/>
        <v>73.727447326328289</v>
      </c>
      <c r="E215" s="319">
        <f>VLOOKUP(MONTH(B215),[0]!Evap,3)</f>
        <v>5.1899999999999995</v>
      </c>
      <c r="F215" s="322">
        <f t="shared" si="52"/>
        <v>4.0481999999999996</v>
      </c>
      <c r="G215" s="319">
        <f t="shared" si="43"/>
        <v>11.533311062814848</v>
      </c>
      <c r="H215" s="322">
        <f t="shared" si="44"/>
        <v>4.6689149844487056E-2</v>
      </c>
      <c r="I215" s="322">
        <f>+fill_data!B259</f>
        <v>0.11592562278506183</v>
      </c>
      <c r="J215" s="322">
        <f t="shared" si="45"/>
        <v>73.796683799268862</v>
      </c>
      <c r="K215" s="322">
        <f>+fill_data!C259</f>
        <v>4.193548387096774E-3</v>
      </c>
      <c r="L215" s="322">
        <f>+fill_data!F259</f>
        <v>0</v>
      </c>
      <c r="M215" s="322">
        <f>+fill_data!D259</f>
        <v>3.693548387096774E-2</v>
      </c>
      <c r="N215" s="322">
        <f>++fill_data!E259</f>
        <v>8.4599999999999995E-2</v>
      </c>
      <c r="O215" s="322">
        <f>VLOOKUP($A215,[0]!ความต้องการน้ำ,3)/7</f>
        <v>0</v>
      </c>
      <c r="P215" s="322">
        <f>VLOOKUP($A215,[0]!ฝนใช้การ,3)/7</f>
        <v>0</v>
      </c>
      <c r="Q215" s="322">
        <f t="shared" si="53"/>
        <v>60</v>
      </c>
      <c r="R215" s="322">
        <f t="shared" si="49"/>
        <v>0</v>
      </c>
      <c r="S215" s="322">
        <f t="shared" si="46"/>
        <v>0.1257290322580645</v>
      </c>
      <c r="T215" s="322">
        <f t="shared" si="47"/>
        <v>73.670954767010798</v>
      </c>
      <c r="U215" s="354">
        <f t="shared" si="50"/>
        <v>141</v>
      </c>
      <c r="V215" s="354">
        <f t="shared" si="54"/>
        <v>7</v>
      </c>
      <c r="W215" s="348">
        <v>27.196129032258089</v>
      </c>
      <c r="X215" s="346">
        <v>99.464193548387172</v>
      </c>
      <c r="Y215" s="566">
        <v>33.919640000000001</v>
      </c>
    </row>
    <row r="216" spans="1:25" x14ac:dyDescent="0.15">
      <c r="A216" s="201">
        <f t="shared" si="55"/>
        <v>29</v>
      </c>
      <c r="B216" s="260">
        <f t="shared" si="48"/>
        <v>39954</v>
      </c>
      <c r="C216" s="374">
        <f t="shared" si="42"/>
        <v>216.19179194414227</v>
      </c>
      <c r="D216" s="319">
        <f t="shared" si="51"/>
        <v>73.670954767010798</v>
      </c>
      <c r="E216" s="319">
        <f>VLOOKUP(MONTH(B216),[0]!Evap,3)</f>
        <v>5.1899999999999995</v>
      </c>
      <c r="F216" s="322">
        <f t="shared" si="52"/>
        <v>4.0481999999999996</v>
      </c>
      <c r="G216" s="319">
        <f t="shared" si="43"/>
        <v>11.529092544866122</v>
      </c>
      <c r="H216" s="322">
        <f t="shared" si="44"/>
        <v>4.6672072440127027E-2</v>
      </c>
      <c r="I216" s="322">
        <f>+fill_data!B260</f>
        <v>0.11592562278506183</v>
      </c>
      <c r="J216" s="322">
        <f t="shared" si="45"/>
        <v>73.740208317355723</v>
      </c>
      <c r="K216" s="322">
        <f>+fill_data!C260</f>
        <v>4.193548387096774E-3</v>
      </c>
      <c r="L216" s="322">
        <f>+fill_data!F260</f>
        <v>0</v>
      </c>
      <c r="M216" s="322">
        <f>+fill_data!D260</f>
        <v>3.693548387096774E-2</v>
      </c>
      <c r="N216" s="322">
        <f>++fill_data!E260</f>
        <v>8.4599999999999995E-2</v>
      </c>
      <c r="O216" s="322">
        <f>VLOOKUP($A216,[0]!ความต้องการน้ำ,3)/7</f>
        <v>0</v>
      </c>
      <c r="P216" s="322">
        <f>VLOOKUP($A216,[0]!ฝนใช้การ,3)/7</f>
        <v>0</v>
      </c>
      <c r="Q216" s="322">
        <f t="shared" si="53"/>
        <v>60</v>
      </c>
      <c r="R216" s="322">
        <f t="shared" si="49"/>
        <v>0</v>
      </c>
      <c r="S216" s="322">
        <f t="shared" si="46"/>
        <v>0.1257290322580645</v>
      </c>
      <c r="T216" s="322">
        <f t="shared" si="47"/>
        <v>73.614479285097659</v>
      </c>
      <c r="U216" s="354">
        <f t="shared" si="50"/>
        <v>141</v>
      </c>
      <c r="V216" s="354">
        <f t="shared" si="54"/>
        <v>7</v>
      </c>
      <c r="W216" s="348">
        <v>27.206451612903251</v>
      </c>
      <c r="X216" s="346">
        <v>99.389677419354911</v>
      </c>
      <c r="Y216" s="566">
        <v>33.919640000000001</v>
      </c>
    </row>
    <row r="217" spans="1:25" x14ac:dyDescent="0.15">
      <c r="A217" s="201">
        <f t="shared" si="55"/>
        <v>29</v>
      </c>
      <c r="B217" s="260">
        <f t="shared" si="48"/>
        <v>39955</v>
      </c>
      <c r="C217" s="374">
        <f t="shared" si="42"/>
        <v>216.18702814154997</v>
      </c>
      <c r="D217" s="319">
        <f t="shared" si="51"/>
        <v>73.614479285097659</v>
      </c>
      <c r="E217" s="319">
        <f>VLOOKUP(MONTH(B217),[0]!Evap,3)</f>
        <v>5.1899999999999995</v>
      </c>
      <c r="F217" s="322">
        <f t="shared" si="52"/>
        <v>4.0481999999999996</v>
      </c>
      <c r="G217" s="319">
        <f t="shared" si="43"/>
        <v>11.524875302153246</v>
      </c>
      <c r="H217" s="322">
        <f t="shared" si="44"/>
        <v>4.6655000198176762E-2</v>
      </c>
      <c r="I217" s="322">
        <f>+fill_data!B261</f>
        <v>0.11592562278506183</v>
      </c>
      <c r="J217" s="322">
        <f t="shared" si="45"/>
        <v>73.683749907684543</v>
      </c>
      <c r="K217" s="322">
        <f>+fill_data!C261</f>
        <v>4.193548387096774E-3</v>
      </c>
      <c r="L217" s="322">
        <f>+fill_data!F261</f>
        <v>0</v>
      </c>
      <c r="M217" s="322">
        <f>+fill_data!D261</f>
        <v>3.693548387096774E-2</v>
      </c>
      <c r="N217" s="322">
        <f>++fill_data!E261</f>
        <v>8.4599999999999995E-2</v>
      </c>
      <c r="O217" s="322">
        <f>VLOOKUP($A217,[0]!ความต้องการน้ำ,3)/7</f>
        <v>0</v>
      </c>
      <c r="P217" s="322">
        <f>VLOOKUP($A217,[0]!ฝนใช้การ,3)/7</f>
        <v>0</v>
      </c>
      <c r="Q217" s="322">
        <f t="shared" si="53"/>
        <v>60</v>
      </c>
      <c r="R217" s="322">
        <f t="shared" si="49"/>
        <v>0</v>
      </c>
      <c r="S217" s="322">
        <f t="shared" si="46"/>
        <v>0.1257290322580645</v>
      </c>
      <c r="T217" s="322">
        <f t="shared" si="47"/>
        <v>73.558020875426479</v>
      </c>
      <c r="U217" s="354">
        <f t="shared" si="50"/>
        <v>141</v>
      </c>
      <c r="V217" s="354">
        <f t="shared" si="54"/>
        <v>7</v>
      </c>
      <c r="W217" s="348">
        <v>27.216774193548414</v>
      </c>
      <c r="X217" s="346">
        <v>99.315161290322663</v>
      </c>
      <c r="Y217" s="566">
        <v>33.830559999999998</v>
      </c>
    </row>
    <row r="218" spans="1:25" x14ac:dyDescent="0.15">
      <c r="A218" s="201">
        <v>30</v>
      </c>
      <c r="B218" s="260">
        <f t="shared" si="48"/>
        <v>39956</v>
      </c>
      <c r="C218" s="374">
        <f t="shared" si="42"/>
        <v>216.18226577903025</v>
      </c>
      <c r="D218" s="319">
        <f t="shared" si="51"/>
        <v>73.558020875426479</v>
      </c>
      <c r="E218" s="319">
        <f>VLOOKUP(MONTH(B218),[0]!Evap,3)</f>
        <v>5.1899999999999995</v>
      </c>
      <c r="F218" s="322">
        <f t="shared" si="52"/>
        <v>4.0481999999999996</v>
      </c>
      <c r="G218" s="319">
        <f t="shared" si="43"/>
        <v>11.520659334290722</v>
      </c>
      <c r="H218" s="322">
        <f t="shared" si="44"/>
        <v>4.6637933117075689E-2</v>
      </c>
      <c r="I218" s="322">
        <f>+fill_data!B262</f>
        <v>0.11592562278506183</v>
      </c>
      <c r="J218" s="322">
        <f t="shared" si="45"/>
        <v>73.627308565094452</v>
      </c>
      <c r="K218" s="322">
        <f>+fill_data!C262</f>
        <v>4.193548387096774E-3</v>
      </c>
      <c r="L218" s="322">
        <f>+fill_data!F262</f>
        <v>0</v>
      </c>
      <c r="M218" s="322">
        <f>+fill_data!D262</f>
        <v>3.693548387096774E-2</v>
      </c>
      <c r="N218" s="322">
        <f>++fill_data!E262</f>
        <v>8.4599999999999995E-2</v>
      </c>
      <c r="O218" s="322">
        <f>VLOOKUP($A218,[0]!ความต้องการน้ำ,3)/7</f>
        <v>0</v>
      </c>
      <c r="P218" s="322">
        <f>VLOOKUP($A218,[0]!ฝนใช้การ,3)/7</f>
        <v>0</v>
      </c>
      <c r="Q218" s="322">
        <f t="shared" si="53"/>
        <v>60</v>
      </c>
      <c r="R218" s="322">
        <f t="shared" si="49"/>
        <v>0</v>
      </c>
      <c r="S218" s="322">
        <f t="shared" si="46"/>
        <v>0.1257290322580645</v>
      </c>
      <c r="T218" s="322">
        <f t="shared" si="47"/>
        <v>73.501579532836388</v>
      </c>
      <c r="U218" s="354">
        <f t="shared" si="50"/>
        <v>141</v>
      </c>
      <c r="V218" s="354">
        <f t="shared" si="54"/>
        <v>7</v>
      </c>
      <c r="W218" s="348">
        <v>27.227096774193576</v>
      </c>
      <c r="X218" s="346">
        <v>99.240645161290402</v>
      </c>
      <c r="Y218" s="566">
        <v>33.919640000000001</v>
      </c>
    </row>
    <row r="219" spans="1:25" x14ac:dyDescent="0.15">
      <c r="A219" s="201">
        <f t="shared" si="55"/>
        <v>30</v>
      </c>
      <c r="B219" s="260">
        <f t="shared" si="48"/>
        <v>39957</v>
      </c>
      <c r="C219" s="374">
        <f t="shared" si="42"/>
        <v>216.17750485614769</v>
      </c>
      <c r="D219" s="319">
        <f t="shared" si="51"/>
        <v>73.501579532836388</v>
      </c>
      <c r="E219" s="319">
        <f>VLOOKUP(MONTH(B219),[0]!Evap,3)</f>
        <v>5.1899999999999995</v>
      </c>
      <c r="F219" s="322">
        <f t="shared" si="52"/>
        <v>4.0481999999999996</v>
      </c>
      <c r="G219" s="319">
        <f t="shared" si="43"/>
        <v>11.516444640893166</v>
      </c>
      <c r="H219" s="322">
        <f t="shared" si="44"/>
        <v>4.6620871195263702E-2</v>
      </c>
      <c r="I219" s="322">
        <f>+fill_data!B263</f>
        <v>0.11592562278506183</v>
      </c>
      <c r="J219" s="322">
        <f t="shared" si="45"/>
        <v>73.570884284426185</v>
      </c>
      <c r="K219" s="322">
        <f>+fill_data!C263</f>
        <v>4.193548387096774E-3</v>
      </c>
      <c r="L219" s="322">
        <f>+fill_data!F263</f>
        <v>0</v>
      </c>
      <c r="M219" s="322">
        <f>+fill_data!D263</f>
        <v>3.693548387096774E-2</v>
      </c>
      <c r="N219" s="322">
        <f>++fill_data!E263</f>
        <v>8.4599999999999995E-2</v>
      </c>
      <c r="O219" s="322">
        <f>VLOOKUP($A219,[0]!ความต้องการน้ำ,3)/7</f>
        <v>0</v>
      </c>
      <c r="P219" s="322">
        <f>VLOOKUP($A219,[0]!ฝนใช้การ,3)/7</f>
        <v>0</v>
      </c>
      <c r="Q219" s="322">
        <f t="shared" si="53"/>
        <v>60</v>
      </c>
      <c r="R219" s="322">
        <f t="shared" si="49"/>
        <v>0</v>
      </c>
      <c r="S219" s="322">
        <f t="shared" si="46"/>
        <v>0.1257290322580645</v>
      </c>
      <c r="T219" s="322">
        <f t="shared" si="47"/>
        <v>73.445155252168121</v>
      </c>
      <c r="U219" s="354">
        <f t="shared" si="50"/>
        <v>141</v>
      </c>
      <c r="V219" s="354">
        <f t="shared" si="54"/>
        <v>7</v>
      </c>
      <c r="W219" s="348">
        <v>27.237419354838739</v>
      </c>
      <c r="X219" s="346">
        <v>99.166129032258155</v>
      </c>
      <c r="Y219" s="566">
        <v>33.919640000000001</v>
      </c>
    </row>
    <row r="220" spans="1:25" x14ac:dyDescent="0.15">
      <c r="A220" s="201">
        <f t="shared" si="55"/>
        <v>30</v>
      </c>
      <c r="B220" s="260">
        <f t="shared" si="48"/>
        <v>39958</v>
      </c>
      <c r="C220" s="374">
        <f t="shared" si="42"/>
        <v>216.17274537246718</v>
      </c>
      <c r="D220" s="319">
        <f t="shared" si="51"/>
        <v>73.445155252168121</v>
      </c>
      <c r="E220" s="319">
        <f>VLOOKUP(MONTH(B220),[0]!Evap,3)</f>
        <v>5.1899999999999995</v>
      </c>
      <c r="F220" s="322">
        <f t="shared" si="52"/>
        <v>4.0481999999999996</v>
      </c>
      <c r="G220" s="319">
        <f t="shared" si="43"/>
        <v>11.51223122157532</v>
      </c>
      <c r="H220" s="322">
        <f t="shared" si="44"/>
        <v>4.6603814431181202E-2</v>
      </c>
      <c r="I220" s="322">
        <f>+fill_data!B264</f>
        <v>0.11592562278506183</v>
      </c>
      <c r="J220" s="322">
        <f t="shared" si="45"/>
        <v>73.514477060521997</v>
      </c>
      <c r="K220" s="322">
        <f>+fill_data!C264</f>
        <v>4.193548387096774E-3</v>
      </c>
      <c r="L220" s="322">
        <f>+fill_data!F264</f>
        <v>0</v>
      </c>
      <c r="M220" s="322">
        <f>+fill_data!D264</f>
        <v>3.693548387096774E-2</v>
      </c>
      <c r="N220" s="322">
        <f>++fill_data!E264</f>
        <v>8.4599999999999995E-2</v>
      </c>
      <c r="O220" s="322">
        <f>VLOOKUP($A220,[0]!ความต้องการน้ำ,3)/7</f>
        <v>0</v>
      </c>
      <c r="P220" s="322">
        <f>VLOOKUP($A220,[0]!ฝนใช้การ,3)/7</f>
        <v>0</v>
      </c>
      <c r="Q220" s="322">
        <f t="shared" si="53"/>
        <v>60</v>
      </c>
      <c r="R220" s="322">
        <f t="shared" si="49"/>
        <v>0</v>
      </c>
      <c r="S220" s="322">
        <f t="shared" si="46"/>
        <v>0.1257290322580645</v>
      </c>
      <c r="T220" s="322">
        <f t="shared" si="47"/>
        <v>73.388748028263933</v>
      </c>
      <c r="U220" s="354">
        <f t="shared" si="50"/>
        <v>141</v>
      </c>
      <c r="V220" s="354">
        <f t="shared" si="54"/>
        <v>7</v>
      </c>
      <c r="W220" s="348">
        <v>27.247741935483901</v>
      </c>
      <c r="X220" s="346">
        <v>99.091612903225894</v>
      </c>
      <c r="Y220" s="566">
        <v>33.919640000000001</v>
      </c>
    </row>
    <row r="221" spans="1:25" x14ac:dyDescent="0.15">
      <c r="A221" s="201">
        <f t="shared" si="55"/>
        <v>30</v>
      </c>
      <c r="B221" s="260">
        <f t="shared" si="48"/>
        <v>39959</v>
      </c>
      <c r="C221" s="374">
        <f t="shared" si="42"/>
        <v>216.16798732755362</v>
      </c>
      <c r="D221" s="319">
        <f t="shared" si="51"/>
        <v>73.388748028263933</v>
      </c>
      <c r="E221" s="319">
        <f>VLOOKUP(MONTH(B221),[0]!Evap,3)</f>
        <v>5.1899999999999995</v>
      </c>
      <c r="F221" s="322">
        <f t="shared" si="52"/>
        <v>4.0481999999999996</v>
      </c>
      <c r="G221" s="319">
        <f t="shared" si="43"/>
        <v>11.508019075952031</v>
      </c>
      <c r="H221" s="322">
        <f t="shared" si="44"/>
        <v>4.6586762823269005E-2</v>
      </c>
      <c r="I221" s="322">
        <f>+fill_data!B265</f>
        <v>0.11592562278506183</v>
      </c>
      <c r="J221" s="322">
        <f t="shared" si="45"/>
        <v>73.458086888225722</v>
      </c>
      <c r="K221" s="322">
        <f>+fill_data!C265</f>
        <v>4.193548387096774E-3</v>
      </c>
      <c r="L221" s="322">
        <f>+fill_data!F265</f>
        <v>0</v>
      </c>
      <c r="M221" s="322">
        <f>+fill_data!D265</f>
        <v>3.693548387096774E-2</v>
      </c>
      <c r="N221" s="322">
        <f>++fill_data!E265</f>
        <v>8.4599999999999995E-2</v>
      </c>
      <c r="O221" s="322">
        <f>VLOOKUP($A221,[0]!ความต้องการน้ำ,3)/7</f>
        <v>0</v>
      </c>
      <c r="P221" s="322">
        <f>VLOOKUP($A221,[0]!ฝนใช้การ,3)/7</f>
        <v>0</v>
      </c>
      <c r="Q221" s="322">
        <f t="shared" si="53"/>
        <v>60</v>
      </c>
      <c r="R221" s="322">
        <f t="shared" si="49"/>
        <v>0</v>
      </c>
      <c r="S221" s="322">
        <f t="shared" si="46"/>
        <v>0.1257290322580645</v>
      </c>
      <c r="T221" s="322">
        <f t="shared" si="47"/>
        <v>73.332357855967658</v>
      </c>
      <c r="U221" s="354">
        <f t="shared" si="50"/>
        <v>141</v>
      </c>
      <c r="V221" s="354">
        <f t="shared" si="54"/>
        <v>7</v>
      </c>
      <c r="W221" s="348">
        <v>27.258064516129064</v>
      </c>
      <c r="X221" s="346">
        <v>99.017096774193647</v>
      </c>
      <c r="Y221" s="566">
        <v>33.919640000000001</v>
      </c>
    </row>
    <row r="222" spans="1:25" x14ac:dyDescent="0.15">
      <c r="A222" s="201">
        <f t="shared" si="55"/>
        <v>30</v>
      </c>
      <c r="B222" s="260">
        <f t="shared" si="48"/>
        <v>39960</v>
      </c>
      <c r="C222" s="374">
        <f t="shared" si="42"/>
        <v>216.16323072097208</v>
      </c>
      <c r="D222" s="319">
        <f t="shared" si="51"/>
        <v>73.332357855967658</v>
      </c>
      <c r="E222" s="319">
        <f>VLOOKUP(MONTH(B222),[0]!Evap,3)</f>
        <v>5.1899999999999995</v>
      </c>
      <c r="F222" s="322">
        <f t="shared" si="52"/>
        <v>4.0481999999999996</v>
      </c>
      <c r="G222" s="319">
        <f t="shared" si="43"/>
        <v>11.50380820363827</v>
      </c>
      <c r="H222" s="322">
        <f t="shared" si="44"/>
        <v>4.6569716369968435E-2</v>
      </c>
      <c r="I222" s="322">
        <f>+fill_data!B266</f>
        <v>0.11592562278506183</v>
      </c>
      <c r="J222" s="322">
        <f t="shared" si="45"/>
        <v>73.401713762382741</v>
      </c>
      <c r="K222" s="322">
        <f>+fill_data!C266</f>
        <v>4.193548387096774E-3</v>
      </c>
      <c r="L222" s="322">
        <f>+fill_data!F266</f>
        <v>0</v>
      </c>
      <c r="M222" s="322">
        <f>+fill_data!D266</f>
        <v>3.693548387096774E-2</v>
      </c>
      <c r="N222" s="322">
        <f>++fill_data!E266</f>
        <v>8.4599999999999995E-2</v>
      </c>
      <c r="O222" s="322">
        <f>VLOOKUP($A222,[0]!ความต้องการน้ำ,3)/7</f>
        <v>0</v>
      </c>
      <c r="P222" s="322">
        <f>VLOOKUP($A222,[0]!ฝนใช้การ,3)/7</f>
        <v>0</v>
      </c>
      <c r="Q222" s="322">
        <f t="shared" si="53"/>
        <v>60</v>
      </c>
      <c r="R222" s="322">
        <f t="shared" si="49"/>
        <v>0</v>
      </c>
      <c r="S222" s="322">
        <f t="shared" si="46"/>
        <v>0.1257290322580645</v>
      </c>
      <c r="T222" s="322">
        <f t="shared" si="47"/>
        <v>73.275984730124677</v>
      </c>
      <c r="U222" s="354">
        <f t="shared" si="50"/>
        <v>141</v>
      </c>
      <c r="V222" s="354">
        <f t="shared" si="54"/>
        <v>7</v>
      </c>
      <c r="W222" s="348">
        <v>27.268387096774227</v>
      </c>
      <c r="X222" s="346">
        <v>98.942580645161385</v>
      </c>
      <c r="Y222" s="566">
        <v>33.830559999999998</v>
      </c>
    </row>
    <row r="223" spans="1:25" x14ac:dyDescent="0.15">
      <c r="A223" s="201">
        <f t="shared" si="55"/>
        <v>30</v>
      </c>
      <c r="B223" s="260">
        <f t="shared" si="48"/>
        <v>39961</v>
      </c>
      <c r="C223" s="374">
        <f t="shared" si="42"/>
        <v>216.15847555228774</v>
      </c>
      <c r="D223" s="319">
        <f t="shared" si="51"/>
        <v>73.275984730124677</v>
      </c>
      <c r="E223" s="319">
        <f>VLOOKUP(MONTH(B223),[0]!Evap,3)</f>
        <v>5.1899999999999995</v>
      </c>
      <c r="F223" s="322">
        <f t="shared" si="52"/>
        <v>4.0481999999999996</v>
      </c>
      <c r="G223" s="319">
        <f t="shared" si="43"/>
        <v>11.499598604249123</v>
      </c>
      <c r="H223" s="322">
        <f t="shared" si="44"/>
        <v>4.6552675069721286E-2</v>
      </c>
      <c r="I223" s="322">
        <f>+fill_data!B267</f>
        <v>0.11592562278506183</v>
      </c>
      <c r="J223" s="322">
        <f t="shared" si="45"/>
        <v>73.345357677840013</v>
      </c>
      <c r="K223" s="322">
        <f>+fill_data!C267</f>
        <v>4.193548387096774E-3</v>
      </c>
      <c r="L223" s="322">
        <f>+fill_data!F267</f>
        <v>0</v>
      </c>
      <c r="M223" s="322">
        <f>+fill_data!D267</f>
        <v>3.693548387096774E-2</v>
      </c>
      <c r="N223" s="322">
        <f>++fill_data!E267</f>
        <v>8.4599999999999995E-2</v>
      </c>
      <c r="O223" s="322">
        <f>VLOOKUP($A223,[0]!ความต้องการน้ำ,3)/7</f>
        <v>0</v>
      </c>
      <c r="P223" s="322">
        <f>VLOOKUP($A223,[0]!ฝนใช้การ,3)/7</f>
        <v>0</v>
      </c>
      <c r="Q223" s="322">
        <f t="shared" si="53"/>
        <v>60</v>
      </c>
      <c r="R223" s="322">
        <f t="shared" si="49"/>
        <v>0</v>
      </c>
      <c r="S223" s="322">
        <f t="shared" si="46"/>
        <v>0.1257290322580645</v>
      </c>
      <c r="T223" s="322">
        <f t="shared" si="47"/>
        <v>73.219628645581949</v>
      </c>
      <c r="U223" s="354">
        <f t="shared" si="50"/>
        <v>141</v>
      </c>
      <c r="V223" s="354">
        <f t="shared" si="54"/>
        <v>7</v>
      </c>
      <c r="W223" s="348">
        <v>27.278709677419389</v>
      </c>
      <c r="X223" s="346">
        <v>98.868064516129138</v>
      </c>
      <c r="Y223" s="566">
        <v>33.830559999999998</v>
      </c>
    </row>
    <row r="224" spans="1:25" x14ac:dyDescent="0.15">
      <c r="A224" s="201">
        <f t="shared" si="55"/>
        <v>30</v>
      </c>
      <c r="B224" s="260">
        <f t="shared" si="48"/>
        <v>39962</v>
      </c>
      <c r="C224" s="374">
        <f t="shared" si="42"/>
        <v>216.15372182106597</v>
      </c>
      <c r="D224" s="319">
        <f t="shared" si="51"/>
        <v>73.219628645581949</v>
      </c>
      <c r="E224" s="319">
        <f>VLOOKUP(MONTH(B224),[0]!Evap,3)</f>
        <v>5.1899999999999995</v>
      </c>
      <c r="F224" s="322">
        <f t="shared" si="52"/>
        <v>4.0481999999999996</v>
      </c>
      <c r="G224" s="319">
        <f t="shared" si="43"/>
        <v>11.495390277399789</v>
      </c>
      <c r="H224" s="322">
        <f t="shared" si="44"/>
        <v>4.6535638920969818E-2</v>
      </c>
      <c r="I224" s="322">
        <f>+fill_data!B268</f>
        <v>0.11592562278506183</v>
      </c>
      <c r="J224" s="322">
        <f t="shared" si="45"/>
        <v>73.289018629446034</v>
      </c>
      <c r="K224" s="322">
        <f>+fill_data!C268</f>
        <v>4.193548387096774E-3</v>
      </c>
      <c r="L224" s="322">
        <f>+fill_data!F268</f>
        <v>0</v>
      </c>
      <c r="M224" s="322">
        <f>+fill_data!D268</f>
        <v>3.693548387096774E-2</v>
      </c>
      <c r="N224" s="322">
        <f>++fill_data!E268</f>
        <v>8.4599999999999995E-2</v>
      </c>
      <c r="O224" s="322">
        <f>VLOOKUP($A224,[0]!ความต้องการน้ำ,3)/7</f>
        <v>0</v>
      </c>
      <c r="P224" s="322">
        <f>VLOOKUP($A224,[0]!ฝนใช้การ,3)/7</f>
        <v>0</v>
      </c>
      <c r="Q224" s="322">
        <f t="shared" si="53"/>
        <v>60</v>
      </c>
      <c r="R224" s="322">
        <f t="shared" si="49"/>
        <v>0</v>
      </c>
      <c r="S224" s="322">
        <f t="shared" si="46"/>
        <v>0.1257290322580645</v>
      </c>
      <c r="T224" s="322">
        <f t="shared" si="47"/>
        <v>73.163289597187969</v>
      </c>
      <c r="U224" s="354">
        <f t="shared" si="50"/>
        <v>141</v>
      </c>
      <c r="V224" s="354">
        <f t="shared" si="54"/>
        <v>7</v>
      </c>
      <c r="W224" s="348">
        <v>27.289032258064552</v>
      </c>
      <c r="X224" s="346">
        <v>98.793548387096877</v>
      </c>
      <c r="Y224" s="566">
        <v>33.830559999999998</v>
      </c>
    </row>
    <row r="225" spans="1:25" x14ac:dyDescent="0.15">
      <c r="A225" s="201">
        <v>31</v>
      </c>
      <c r="B225" s="260">
        <f t="shared" si="48"/>
        <v>39963</v>
      </c>
      <c r="C225" s="374">
        <f t="shared" si="42"/>
        <v>216.14896952687221</v>
      </c>
      <c r="D225" s="319">
        <f t="shared" si="51"/>
        <v>73.163289597187969</v>
      </c>
      <c r="E225" s="319">
        <f>VLOOKUP(MONTH(B225),[0]!Evap,3)</f>
        <v>5.1899999999999995</v>
      </c>
      <c r="F225" s="322">
        <f t="shared" si="52"/>
        <v>4.0481999999999996</v>
      </c>
      <c r="G225" s="319">
        <f t="shared" si="43"/>
        <v>11.491183222705589</v>
      </c>
      <c r="H225" s="322">
        <f t="shared" si="44"/>
        <v>4.6518607922156757E-2</v>
      </c>
      <c r="I225" s="322">
        <f>+fill_data!B269</f>
        <v>0.11592562278506183</v>
      </c>
      <c r="J225" s="322">
        <f t="shared" si="45"/>
        <v>73.232696612050873</v>
      </c>
      <c r="K225" s="322">
        <f>+fill_data!C269</f>
        <v>4.193548387096774E-3</v>
      </c>
      <c r="L225" s="322">
        <f>+fill_data!F269</f>
        <v>0</v>
      </c>
      <c r="M225" s="322">
        <f>+fill_data!D269</f>
        <v>3.693548387096774E-2</v>
      </c>
      <c r="N225" s="322">
        <f>++fill_data!E269</f>
        <v>8.4599999999999995E-2</v>
      </c>
      <c r="O225" s="322">
        <f>VLOOKUP($A225,[0]!ความต้องการน้ำ,3)/7</f>
        <v>0</v>
      </c>
      <c r="P225" s="322">
        <f>VLOOKUP($A225,[0]!ฝนใช้การ,3)/7</f>
        <v>0</v>
      </c>
      <c r="Q225" s="322">
        <f t="shared" si="53"/>
        <v>60</v>
      </c>
      <c r="R225" s="322">
        <f t="shared" si="49"/>
        <v>0</v>
      </c>
      <c r="S225" s="322">
        <f t="shared" si="46"/>
        <v>0.1257290322580645</v>
      </c>
      <c r="T225" s="322">
        <f t="shared" si="47"/>
        <v>73.106967579792808</v>
      </c>
      <c r="U225" s="354">
        <f t="shared" si="50"/>
        <v>141</v>
      </c>
      <c r="V225" s="354">
        <f t="shared" si="54"/>
        <v>7</v>
      </c>
      <c r="W225" s="348">
        <v>27.299354838709714</v>
      </c>
      <c r="X225" s="346">
        <v>98.71903225806463</v>
      </c>
      <c r="Y225" s="566">
        <v>33.830559999999998</v>
      </c>
    </row>
    <row r="226" spans="1:25" x14ac:dyDescent="0.15">
      <c r="A226" s="201">
        <f t="shared" si="55"/>
        <v>31</v>
      </c>
      <c r="B226" s="260">
        <f t="shared" si="48"/>
        <v>39964</v>
      </c>
      <c r="C226" s="374">
        <f t="shared" si="42"/>
        <v>216.14421866927205</v>
      </c>
      <c r="D226" s="319">
        <f t="shared" si="51"/>
        <v>73.106967579792808</v>
      </c>
      <c r="E226" s="319">
        <f>VLOOKUP(MONTH(B226),[0]!Evap,3)</f>
        <v>5.1899999999999995</v>
      </c>
      <c r="F226" s="322">
        <f t="shared" si="52"/>
        <v>4.0481999999999996</v>
      </c>
      <c r="G226" s="319">
        <f t="shared" si="43"/>
        <v>11.486977439781954</v>
      </c>
      <c r="H226" s="322">
        <f t="shared" si="44"/>
        <v>4.6501582071725299E-2</v>
      </c>
      <c r="I226" s="322">
        <f>+fill_data!B270</f>
        <v>0.11592562278506183</v>
      </c>
      <c r="J226" s="322">
        <f t="shared" si="45"/>
        <v>73.176391620506138</v>
      </c>
      <c r="K226" s="322">
        <f>+fill_data!C270</f>
        <v>4.193548387096774E-3</v>
      </c>
      <c r="L226" s="322">
        <f>+fill_data!F270</f>
        <v>0</v>
      </c>
      <c r="M226" s="322">
        <f>+fill_data!D270</f>
        <v>3.693548387096774E-2</v>
      </c>
      <c r="N226" s="322">
        <f>++fill_data!E270</f>
        <v>8.4599999999999995E-2</v>
      </c>
      <c r="O226" s="322">
        <f>VLOOKUP($A226,[0]!ความต้องการน้ำ,3)/7</f>
        <v>0</v>
      </c>
      <c r="P226" s="322">
        <f>VLOOKUP($A226,[0]!ฝนใช้การ,3)/7</f>
        <v>0</v>
      </c>
      <c r="Q226" s="322">
        <f t="shared" si="53"/>
        <v>60</v>
      </c>
      <c r="R226" s="322">
        <f t="shared" si="49"/>
        <v>0</v>
      </c>
      <c r="S226" s="322">
        <f t="shared" si="46"/>
        <v>0.1257290322580645</v>
      </c>
      <c r="T226" s="322">
        <f t="shared" si="47"/>
        <v>73.050662588248073</v>
      </c>
      <c r="U226" s="354">
        <f t="shared" si="50"/>
        <v>141</v>
      </c>
      <c r="V226" s="354">
        <f t="shared" si="54"/>
        <v>7</v>
      </c>
      <c r="W226" s="348">
        <v>27.309677419354877</v>
      </c>
      <c r="X226" s="346">
        <v>98.644516129032368</v>
      </c>
      <c r="Y226" s="566">
        <v>33.741480000000003</v>
      </c>
    </row>
    <row r="227" spans="1:25" x14ac:dyDescent="0.15">
      <c r="A227" s="201">
        <f t="shared" si="55"/>
        <v>31</v>
      </c>
      <c r="B227" s="260">
        <f t="shared" si="48"/>
        <v>39965</v>
      </c>
      <c r="C227" s="374">
        <f t="shared" si="42"/>
        <v>216.13946924783122</v>
      </c>
      <c r="D227" s="319">
        <f t="shared" si="51"/>
        <v>73.050662588248073</v>
      </c>
      <c r="E227" s="319">
        <f>VLOOKUP(MONTH(B227),[0]!Evap,3)</f>
        <v>5.1466666666666665</v>
      </c>
      <c r="F227" s="322">
        <f t="shared" si="52"/>
        <v>4.0144000000000002</v>
      </c>
      <c r="G227" s="319">
        <f t="shared" si="43"/>
        <v>11.482772928244438</v>
      </c>
      <c r="H227" s="322">
        <f t="shared" si="44"/>
        <v>4.6096443643144476E-2</v>
      </c>
      <c r="I227" s="322">
        <f>+fill_data!B271</f>
        <v>0.12204225262006124</v>
      </c>
      <c r="J227" s="322">
        <f t="shared" si="45"/>
        <v>73.126608397224985</v>
      </c>
      <c r="K227" s="322">
        <f>+fill_data!C271</f>
        <v>4.3333333333333331E-3</v>
      </c>
      <c r="L227" s="322">
        <f>+fill_data!F271</f>
        <v>0</v>
      </c>
      <c r="M227" s="322">
        <f>+fill_data!D271</f>
        <v>3.8166666666666668E-2</v>
      </c>
      <c r="N227" s="322">
        <f>++fill_data!E271</f>
        <v>8.4599999999999995E-2</v>
      </c>
      <c r="O227" s="322">
        <f>VLOOKUP($A227,[0]!ความต้องการน้ำ,3)/7</f>
        <v>0</v>
      </c>
      <c r="P227" s="322">
        <f>VLOOKUP($A227,[0]!ฝนใช้การ,3)/7</f>
        <v>0</v>
      </c>
      <c r="Q227" s="322">
        <f t="shared" si="53"/>
        <v>60</v>
      </c>
      <c r="R227" s="322">
        <f t="shared" si="49"/>
        <v>0</v>
      </c>
      <c r="S227" s="322">
        <f t="shared" si="46"/>
        <v>0.12709999999999999</v>
      </c>
      <c r="T227" s="322">
        <f t="shared" si="47"/>
        <v>72.999508397224986</v>
      </c>
      <c r="U227" s="354">
        <f t="shared" si="50"/>
        <v>141</v>
      </c>
      <c r="V227" s="354">
        <f t="shared" si="54"/>
        <v>7</v>
      </c>
      <c r="W227" s="348">
        <v>27.32</v>
      </c>
      <c r="X227" s="346">
        <v>98.57</v>
      </c>
      <c r="Y227" s="566">
        <v>33.741480000000003</v>
      </c>
    </row>
    <row r="228" spans="1:25" x14ac:dyDescent="0.15">
      <c r="A228" s="201">
        <f t="shared" si="55"/>
        <v>31</v>
      </c>
      <c r="B228" s="260">
        <f t="shared" si="48"/>
        <v>39966</v>
      </c>
      <c r="C228" s="374">
        <f t="shared" si="42"/>
        <v>216.13515430514201</v>
      </c>
      <c r="D228" s="319">
        <f t="shared" si="51"/>
        <v>72.999508397224986</v>
      </c>
      <c r="E228" s="319">
        <f>VLOOKUP(MONTH(B228),[0]!Evap,3)</f>
        <v>5.1466666666666665</v>
      </c>
      <c r="F228" s="322">
        <f t="shared" si="52"/>
        <v>4.0144000000000002</v>
      </c>
      <c r="G228" s="319">
        <f t="shared" si="43"/>
        <v>11.478953046908019</v>
      </c>
      <c r="H228" s="322">
        <f t="shared" si="44"/>
        <v>4.6081109111507555E-2</v>
      </c>
      <c r="I228" s="322">
        <f>+fill_data!B272</f>
        <v>0.12204225262006124</v>
      </c>
      <c r="J228" s="322">
        <f t="shared" si="45"/>
        <v>73.075469540733536</v>
      </c>
      <c r="K228" s="322">
        <f>+fill_data!C272</f>
        <v>4.3333333333333331E-3</v>
      </c>
      <c r="L228" s="322">
        <f>+fill_data!F272</f>
        <v>0</v>
      </c>
      <c r="M228" s="322">
        <f>+fill_data!D272</f>
        <v>3.8166666666666668E-2</v>
      </c>
      <c r="N228" s="322">
        <f>++fill_data!E272</f>
        <v>8.4599999999999995E-2</v>
      </c>
      <c r="O228" s="322">
        <f>VLOOKUP($A228,[0]!ความต้องการน้ำ,3)/7</f>
        <v>0</v>
      </c>
      <c r="P228" s="322">
        <f>VLOOKUP($A228,[0]!ฝนใช้การ,3)/7</f>
        <v>0</v>
      </c>
      <c r="Q228" s="322">
        <f t="shared" si="53"/>
        <v>60</v>
      </c>
      <c r="R228" s="322">
        <f t="shared" si="49"/>
        <v>0</v>
      </c>
      <c r="S228" s="322">
        <f t="shared" si="46"/>
        <v>0.12709999999999999</v>
      </c>
      <c r="T228" s="322">
        <f t="shared" si="47"/>
        <v>72.948369540733538</v>
      </c>
      <c r="U228" s="354">
        <f t="shared" si="50"/>
        <v>141</v>
      </c>
      <c r="V228" s="354">
        <f t="shared" si="54"/>
        <v>7</v>
      </c>
      <c r="W228" s="348">
        <v>27.398387096774194</v>
      </c>
      <c r="X228" s="346">
        <v>98.490322580645156</v>
      </c>
      <c r="Y228" s="566">
        <v>33.741480000000003</v>
      </c>
    </row>
    <row r="229" spans="1:25" x14ac:dyDescent="0.15">
      <c r="A229" s="201">
        <f t="shared" si="55"/>
        <v>31</v>
      </c>
      <c r="B229" s="260">
        <f t="shared" si="48"/>
        <v>39967</v>
      </c>
      <c r="C229" s="374">
        <f t="shared" si="42"/>
        <v>216.13084065594651</v>
      </c>
      <c r="D229" s="319">
        <f t="shared" si="51"/>
        <v>72.948369540733538</v>
      </c>
      <c r="E229" s="319">
        <f>VLOOKUP(MONTH(B229),[0]!Evap,3)</f>
        <v>5.1466666666666665</v>
      </c>
      <c r="F229" s="322">
        <f t="shared" si="52"/>
        <v>4.0144000000000002</v>
      </c>
      <c r="G229" s="319">
        <f t="shared" si="43"/>
        <v>11.475134310660401</v>
      </c>
      <c r="H229" s="322">
        <f t="shared" si="44"/>
        <v>4.6065779176715116E-2</v>
      </c>
      <c r="I229" s="322">
        <f>+fill_data!B273</f>
        <v>0.12204225262006124</v>
      </c>
      <c r="J229" s="322">
        <f t="shared" si="45"/>
        <v>73.024346014176885</v>
      </c>
      <c r="K229" s="322">
        <f>+fill_data!C273</f>
        <v>4.3333333333333331E-3</v>
      </c>
      <c r="L229" s="322">
        <f>+fill_data!F273</f>
        <v>0</v>
      </c>
      <c r="M229" s="322">
        <f>+fill_data!D273</f>
        <v>3.8166666666666668E-2</v>
      </c>
      <c r="N229" s="322">
        <f>++fill_data!E273</f>
        <v>8.4599999999999995E-2</v>
      </c>
      <c r="O229" s="322">
        <f>VLOOKUP($A229,[0]!ความต้องการน้ำ,3)/7</f>
        <v>0</v>
      </c>
      <c r="P229" s="322">
        <f>VLOOKUP($A229,[0]!ฝนใช้การ,3)/7</f>
        <v>0</v>
      </c>
      <c r="Q229" s="322">
        <f t="shared" si="53"/>
        <v>60</v>
      </c>
      <c r="R229" s="322">
        <f t="shared" si="49"/>
        <v>0</v>
      </c>
      <c r="S229" s="322">
        <f t="shared" si="46"/>
        <v>0.12709999999999999</v>
      </c>
      <c r="T229" s="322">
        <f t="shared" si="47"/>
        <v>72.897246014176886</v>
      </c>
      <c r="U229" s="354">
        <f t="shared" si="50"/>
        <v>141</v>
      </c>
      <c r="V229" s="354">
        <f t="shared" si="54"/>
        <v>7</v>
      </c>
      <c r="W229" s="348">
        <v>27.47677419354839</v>
      </c>
      <c r="X229" s="346">
        <v>98.410645161290319</v>
      </c>
      <c r="Y229" s="566">
        <v>33.741480000000003</v>
      </c>
    </row>
    <row r="230" spans="1:25" x14ac:dyDescent="0.15">
      <c r="A230" s="201">
        <f t="shared" si="55"/>
        <v>31</v>
      </c>
      <c r="B230" s="260">
        <f t="shared" si="48"/>
        <v>39968</v>
      </c>
      <c r="C230" s="374">
        <f t="shared" si="42"/>
        <v>216.12652829985697</v>
      </c>
      <c r="D230" s="319">
        <f t="shared" si="51"/>
        <v>72.897246014176886</v>
      </c>
      <c r="E230" s="319">
        <f>VLOOKUP(MONTH(B230),[0]!Evap,3)</f>
        <v>5.1466666666666665</v>
      </c>
      <c r="F230" s="322">
        <f t="shared" si="52"/>
        <v>4.0144000000000002</v>
      </c>
      <c r="G230" s="319">
        <f t="shared" si="43"/>
        <v>11.47131671915832</v>
      </c>
      <c r="H230" s="322">
        <f t="shared" si="44"/>
        <v>4.6050453837389163E-2</v>
      </c>
      <c r="I230" s="322">
        <f>+fill_data!B274</f>
        <v>0.12204225262006124</v>
      </c>
      <c r="J230" s="322">
        <f t="shared" si="45"/>
        <v>72.973237812959553</v>
      </c>
      <c r="K230" s="322">
        <f>+fill_data!C274</f>
        <v>4.3333333333333331E-3</v>
      </c>
      <c r="L230" s="322">
        <f>+fill_data!F274</f>
        <v>0</v>
      </c>
      <c r="M230" s="322">
        <f>+fill_data!D274</f>
        <v>3.8166666666666668E-2</v>
      </c>
      <c r="N230" s="322">
        <f>++fill_data!E274</f>
        <v>8.4599999999999995E-2</v>
      </c>
      <c r="O230" s="322">
        <f>VLOOKUP($A230,[0]!ความต้องการน้ำ,3)/7</f>
        <v>0</v>
      </c>
      <c r="P230" s="322">
        <f>VLOOKUP($A230,[0]!ฝนใช้การ,3)/7</f>
        <v>0</v>
      </c>
      <c r="Q230" s="322">
        <f t="shared" si="53"/>
        <v>60</v>
      </c>
      <c r="R230" s="322">
        <f t="shared" si="49"/>
        <v>0</v>
      </c>
      <c r="S230" s="322">
        <f t="shared" si="46"/>
        <v>0.12709999999999999</v>
      </c>
      <c r="T230" s="322">
        <f t="shared" si="47"/>
        <v>72.846137812959554</v>
      </c>
      <c r="U230" s="354">
        <f t="shared" si="50"/>
        <v>141</v>
      </c>
      <c r="V230" s="354">
        <f t="shared" si="54"/>
        <v>7</v>
      </c>
      <c r="W230" s="348">
        <v>27.555161290322584</v>
      </c>
      <c r="X230" s="346">
        <v>98.330967741935481</v>
      </c>
      <c r="Y230" s="566">
        <v>33.6524</v>
      </c>
    </row>
    <row r="231" spans="1:25" x14ac:dyDescent="0.15">
      <c r="A231" s="201">
        <f t="shared" si="55"/>
        <v>31</v>
      </c>
      <c r="B231" s="260">
        <f t="shared" si="48"/>
        <v>39969</v>
      </c>
      <c r="C231" s="374">
        <f t="shared" si="42"/>
        <v>216.1222172364858</v>
      </c>
      <c r="D231" s="319">
        <f t="shared" si="51"/>
        <v>72.846137812959554</v>
      </c>
      <c r="E231" s="319">
        <f>VLOOKUP(MONTH(B231),[0]!Evap,3)</f>
        <v>5.1466666666666665</v>
      </c>
      <c r="F231" s="322">
        <f t="shared" si="52"/>
        <v>4.0144000000000002</v>
      </c>
      <c r="G231" s="319">
        <f t="shared" si="43"/>
        <v>11.467500272058611</v>
      </c>
      <c r="H231" s="322">
        <f t="shared" si="44"/>
        <v>4.6035133092152097E-2</v>
      </c>
      <c r="I231" s="322">
        <f>+fill_data!B275</f>
        <v>0.12204225262006124</v>
      </c>
      <c r="J231" s="322">
        <f t="shared" si="45"/>
        <v>72.92214493248747</v>
      </c>
      <c r="K231" s="322">
        <f>+fill_data!C275</f>
        <v>4.3333333333333331E-3</v>
      </c>
      <c r="L231" s="322">
        <f>+fill_data!F275</f>
        <v>0</v>
      </c>
      <c r="M231" s="322">
        <f>+fill_data!D275</f>
        <v>3.8166666666666668E-2</v>
      </c>
      <c r="N231" s="322">
        <f>++fill_data!E275</f>
        <v>8.4599999999999995E-2</v>
      </c>
      <c r="O231" s="322">
        <f>VLOOKUP($A231,[0]!ความต้องการน้ำ,3)/7</f>
        <v>0</v>
      </c>
      <c r="P231" s="322">
        <f>VLOOKUP($A231,[0]!ฝนใช้การ,3)/7</f>
        <v>0</v>
      </c>
      <c r="Q231" s="322">
        <f t="shared" si="53"/>
        <v>60</v>
      </c>
      <c r="R231" s="322">
        <f t="shared" si="49"/>
        <v>0</v>
      </c>
      <c r="S231" s="322">
        <f t="shared" si="46"/>
        <v>0.12709999999999999</v>
      </c>
      <c r="T231" s="322">
        <f t="shared" si="47"/>
        <v>72.795044932487471</v>
      </c>
      <c r="U231" s="354">
        <f t="shared" si="50"/>
        <v>141</v>
      </c>
      <c r="V231" s="354">
        <f t="shared" si="54"/>
        <v>7</v>
      </c>
      <c r="W231" s="348">
        <v>27.633548387096777</v>
      </c>
      <c r="X231" s="346">
        <v>98.25129032258063</v>
      </c>
      <c r="Y231" s="566">
        <v>33.6524</v>
      </c>
    </row>
    <row r="232" spans="1:25" x14ac:dyDescent="0.15">
      <c r="A232" s="201">
        <v>32</v>
      </c>
      <c r="B232" s="260">
        <f t="shared" si="48"/>
        <v>39970</v>
      </c>
      <c r="C232" s="374">
        <f t="shared" si="42"/>
        <v>216.11790746544543</v>
      </c>
      <c r="D232" s="319">
        <f t="shared" si="51"/>
        <v>72.795044932487471</v>
      </c>
      <c r="E232" s="319">
        <f>VLOOKUP(MONTH(B232),[0]!Evap,3)</f>
        <v>5.1466666666666665</v>
      </c>
      <c r="F232" s="322">
        <f t="shared" si="52"/>
        <v>4.0144000000000002</v>
      </c>
      <c r="G232" s="319">
        <f t="shared" si="43"/>
        <v>11.463684969018219</v>
      </c>
      <c r="H232" s="322">
        <f t="shared" si="44"/>
        <v>4.6019816939626743E-2</v>
      </c>
      <c r="I232" s="322">
        <f>+fill_data!B276</f>
        <v>0.12204225262006124</v>
      </c>
      <c r="J232" s="322">
        <f t="shared" si="45"/>
        <v>72.8710673681679</v>
      </c>
      <c r="K232" s="322">
        <f>+fill_data!C276</f>
        <v>4.3333333333333331E-3</v>
      </c>
      <c r="L232" s="322">
        <f>+fill_data!F276</f>
        <v>0</v>
      </c>
      <c r="M232" s="322">
        <f>+fill_data!D276</f>
        <v>3.8166666666666668E-2</v>
      </c>
      <c r="N232" s="322">
        <f>++fill_data!E276</f>
        <v>8.4599999999999995E-2</v>
      </c>
      <c r="O232" s="322">
        <f>VLOOKUP($A232,[0]!ความต้องการน้ำ,3)/7</f>
        <v>0</v>
      </c>
      <c r="P232" s="322">
        <f>VLOOKUP($A232,[0]!ฝนใช้การ,3)/7</f>
        <v>0</v>
      </c>
      <c r="Q232" s="322">
        <f t="shared" si="53"/>
        <v>60</v>
      </c>
      <c r="R232" s="322">
        <f t="shared" si="49"/>
        <v>0</v>
      </c>
      <c r="S232" s="322">
        <f t="shared" si="46"/>
        <v>0.12709999999999999</v>
      </c>
      <c r="T232" s="322">
        <f t="shared" si="47"/>
        <v>72.743967368167901</v>
      </c>
      <c r="U232" s="354">
        <f t="shared" si="50"/>
        <v>141</v>
      </c>
      <c r="V232" s="354">
        <f t="shared" si="54"/>
        <v>7</v>
      </c>
      <c r="W232" s="348">
        <v>27.71193548387097</v>
      </c>
      <c r="X232" s="346">
        <v>98.171612903225792</v>
      </c>
      <c r="Y232" s="566">
        <v>33.6524</v>
      </c>
    </row>
    <row r="233" spans="1:25" x14ac:dyDescent="0.15">
      <c r="A233" s="201">
        <f t="shared" si="55"/>
        <v>32</v>
      </c>
      <c r="B233" s="260">
        <f t="shared" si="48"/>
        <v>39971</v>
      </c>
      <c r="C233" s="374">
        <f t="shared" si="42"/>
        <v>216.11359898634848</v>
      </c>
      <c r="D233" s="319">
        <f t="shared" si="51"/>
        <v>72.743967368167901</v>
      </c>
      <c r="E233" s="319">
        <f>VLOOKUP(MONTH(B233),[0]!Evap,3)</f>
        <v>5.1466666666666665</v>
      </c>
      <c r="F233" s="322">
        <f t="shared" si="52"/>
        <v>4.0144000000000002</v>
      </c>
      <c r="G233" s="319">
        <f t="shared" si="43"/>
        <v>11.459870809694188</v>
      </c>
      <c r="H233" s="322">
        <f t="shared" si="44"/>
        <v>4.6004505378436353E-2</v>
      </c>
      <c r="I233" s="322">
        <f>+fill_data!B277</f>
        <v>0.12204225262006124</v>
      </c>
      <c r="J233" s="322">
        <f t="shared" si="45"/>
        <v>72.820005115409529</v>
      </c>
      <c r="K233" s="322">
        <f>+fill_data!C277</f>
        <v>4.3333333333333331E-3</v>
      </c>
      <c r="L233" s="322">
        <f>+fill_data!F277</f>
        <v>0</v>
      </c>
      <c r="M233" s="322">
        <f>+fill_data!D277</f>
        <v>3.8166666666666668E-2</v>
      </c>
      <c r="N233" s="322">
        <f>++fill_data!E277</f>
        <v>8.4599999999999995E-2</v>
      </c>
      <c r="O233" s="322">
        <f>VLOOKUP($A233,[0]!ความต้องการน้ำ,3)/7</f>
        <v>0</v>
      </c>
      <c r="P233" s="322">
        <f>VLOOKUP($A233,[0]!ฝนใช้การ,3)/7</f>
        <v>0</v>
      </c>
      <c r="Q233" s="322">
        <f t="shared" si="53"/>
        <v>60</v>
      </c>
      <c r="R233" s="322">
        <f t="shared" si="49"/>
        <v>0</v>
      </c>
      <c r="S233" s="322">
        <f t="shared" si="46"/>
        <v>0.12709999999999999</v>
      </c>
      <c r="T233" s="322">
        <f t="shared" si="47"/>
        <v>72.69290511540953</v>
      </c>
      <c r="U233" s="354">
        <f t="shared" si="50"/>
        <v>141</v>
      </c>
      <c r="V233" s="354">
        <f t="shared" si="54"/>
        <v>7</v>
      </c>
      <c r="W233" s="348">
        <v>27.790322580645167</v>
      </c>
      <c r="X233" s="346">
        <v>98.091935483870955</v>
      </c>
      <c r="Y233" s="566">
        <v>33.563319999999997</v>
      </c>
    </row>
    <row r="234" spans="1:25" x14ac:dyDescent="0.15">
      <c r="A234" s="201">
        <f t="shared" si="55"/>
        <v>32</v>
      </c>
      <c r="B234" s="260">
        <f t="shared" si="48"/>
        <v>39972</v>
      </c>
      <c r="C234" s="374">
        <f t="shared" si="42"/>
        <v>216.10929179880765</v>
      </c>
      <c r="D234" s="319">
        <f t="shared" si="51"/>
        <v>72.69290511540953</v>
      </c>
      <c r="E234" s="319">
        <f>VLOOKUP(MONTH(B234),[0]!Evap,3)</f>
        <v>5.1466666666666665</v>
      </c>
      <c r="F234" s="322">
        <f t="shared" si="52"/>
        <v>4.0144000000000002</v>
      </c>
      <c r="G234" s="319">
        <f t="shared" si="43"/>
        <v>11.456057793743664</v>
      </c>
      <c r="H234" s="322">
        <f t="shared" si="44"/>
        <v>4.5989198407204571E-2</v>
      </c>
      <c r="I234" s="322">
        <f>+fill_data!B278</f>
        <v>0.12204225262006124</v>
      </c>
      <c r="J234" s="322">
        <f t="shared" si="45"/>
        <v>72.768958169622394</v>
      </c>
      <c r="K234" s="322">
        <f>+fill_data!C278</f>
        <v>4.3333333333333331E-3</v>
      </c>
      <c r="L234" s="322">
        <f>+fill_data!F278</f>
        <v>0</v>
      </c>
      <c r="M234" s="322">
        <f>+fill_data!D278</f>
        <v>3.8166666666666668E-2</v>
      </c>
      <c r="N234" s="322">
        <f>++fill_data!E278</f>
        <v>8.4599999999999995E-2</v>
      </c>
      <c r="O234" s="322">
        <f>VLOOKUP($A234,[0]!ความต้องการน้ำ,3)/7</f>
        <v>0</v>
      </c>
      <c r="P234" s="322">
        <f>VLOOKUP($A234,[0]!ฝนใช้การ,3)/7</f>
        <v>0</v>
      </c>
      <c r="Q234" s="322">
        <f t="shared" si="53"/>
        <v>60</v>
      </c>
      <c r="R234" s="322">
        <f t="shared" si="49"/>
        <v>0</v>
      </c>
      <c r="S234" s="322">
        <f t="shared" si="46"/>
        <v>0.12709999999999999</v>
      </c>
      <c r="T234" s="322">
        <f t="shared" si="47"/>
        <v>72.641858169622395</v>
      </c>
      <c r="U234" s="354">
        <f t="shared" si="50"/>
        <v>141</v>
      </c>
      <c r="V234" s="354">
        <f t="shared" si="54"/>
        <v>7</v>
      </c>
      <c r="W234" s="348">
        <v>27.868709677419361</v>
      </c>
      <c r="X234" s="346">
        <v>98.012258064516118</v>
      </c>
      <c r="Y234" s="566">
        <v>33.563000000000002</v>
      </c>
    </row>
    <row r="235" spans="1:25" x14ac:dyDescent="0.15">
      <c r="A235" s="201">
        <f t="shared" si="55"/>
        <v>32</v>
      </c>
      <c r="B235" s="260">
        <f t="shared" si="48"/>
        <v>39973</v>
      </c>
      <c r="C235" s="374">
        <f t="shared" si="42"/>
        <v>216.1049859024358</v>
      </c>
      <c r="D235" s="319">
        <f t="shared" si="51"/>
        <v>72.641858169622395</v>
      </c>
      <c r="E235" s="319">
        <f>VLOOKUP(MONTH(B235),[0]!Evap,3)</f>
        <v>5.1466666666666665</v>
      </c>
      <c r="F235" s="322">
        <f t="shared" si="52"/>
        <v>4.0144000000000002</v>
      </c>
      <c r="G235" s="319">
        <f t="shared" si="43"/>
        <v>11.452245920823898</v>
      </c>
      <c r="H235" s="322">
        <f t="shared" si="44"/>
        <v>4.5973896024555462E-2</v>
      </c>
      <c r="I235" s="322">
        <f>+fill_data!B279</f>
        <v>0.12204225262006124</v>
      </c>
      <c r="J235" s="322">
        <f t="shared" si="45"/>
        <v>72.717926526217909</v>
      </c>
      <c r="K235" s="322">
        <f>+fill_data!C279</f>
        <v>4.3333333333333331E-3</v>
      </c>
      <c r="L235" s="322">
        <f>+fill_data!F279</f>
        <v>0</v>
      </c>
      <c r="M235" s="322">
        <f>+fill_data!D279</f>
        <v>3.8166666666666668E-2</v>
      </c>
      <c r="N235" s="322">
        <f>++fill_data!E279</f>
        <v>8.4599999999999995E-2</v>
      </c>
      <c r="O235" s="322">
        <f>VLOOKUP($A235,[0]!ความต้องการน้ำ,3)/7</f>
        <v>0</v>
      </c>
      <c r="P235" s="322">
        <f>VLOOKUP($A235,[0]!ฝนใช้การ,3)/7</f>
        <v>0</v>
      </c>
      <c r="Q235" s="322">
        <f t="shared" si="53"/>
        <v>60</v>
      </c>
      <c r="R235" s="322">
        <f t="shared" si="49"/>
        <v>0</v>
      </c>
      <c r="S235" s="322">
        <f t="shared" si="46"/>
        <v>0.12709999999999999</v>
      </c>
      <c r="T235" s="322">
        <f t="shared" si="47"/>
        <v>72.59082652621791</v>
      </c>
      <c r="U235" s="354">
        <f t="shared" si="50"/>
        <v>141</v>
      </c>
      <c r="V235" s="354">
        <f t="shared" si="54"/>
        <v>7</v>
      </c>
      <c r="W235" s="348">
        <v>27.947096774193554</v>
      </c>
      <c r="X235" s="346">
        <v>97.932580645161266</v>
      </c>
      <c r="Y235" s="566">
        <v>33.563000000000002</v>
      </c>
    </row>
    <row r="236" spans="1:25" x14ac:dyDescent="0.15">
      <c r="A236" s="201">
        <f t="shared" si="55"/>
        <v>32</v>
      </c>
      <c r="B236" s="260">
        <f t="shared" si="48"/>
        <v>39974</v>
      </c>
      <c r="C236" s="374">
        <f t="shared" si="42"/>
        <v>216.10068129684583</v>
      </c>
      <c r="D236" s="319">
        <f t="shared" si="51"/>
        <v>72.59082652621791</v>
      </c>
      <c r="E236" s="319">
        <f>VLOOKUP(MONTH(B236),[0]!Evap,3)</f>
        <v>5.1466666666666665</v>
      </c>
      <c r="F236" s="322">
        <f t="shared" si="52"/>
        <v>4.0144000000000002</v>
      </c>
      <c r="G236" s="319">
        <f t="shared" si="43"/>
        <v>11.448435190592244</v>
      </c>
      <c r="H236" s="322">
        <f t="shared" si="44"/>
        <v>4.5958598229113509E-2</v>
      </c>
      <c r="I236" s="322">
        <f>+fill_data!B280</f>
        <v>0.12204225262006124</v>
      </c>
      <c r="J236" s="322">
        <f t="shared" si="45"/>
        <v>72.666910180608852</v>
      </c>
      <c r="K236" s="322">
        <f>+fill_data!C280</f>
        <v>4.3333333333333331E-3</v>
      </c>
      <c r="L236" s="322">
        <f>+fill_data!F280</f>
        <v>0</v>
      </c>
      <c r="M236" s="322">
        <f>+fill_data!D280</f>
        <v>3.8166666666666668E-2</v>
      </c>
      <c r="N236" s="322">
        <f>++fill_data!E280</f>
        <v>8.4599999999999995E-2</v>
      </c>
      <c r="O236" s="322">
        <f>VLOOKUP($A236,[0]!ความต้องการน้ำ,3)/7</f>
        <v>0</v>
      </c>
      <c r="P236" s="322">
        <f>VLOOKUP($A236,[0]!ฝนใช้การ,3)/7</f>
        <v>0</v>
      </c>
      <c r="Q236" s="322">
        <f t="shared" si="53"/>
        <v>60</v>
      </c>
      <c r="R236" s="322">
        <f t="shared" si="49"/>
        <v>0</v>
      </c>
      <c r="S236" s="322">
        <f t="shared" si="46"/>
        <v>0.12709999999999999</v>
      </c>
      <c r="T236" s="322">
        <f t="shared" si="47"/>
        <v>72.539810180608853</v>
      </c>
      <c r="U236" s="354">
        <f t="shared" si="50"/>
        <v>141</v>
      </c>
      <c r="V236" s="354">
        <f t="shared" si="54"/>
        <v>7</v>
      </c>
      <c r="W236" s="348">
        <v>28.025483870967751</v>
      </c>
      <c r="X236" s="346">
        <v>97.852903225806429</v>
      </c>
      <c r="Y236" s="566">
        <v>33.563000000000002</v>
      </c>
    </row>
    <row r="237" spans="1:25" x14ac:dyDescent="0.15">
      <c r="A237" s="201">
        <f t="shared" si="55"/>
        <v>32</v>
      </c>
      <c r="B237" s="260">
        <f t="shared" si="48"/>
        <v>39975</v>
      </c>
      <c r="C237" s="374">
        <f t="shared" si="42"/>
        <v>216.09637798165087</v>
      </c>
      <c r="D237" s="319">
        <f t="shared" si="51"/>
        <v>72.539810180608853</v>
      </c>
      <c r="E237" s="319">
        <f>VLOOKUP(MONTH(B237),[0]!Evap,3)</f>
        <v>5.1466666666666665</v>
      </c>
      <c r="F237" s="322">
        <f t="shared" si="52"/>
        <v>4.0144000000000002</v>
      </c>
      <c r="G237" s="319">
        <f t="shared" si="43"/>
        <v>11.444625602706154</v>
      </c>
      <c r="H237" s="322">
        <f t="shared" si="44"/>
        <v>4.594330501950359E-2</v>
      </c>
      <c r="I237" s="322">
        <f>+fill_data!B281</f>
        <v>0.12204225262006124</v>
      </c>
      <c r="J237" s="322">
        <f t="shared" si="45"/>
        <v>72.61590912820941</v>
      </c>
      <c r="K237" s="322">
        <f>+fill_data!C281</f>
        <v>4.3333333333333331E-3</v>
      </c>
      <c r="L237" s="322">
        <f>+fill_data!F281</f>
        <v>0</v>
      </c>
      <c r="M237" s="322">
        <f>+fill_data!D281</f>
        <v>3.8166666666666668E-2</v>
      </c>
      <c r="N237" s="322">
        <f>++fill_data!E281</f>
        <v>8.4599999999999995E-2</v>
      </c>
      <c r="O237" s="322">
        <f>VLOOKUP($A237,[0]!ความต้องการน้ำ,3)/7</f>
        <v>0</v>
      </c>
      <c r="P237" s="322">
        <f>VLOOKUP($A237,[0]!ฝนใช้การ,3)/7</f>
        <v>0</v>
      </c>
      <c r="Q237" s="322">
        <f t="shared" si="53"/>
        <v>60</v>
      </c>
      <c r="R237" s="322">
        <f t="shared" si="49"/>
        <v>0</v>
      </c>
      <c r="S237" s="322">
        <f t="shared" si="46"/>
        <v>0.12709999999999999</v>
      </c>
      <c r="T237" s="322">
        <f t="shared" si="47"/>
        <v>72.488809128209411</v>
      </c>
      <c r="U237" s="354">
        <f t="shared" si="50"/>
        <v>141</v>
      </c>
      <c r="V237" s="354">
        <f t="shared" si="54"/>
        <v>7</v>
      </c>
      <c r="W237" s="348">
        <v>28.103870967741944</v>
      </c>
      <c r="X237" s="346">
        <v>97.773225806451592</v>
      </c>
      <c r="Y237" s="566">
        <v>33.473999999999997</v>
      </c>
    </row>
    <row r="238" spans="1:25" x14ac:dyDescent="0.15">
      <c r="A238" s="201">
        <f t="shared" si="55"/>
        <v>32</v>
      </c>
      <c r="B238" s="260">
        <f t="shared" si="48"/>
        <v>39976</v>
      </c>
      <c r="C238" s="374">
        <f t="shared" si="42"/>
        <v>216.09207595646402</v>
      </c>
      <c r="D238" s="319">
        <f t="shared" si="51"/>
        <v>72.488809128209411</v>
      </c>
      <c r="E238" s="319">
        <f>VLOOKUP(MONTH(B238),[0]!Evap,3)</f>
        <v>5.1466666666666665</v>
      </c>
      <c r="F238" s="322">
        <f t="shared" si="52"/>
        <v>4.0144000000000002</v>
      </c>
      <c r="G238" s="319">
        <f t="shared" si="43"/>
        <v>11.440817156823188</v>
      </c>
      <c r="H238" s="322">
        <f t="shared" si="44"/>
        <v>4.5928016394351012E-2</v>
      </c>
      <c r="I238" s="322">
        <f>+fill_data!B282</f>
        <v>0.12204225262006124</v>
      </c>
      <c r="J238" s="322">
        <f t="shared" si="45"/>
        <v>72.564923364435117</v>
      </c>
      <c r="K238" s="322">
        <f>+fill_data!C282</f>
        <v>4.3333333333333331E-3</v>
      </c>
      <c r="L238" s="322">
        <f>+fill_data!F282</f>
        <v>0</v>
      </c>
      <c r="M238" s="322">
        <f>+fill_data!D282</f>
        <v>3.8166666666666668E-2</v>
      </c>
      <c r="N238" s="322">
        <f>++fill_data!E282</f>
        <v>8.4599999999999995E-2</v>
      </c>
      <c r="O238" s="322">
        <f>VLOOKUP($A238,[0]!ความต้องการน้ำ,3)/7</f>
        <v>0</v>
      </c>
      <c r="P238" s="322">
        <f>VLOOKUP($A238,[0]!ฝนใช้การ,3)/7</f>
        <v>0</v>
      </c>
      <c r="Q238" s="322">
        <f t="shared" si="53"/>
        <v>60</v>
      </c>
      <c r="R238" s="322">
        <f t="shared" si="49"/>
        <v>0</v>
      </c>
      <c r="S238" s="322">
        <f t="shared" si="46"/>
        <v>0.12709999999999999</v>
      </c>
      <c r="T238" s="322">
        <f t="shared" si="47"/>
        <v>72.437823364435118</v>
      </c>
      <c r="U238" s="354">
        <f t="shared" si="50"/>
        <v>141</v>
      </c>
      <c r="V238" s="354">
        <f t="shared" si="54"/>
        <v>7</v>
      </c>
      <c r="W238" s="348">
        <v>28.182258064516137</v>
      </c>
      <c r="X238" s="346">
        <v>97.693548387096754</v>
      </c>
      <c r="Y238" s="566">
        <v>33.473999999999997</v>
      </c>
    </row>
    <row r="239" spans="1:25" x14ac:dyDescent="0.15">
      <c r="A239" s="201">
        <v>33</v>
      </c>
      <c r="B239" s="260">
        <f t="shared" si="48"/>
        <v>39977</v>
      </c>
      <c r="C239" s="374">
        <f t="shared" si="42"/>
        <v>216.08777522089861</v>
      </c>
      <c r="D239" s="319">
        <f t="shared" si="51"/>
        <v>72.437823364435118</v>
      </c>
      <c r="E239" s="319">
        <f>VLOOKUP(MONTH(B239),[0]!Evap,3)</f>
        <v>5.1466666666666665</v>
      </c>
      <c r="F239" s="322">
        <f t="shared" si="52"/>
        <v>4.0144000000000002</v>
      </c>
      <c r="G239" s="319">
        <f t="shared" si="43"/>
        <v>11.437009852601008</v>
      </c>
      <c r="H239" s="322">
        <f t="shared" si="44"/>
        <v>4.5912732352281493E-2</v>
      </c>
      <c r="I239" s="322">
        <f>+fill_data!B283</f>
        <v>0.12204225262006124</v>
      </c>
      <c r="J239" s="322">
        <f t="shared" si="45"/>
        <v>72.513952884702903</v>
      </c>
      <c r="K239" s="322">
        <f>+fill_data!C283</f>
        <v>4.3333333333333331E-3</v>
      </c>
      <c r="L239" s="322">
        <f>+fill_data!F283</f>
        <v>0</v>
      </c>
      <c r="M239" s="322">
        <f>+fill_data!D283</f>
        <v>3.8166666666666668E-2</v>
      </c>
      <c r="N239" s="322">
        <f>++fill_data!E283</f>
        <v>8.4599999999999995E-2</v>
      </c>
      <c r="O239" s="322">
        <f>VLOOKUP($A239,[0]!ความต้องการน้ำ,3)/7</f>
        <v>0</v>
      </c>
      <c r="P239" s="322">
        <f>VLOOKUP($A239,[0]!ฝนใช้การ,3)/7</f>
        <v>0</v>
      </c>
      <c r="Q239" s="322">
        <f t="shared" si="53"/>
        <v>60</v>
      </c>
      <c r="R239" s="322">
        <f t="shared" si="49"/>
        <v>0</v>
      </c>
      <c r="S239" s="322">
        <f t="shared" si="46"/>
        <v>0.12709999999999999</v>
      </c>
      <c r="T239" s="322">
        <f t="shared" si="47"/>
        <v>72.386852884702904</v>
      </c>
      <c r="U239" s="354">
        <f t="shared" si="50"/>
        <v>141</v>
      </c>
      <c r="V239" s="354">
        <f t="shared" si="54"/>
        <v>7</v>
      </c>
      <c r="W239" s="348">
        <v>28.260645161290334</v>
      </c>
      <c r="X239" s="346">
        <v>97.613870967741903</v>
      </c>
      <c r="Y239" s="566">
        <v>33.473999999999997</v>
      </c>
    </row>
    <row r="240" spans="1:25" x14ac:dyDescent="0.15">
      <c r="A240" s="201">
        <f t="shared" si="55"/>
        <v>33</v>
      </c>
      <c r="B240" s="260">
        <f t="shared" si="48"/>
        <v>39978</v>
      </c>
      <c r="C240" s="374">
        <f t="shared" si="42"/>
        <v>216.08347577456806</v>
      </c>
      <c r="D240" s="319">
        <f t="shared" si="51"/>
        <v>72.386852884702904</v>
      </c>
      <c r="E240" s="319">
        <f>VLOOKUP(MONTH(B240),[0]!Evap,3)</f>
        <v>5.1466666666666665</v>
      </c>
      <c r="F240" s="322">
        <f t="shared" si="52"/>
        <v>4.0144000000000002</v>
      </c>
      <c r="G240" s="319">
        <f t="shared" si="43"/>
        <v>11.433203689697375</v>
      </c>
      <c r="H240" s="322">
        <f t="shared" si="44"/>
        <v>4.5897452891921146E-2</v>
      </c>
      <c r="I240" s="322">
        <f>+fill_data!B284</f>
        <v>0.12204225262006124</v>
      </c>
      <c r="J240" s="322">
        <f t="shared" si="45"/>
        <v>72.462997684431045</v>
      </c>
      <c r="K240" s="322">
        <f>+fill_data!C284</f>
        <v>4.3333333333333331E-3</v>
      </c>
      <c r="L240" s="322">
        <f>+fill_data!F284</f>
        <v>0</v>
      </c>
      <c r="M240" s="322">
        <f>+fill_data!D284</f>
        <v>3.8166666666666668E-2</v>
      </c>
      <c r="N240" s="322">
        <f>++fill_data!E284</f>
        <v>8.4599999999999995E-2</v>
      </c>
      <c r="O240" s="322">
        <f>VLOOKUP($A240,[0]!ความต้องการน้ำ,3)/7</f>
        <v>0</v>
      </c>
      <c r="P240" s="322">
        <f>VLOOKUP($A240,[0]!ฝนใช้การ,3)/7</f>
        <v>0</v>
      </c>
      <c r="Q240" s="322">
        <f t="shared" si="53"/>
        <v>60</v>
      </c>
      <c r="R240" s="322">
        <f t="shared" si="49"/>
        <v>0</v>
      </c>
      <c r="S240" s="322">
        <f t="shared" si="46"/>
        <v>0.12709999999999999</v>
      </c>
      <c r="T240" s="322">
        <f t="shared" si="47"/>
        <v>72.335897684431046</v>
      </c>
      <c r="U240" s="354">
        <f t="shared" si="50"/>
        <v>141</v>
      </c>
      <c r="V240" s="354">
        <f t="shared" si="54"/>
        <v>7</v>
      </c>
      <c r="W240" s="348">
        <v>28.339032258064528</v>
      </c>
      <c r="X240" s="346">
        <v>97.534193548387066</v>
      </c>
      <c r="Y240" s="566">
        <v>33.384999999999998</v>
      </c>
    </row>
    <row r="241" spans="1:25" x14ac:dyDescent="0.15">
      <c r="A241" s="201">
        <f t="shared" si="55"/>
        <v>33</v>
      </c>
      <c r="B241" s="260">
        <f t="shared" si="48"/>
        <v>39979</v>
      </c>
      <c r="C241" s="374">
        <f t="shared" si="42"/>
        <v>216.07917761708586</v>
      </c>
      <c r="D241" s="319">
        <f t="shared" si="51"/>
        <v>72.335897684431046</v>
      </c>
      <c r="E241" s="319">
        <f>VLOOKUP(MONTH(B241),[0]!Evap,3)</f>
        <v>5.1466666666666665</v>
      </c>
      <c r="F241" s="322">
        <f t="shared" si="52"/>
        <v>4.0144000000000002</v>
      </c>
      <c r="G241" s="319">
        <f t="shared" si="43"/>
        <v>11.429398667770158</v>
      </c>
      <c r="H241" s="322">
        <f t="shared" si="44"/>
        <v>4.5882178011896528E-2</v>
      </c>
      <c r="I241" s="322">
        <f>+fill_data!B285</f>
        <v>0.12204225262006124</v>
      </c>
      <c r="J241" s="322">
        <f t="shared" si="45"/>
        <v>72.412057759039214</v>
      </c>
      <c r="K241" s="322">
        <f>+fill_data!C285</f>
        <v>4.3333333333333331E-3</v>
      </c>
      <c r="L241" s="322">
        <f>+fill_data!F285</f>
        <v>0</v>
      </c>
      <c r="M241" s="322">
        <f>+fill_data!D285</f>
        <v>3.8166666666666668E-2</v>
      </c>
      <c r="N241" s="322">
        <f>++fill_data!E285</f>
        <v>8.4599999999999995E-2</v>
      </c>
      <c r="O241" s="322">
        <f>VLOOKUP($A241,[0]!ความต้องการน้ำ,3)/7</f>
        <v>0</v>
      </c>
      <c r="P241" s="322">
        <f>VLOOKUP($A241,[0]!ฝนใช้การ,3)/7</f>
        <v>0</v>
      </c>
      <c r="Q241" s="322">
        <f t="shared" si="53"/>
        <v>60</v>
      </c>
      <c r="R241" s="322">
        <f t="shared" si="49"/>
        <v>0</v>
      </c>
      <c r="S241" s="322">
        <f t="shared" si="46"/>
        <v>0.12709999999999999</v>
      </c>
      <c r="T241" s="322">
        <f t="shared" si="47"/>
        <v>72.284957759039216</v>
      </c>
      <c r="U241" s="354">
        <f t="shared" si="50"/>
        <v>141</v>
      </c>
      <c r="V241" s="354">
        <f t="shared" si="54"/>
        <v>7</v>
      </c>
      <c r="W241" s="348">
        <v>28.417419354838721</v>
      </c>
      <c r="X241" s="346">
        <v>97.454516129032228</v>
      </c>
      <c r="Y241" s="566">
        <v>33.384999999999998</v>
      </c>
    </row>
    <row r="242" spans="1:25" x14ac:dyDescent="0.15">
      <c r="A242" s="201">
        <f t="shared" si="55"/>
        <v>33</v>
      </c>
      <c r="B242" s="260">
        <f t="shared" si="48"/>
        <v>39980</v>
      </c>
      <c r="C242" s="374">
        <f t="shared" si="42"/>
        <v>216.07488074806568</v>
      </c>
      <c r="D242" s="319">
        <f t="shared" si="51"/>
        <v>72.284957759039216</v>
      </c>
      <c r="E242" s="319">
        <f>VLOOKUP(MONTH(B242),[0]!Evap,3)</f>
        <v>5.1466666666666665</v>
      </c>
      <c r="F242" s="322">
        <f t="shared" si="52"/>
        <v>4.0144000000000002</v>
      </c>
      <c r="G242" s="319">
        <f t="shared" si="43"/>
        <v>11.425594786477324</v>
      </c>
      <c r="H242" s="322">
        <f t="shared" si="44"/>
        <v>4.5866907710834577E-2</v>
      </c>
      <c r="I242" s="322">
        <f>+fill_data!B286</f>
        <v>0.12204225262006124</v>
      </c>
      <c r="J242" s="322">
        <f t="shared" si="45"/>
        <v>72.361133103948447</v>
      </c>
      <c r="K242" s="322">
        <f>+fill_data!C286</f>
        <v>4.3333333333333331E-3</v>
      </c>
      <c r="L242" s="322">
        <f>+fill_data!F286</f>
        <v>0</v>
      </c>
      <c r="M242" s="322">
        <f>+fill_data!D286</f>
        <v>3.8166666666666668E-2</v>
      </c>
      <c r="N242" s="322">
        <f>++fill_data!E286</f>
        <v>8.4599999999999995E-2</v>
      </c>
      <c r="O242" s="322">
        <f>VLOOKUP($A242,[0]!ความต้องการน้ำ,3)/7</f>
        <v>0</v>
      </c>
      <c r="P242" s="322">
        <f>VLOOKUP($A242,[0]!ฝนใช้การ,3)/7</f>
        <v>0</v>
      </c>
      <c r="Q242" s="322">
        <f t="shared" si="53"/>
        <v>60</v>
      </c>
      <c r="R242" s="322">
        <f t="shared" si="49"/>
        <v>0</v>
      </c>
      <c r="S242" s="322">
        <f t="shared" si="46"/>
        <v>0.12709999999999999</v>
      </c>
      <c r="T242" s="322">
        <f t="shared" si="47"/>
        <v>72.234033103948448</v>
      </c>
      <c r="U242" s="354">
        <f t="shared" si="50"/>
        <v>141</v>
      </c>
      <c r="V242" s="354">
        <f t="shared" si="54"/>
        <v>7</v>
      </c>
      <c r="W242" s="348">
        <v>28.495806451612914</v>
      </c>
      <c r="X242" s="346">
        <v>97.374838709677377</v>
      </c>
      <c r="Y242" s="566">
        <v>33.295999999999999</v>
      </c>
    </row>
    <row r="243" spans="1:25" x14ac:dyDescent="0.15">
      <c r="A243" s="201">
        <f t="shared" si="55"/>
        <v>33</v>
      </c>
      <c r="B243" s="260">
        <f t="shared" si="48"/>
        <v>39981</v>
      </c>
      <c r="C243" s="374">
        <f t="shared" si="42"/>
        <v>216.07058516712129</v>
      </c>
      <c r="D243" s="319">
        <f t="shared" si="51"/>
        <v>72.234033103948448</v>
      </c>
      <c r="E243" s="319">
        <f>VLOOKUP(MONTH(B243),[0]!Evap,3)</f>
        <v>5.1466666666666665</v>
      </c>
      <c r="F243" s="322">
        <f t="shared" si="52"/>
        <v>4.0144000000000002</v>
      </c>
      <c r="G243" s="319">
        <f t="shared" si="43"/>
        <v>11.421792045476945</v>
      </c>
      <c r="H243" s="322">
        <f t="shared" si="44"/>
        <v>4.5851641987362655E-2</v>
      </c>
      <c r="I243" s="322">
        <f>+fill_data!B287</f>
        <v>0.12204225262006124</v>
      </c>
      <c r="J243" s="322">
        <f t="shared" si="45"/>
        <v>72.310223714581142</v>
      </c>
      <c r="K243" s="322">
        <f>+fill_data!C287</f>
        <v>4.3333333333333331E-3</v>
      </c>
      <c r="L243" s="322">
        <f>+fill_data!F287</f>
        <v>0</v>
      </c>
      <c r="M243" s="322">
        <f>+fill_data!D287</f>
        <v>3.8166666666666668E-2</v>
      </c>
      <c r="N243" s="322">
        <f>++fill_data!E287</f>
        <v>8.4599999999999995E-2</v>
      </c>
      <c r="O243" s="322">
        <f>VLOOKUP($A243,[0]!ความต้องการน้ำ,3)/7</f>
        <v>0</v>
      </c>
      <c r="P243" s="322">
        <f>VLOOKUP($A243,[0]!ฝนใช้การ,3)/7</f>
        <v>0</v>
      </c>
      <c r="Q243" s="322">
        <f t="shared" si="53"/>
        <v>60</v>
      </c>
      <c r="R243" s="322">
        <f t="shared" si="49"/>
        <v>0</v>
      </c>
      <c r="S243" s="322">
        <f t="shared" si="46"/>
        <v>0.12709999999999999</v>
      </c>
      <c r="T243" s="322">
        <f t="shared" si="47"/>
        <v>72.183123714581143</v>
      </c>
      <c r="U243" s="354">
        <f t="shared" si="50"/>
        <v>141</v>
      </c>
      <c r="V243" s="354">
        <f t="shared" si="54"/>
        <v>7</v>
      </c>
      <c r="W243" s="348">
        <v>28.574193548387111</v>
      </c>
      <c r="X243" s="346">
        <v>97.29516129032254</v>
      </c>
      <c r="Y243" s="566">
        <v>33.295999999999999</v>
      </c>
    </row>
    <row r="244" spans="1:25" x14ac:dyDescent="0.15">
      <c r="A244" s="201">
        <f t="shared" si="55"/>
        <v>33</v>
      </c>
      <c r="B244" s="260">
        <f t="shared" si="48"/>
        <v>39982</v>
      </c>
      <c r="C244" s="374">
        <f t="shared" si="42"/>
        <v>216.06629087386651</v>
      </c>
      <c r="D244" s="319">
        <f t="shared" si="51"/>
        <v>72.183123714581143</v>
      </c>
      <c r="E244" s="319">
        <f>VLOOKUP(MONTH(B244),[0]!Evap,3)</f>
        <v>5.1466666666666665</v>
      </c>
      <c r="F244" s="322">
        <f t="shared" si="52"/>
        <v>4.0144000000000002</v>
      </c>
      <c r="G244" s="319">
        <f t="shared" si="43"/>
        <v>11.417990444427192</v>
      </c>
      <c r="H244" s="322">
        <f t="shared" si="44"/>
        <v>4.583638084010852E-2</v>
      </c>
      <c r="I244" s="322">
        <f>+fill_data!B288</f>
        <v>0.12204225262006124</v>
      </c>
      <c r="J244" s="322">
        <f t="shared" si="45"/>
        <v>72.25932958636109</v>
      </c>
      <c r="K244" s="322">
        <f>+fill_data!C288</f>
        <v>4.3333333333333331E-3</v>
      </c>
      <c r="L244" s="322">
        <f>+fill_data!F288</f>
        <v>0</v>
      </c>
      <c r="M244" s="322">
        <f>+fill_data!D288</f>
        <v>3.8166666666666668E-2</v>
      </c>
      <c r="N244" s="322">
        <f>++fill_data!E288</f>
        <v>8.4599999999999995E-2</v>
      </c>
      <c r="O244" s="322">
        <f>VLOOKUP($A244,[0]!ความต้องการน้ำ,3)/7</f>
        <v>0</v>
      </c>
      <c r="P244" s="322">
        <f>VLOOKUP($A244,[0]!ฝนใช้การ,3)/7</f>
        <v>0</v>
      </c>
      <c r="Q244" s="322">
        <f t="shared" si="53"/>
        <v>60</v>
      </c>
      <c r="R244" s="322">
        <f t="shared" si="49"/>
        <v>0</v>
      </c>
      <c r="S244" s="322">
        <f t="shared" si="46"/>
        <v>0.12709999999999999</v>
      </c>
      <c r="T244" s="322">
        <f t="shared" si="47"/>
        <v>72.132229586361092</v>
      </c>
      <c r="U244" s="354">
        <f t="shared" si="50"/>
        <v>141</v>
      </c>
      <c r="V244" s="354">
        <f t="shared" si="54"/>
        <v>7</v>
      </c>
      <c r="W244" s="348">
        <v>28.652580645161304</v>
      </c>
      <c r="X244" s="346">
        <v>97.215483870967702</v>
      </c>
      <c r="Y244" s="566">
        <v>33.118000000000002</v>
      </c>
    </row>
    <row r="245" spans="1:25" x14ac:dyDescent="0.15">
      <c r="A245" s="201">
        <f t="shared" si="55"/>
        <v>33</v>
      </c>
      <c r="B245" s="260">
        <f t="shared" si="48"/>
        <v>39983</v>
      </c>
      <c r="C245" s="374">
        <f t="shared" si="42"/>
        <v>216.06199786791538</v>
      </c>
      <c r="D245" s="319">
        <f t="shared" si="51"/>
        <v>72.132229586361092</v>
      </c>
      <c r="E245" s="319">
        <f>VLOOKUP(MONTH(B245),[0]!Evap,3)</f>
        <v>5.1466666666666665</v>
      </c>
      <c r="F245" s="322">
        <f t="shared" si="52"/>
        <v>4.0144000000000002</v>
      </c>
      <c r="G245" s="319">
        <f t="shared" si="43"/>
        <v>11.414189982986343</v>
      </c>
      <c r="H245" s="322">
        <f t="shared" si="44"/>
        <v>4.582112426770038E-2</v>
      </c>
      <c r="I245" s="322">
        <f>+fill_data!B289</f>
        <v>0.12204225262006124</v>
      </c>
      <c r="J245" s="322">
        <f t="shared" si="45"/>
        <v>72.20845071471345</v>
      </c>
      <c r="K245" s="322">
        <f>+fill_data!C289</f>
        <v>4.3333333333333331E-3</v>
      </c>
      <c r="L245" s="322">
        <f>+fill_data!F289</f>
        <v>0</v>
      </c>
      <c r="M245" s="322">
        <f>+fill_data!D289</f>
        <v>3.8166666666666668E-2</v>
      </c>
      <c r="N245" s="322">
        <f>++fill_data!E289</f>
        <v>8.4599999999999995E-2</v>
      </c>
      <c r="O245" s="322">
        <f>VLOOKUP($A245,[0]!ความต้องการน้ำ,3)/7</f>
        <v>0</v>
      </c>
      <c r="P245" s="322">
        <f>VLOOKUP($A245,[0]!ฝนใช้การ,3)/7</f>
        <v>0</v>
      </c>
      <c r="Q245" s="322">
        <f t="shared" si="53"/>
        <v>60</v>
      </c>
      <c r="R245" s="322">
        <f t="shared" si="49"/>
        <v>0</v>
      </c>
      <c r="S245" s="322">
        <f t="shared" si="46"/>
        <v>0.12709999999999999</v>
      </c>
      <c r="T245" s="322">
        <f t="shared" si="47"/>
        <v>72.081350714713452</v>
      </c>
      <c r="U245" s="354">
        <f t="shared" si="50"/>
        <v>141</v>
      </c>
      <c r="V245" s="354">
        <f t="shared" si="54"/>
        <v>7</v>
      </c>
      <c r="W245" s="348">
        <v>28.730967741935498</v>
      </c>
      <c r="X245" s="346">
        <v>97.135806451612865</v>
      </c>
      <c r="Y245" s="566">
        <v>32.850999999999999</v>
      </c>
    </row>
    <row r="246" spans="1:25" x14ac:dyDescent="0.15">
      <c r="A246" s="201">
        <v>34</v>
      </c>
      <c r="B246" s="260">
        <f t="shared" si="48"/>
        <v>39984</v>
      </c>
      <c r="C246" s="374">
        <f t="shared" si="42"/>
        <v>216.05770614888198</v>
      </c>
      <c r="D246" s="319">
        <f t="shared" si="51"/>
        <v>72.081350714713452</v>
      </c>
      <c r="E246" s="319">
        <f>VLOOKUP(MONTH(B246),[0]!Evap,3)</f>
        <v>5.1466666666666665</v>
      </c>
      <c r="F246" s="322">
        <f t="shared" si="52"/>
        <v>4.0144000000000002</v>
      </c>
      <c r="G246" s="319">
        <f t="shared" si="43"/>
        <v>11.410390660812778</v>
      </c>
      <c r="H246" s="322">
        <f t="shared" si="44"/>
        <v>4.5805872268766819E-2</v>
      </c>
      <c r="I246" s="322">
        <f>+fill_data!B290</f>
        <v>0.12204225262006124</v>
      </c>
      <c r="J246" s="322">
        <f t="shared" si="45"/>
        <v>72.157587095064741</v>
      </c>
      <c r="K246" s="322">
        <f>+fill_data!C290</f>
        <v>4.3333333333333331E-3</v>
      </c>
      <c r="L246" s="322">
        <f>+fill_data!F290</f>
        <v>0</v>
      </c>
      <c r="M246" s="322">
        <f>+fill_data!D290</f>
        <v>3.8166666666666668E-2</v>
      </c>
      <c r="N246" s="322">
        <f>++fill_data!E290</f>
        <v>8.4599999999999995E-2</v>
      </c>
      <c r="O246" s="322">
        <f>VLOOKUP($A246,[0]!ความต้องการน้ำ,3)/7</f>
        <v>0</v>
      </c>
      <c r="P246" s="322">
        <f>VLOOKUP($A246,[0]!ฝนใช้การ,3)/7</f>
        <v>0</v>
      </c>
      <c r="Q246" s="322">
        <f t="shared" si="53"/>
        <v>60</v>
      </c>
      <c r="R246" s="322">
        <f t="shared" si="49"/>
        <v>0</v>
      </c>
      <c r="S246" s="322">
        <f t="shared" si="46"/>
        <v>0.12709999999999999</v>
      </c>
      <c r="T246" s="322">
        <f t="shared" si="47"/>
        <v>72.030487095064743</v>
      </c>
      <c r="U246" s="354">
        <f t="shared" si="50"/>
        <v>141</v>
      </c>
      <c r="V246" s="354">
        <f t="shared" si="54"/>
        <v>7</v>
      </c>
      <c r="W246" s="348">
        <v>28.809354838709694</v>
      </c>
      <c r="X246" s="346">
        <v>97.056129032258013</v>
      </c>
      <c r="Y246" s="566">
        <v>32.494</v>
      </c>
    </row>
    <row r="247" spans="1:25" x14ac:dyDescent="0.15">
      <c r="A247" s="201">
        <f t="shared" si="55"/>
        <v>34</v>
      </c>
      <c r="B247" s="260">
        <f t="shared" si="48"/>
        <v>39985</v>
      </c>
      <c r="C247" s="374">
        <f t="shared" si="42"/>
        <v>216.05341571638053</v>
      </c>
      <c r="D247" s="319">
        <f t="shared" si="51"/>
        <v>72.030487095064743</v>
      </c>
      <c r="E247" s="319">
        <f>VLOOKUP(MONTH(B247),[0]!Evap,3)</f>
        <v>5.1466666666666665</v>
      </c>
      <c r="F247" s="322">
        <f t="shared" si="52"/>
        <v>4.0144000000000002</v>
      </c>
      <c r="G247" s="319">
        <f t="shared" si="43"/>
        <v>11.406592477564976</v>
      </c>
      <c r="H247" s="322">
        <f t="shared" si="44"/>
        <v>4.5790624841936842E-2</v>
      </c>
      <c r="I247" s="322">
        <f>+fill_data!B291</f>
        <v>0.12204225262006124</v>
      </c>
      <c r="J247" s="322">
        <f t="shared" si="45"/>
        <v>72.106738722842863</v>
      </c>
      <c r="K247" s="322">
        <f>+fill_data!C291</f>
        <v>4.3333333333333331E-3</v>
      </c>
      <c r="L247" s="322">
        <f>+fill_data!F291</f>
        <v>0</v>
      </c>
      <c r="M247" s="322">
        <f>+fill_data!D291</f>
        <v>3.8166666666666668E-2</v>
      </c>
      <c r="N247" s="322">
        <f>++fill_data!E291</f>
        <v>8.4599999999999995E-2</v>
      </c>
      <c r="O247" s="322">
        <f>VLOOKUP($A247,[0]!ความต้องการน้ำ,3)/7</f>
        <v>0</v>
      </c>
      <c r="P247" s="322">
        <f>VLOOKUP($A247,[0]!ฝนใช้การ,3)/7</f>
        <v>0</v>
      </c>
      <c r="Q247" s="322">
        <f t="shared" si="53"/>
        <v>60</v>
      </c>
      <c r="R247" s="322">
        <f t="shared" si="49"/>
        <v>0</v>
      </c>
      <c r="S247" s="322">
        <f t="shared" si="46"/>
        <v>0.12709999999999999</v>
      </c>
      <c r="T247" s="322">
        <f t="shared" si="47"/>
        <v>71.979638722842864</v>
      </c>
      <c r="U247" s="354">
        <f t="shared" si="50"/>
        <v>141</v>
      </c>
      <c r="V247" s="354">
        <f t="shared" si="54"/>
        <v>7</v>
      </c>
      <c r="W247" s="348">
        <v>28.887741935483888</v>
      </c>
      <c r="X247" s="346">
        <v>96.976451612903176</v>
      </c>
      <c r="Y247" s="566">
        <v>32.316000000000003</v>
      </c>
    </row>
    <row r="248" spans="1:25" x14ac:dyDescent="0.15">
      <c r="A248" s="201">
        <f t="shared" si="55"/>
        <v>34</v>
      </c>
      <c r="B248" s="260">
        <f t="shared" si="48"/>
        <v>39986</v>
      </c>
      <c r="C248" s="374">
        <f t="shared" si="42"/>
        <v>216.04912657002535</v>
      </c>
      <c r="D248" s="319">
        <f t="shared" si="51"/>
        <v>71.979638722842864</v>
      </c>
      <c r="E248" s="319">
        <f>VLOOKUP(MONTH(B248),[0]!Evap,3)</f>
        <v>5.1466666666666665</v>
      </c>
      <c r="F248" s="322">
        <f t="shared" si="52"/>
        <v>4.0144000000000002</v>
      </c>
      <c r="G248" s="319">
        <f t="shared" si="43"/>
        <v>11.40279543290152</v>
      </c>
      <c r="H248" s="322">
        <f t="shared" si="44"/>
        <v>4.5775381985839865E-2</v>
      </c>
      <c r="I248" s="322">
        <f>+fill_data!B292</f>
        <v>0.12204225262006124</v>
      </c>
      <c r="J248" s="322">
        <f t="shared" si="45"/>
        <v>72.055905593477092</v>
      </c>
      <c r="K248" s="322">
        <f>+fill_data!C292</f>
        <v>4.3333333333333331E-3</v>
      </c>
      <c r="L248" s="322">
        <f>+fill_data!F292</f>
        <v>0</v>
      </c>
      <c r="M248" s="322">
        <f>+fill_data!D292</f>
        <v>3.8166666666666668E-2</v>
      </c>
      <c r="N248" s="322">
        <f>++fill_data!E292</f>
        <v>8.4599999999999995E-2</v>
      </c>
      <c r="O248" s="322">
        <f>VLOOKUP($A248,[0]!ความต้องการน้ำ,3)/7</f>
        <v>0</v>
      </c>
      <c r="P248" s="322">
        <f>VLOOKUP($A248,[0]!ฝนใช้การ,3)/7</f>
        <v>0</v>
      </c>
      <c r="Q248" s="322">
        <f t="shared" si="53"/>
        <v>60</v>
      </c>
      <c r="R248" s="322">
        <f t="shared" si="49"/>
        <v>0</v>
      </c>
      <c r="S248" s="322">
        <f t="shared" si="46"/>
        <v>0.12709999999999999</v>
      </c>
      <c r="T248" s="322">
        <f t="shared" si="47"/>
        <v>71.928805593477094</v>
      </c>
      <c r="U248" s="354">
        <f t="shared" si="50"/>
        <v>141</v>
      </c>
      <c r="V248" s="354">
        <f t="shared" si="54"/>
        <v>7</v>
      </c>
      <c r="W248" s="348">
        <v>28.966129032258081</v>
      </c>
      <c r="X248" s="346">
        <v>96.896774193548339</v>
      </c>
      <c r="Y248" s="566">
        <v>32.137999999999998</v>
      </c>
    </row>
    <row r="249" spans="1:25" x14ac:dyDescent="0.15">
      <c r="A249" s="201">
        <f t="shared" si="55"/>
        <v>34</v>
      </c>
      <c r="B249" s="260">
        <f t="shared" si="48"/>
        <v>39987</v>
      </c>
      <c r="C249" s="374">
        <f t="shared" si="42"/>
        <v>216.04483870943093</v>
      </c>
      <c r="D249" s="319">
        <f t="shared" si="51"/>
        <v>71.928805593477094</v>
      </c>
      <c r="E249" s="319">
        <f>VLOOKUP(MONTH(B249),[0]!Evap,3)</f>
        <v>5.1466666666666665</v>
      </c>
      <c r="F249" s="322">
        <f t="shared" si="52"/>
        <v>4.0144000000000002</v>
      </c>
      <c r="G249" s="319">
        <f t="shared" si="43"/>
        <v>11.398999526481099</v>
      </c>
      <c r="H249" s="322">
        <f t="shared" si="44"/>
        <v>4.5760143699105728E-2</v>
      </c>
      <c r="I249" s="322">
        <f>+fill_data!B293</f>
        <v>0.12204225262006124</v>
      </c>
      <c r="J249" s="322">
        <f t="shared" si="45"/>
        <v>72.005087702398043</v>
      </c>
      <c r="K249" s="322">
        <f>+fill_data!C293</f>
        <v>4.3333333333333331E-3</v>
      </c>
      <c r="L249" s="322">
        <f>+fill_data!F293</f>
        <v>0</v>
      </c>
      <c r="M249" s="322">
        <f>+fill_data!D293</f>
        <v>3.8166666666666668E-2</v>
      </c>
      <c r="N249" s="322">
        <f>++fill_data!E293</f>
        <v>8.4599999999999995E-2</v>
      </c>
      <c r="O249" s="322">
        <f>VLOOKUP($A249,[0]!ความต้องการน้ำ,3)/7</f>
        <v>0</v>
      </c>
      <c r="P249" s="322">
        <f>VLOOKUP($A249,[0]!ฝนใช้การ,3)/7</f>
        <v>0</v>
      </c>
      <c r="Q249" s="322">
        <f t="shared" si="53"/>
        <v>60</v>
      </c>
      <c r="R249" s="322">
        <f t="shared" si="49"/>
        <v>0</v>
      </c>
      <c r="S249" s="322">
        <f t="shared" si="46"/>
        <v>0.12709999999999999</v>
      </c>
      <c r="T249" s="322">
        <f t="shared" si="47"/>
        <v>71.877987702398045</v>
      </c>
      <c r="U249" s="354">
        <f t="shared" si="50"/>
        <v>141</v>
      </c>
      <c r="V249" s="354">
        <f t="shared" si="54"/>
        <v>7</v>
      </c>
      <c r="W249" s="348">
        <v>29.044516129032278</v>
      </c>
      <c r="X249" s="346">
        <v>96.817096774193502</v>
      </c>
      <c r="Y249" s="566">
        <v>31.96</v>
      </c>
    </row>
    <row r="250" spans="1:25" x14ac:dyDescent="0.15">
      <c r="A250" s="201">
        <f t="shared" si="55"/>
        <v>34</v>
      </c>
      <c r="B250" s="260">
        <f t="shared" si="48"/>
        <v>39988</v>
      </c>
      <c r="C250" s="374">
        <f t="shared" si="42"/>
        <v>216.04055213421182</v>
      </c>
      <c r="D250" s="319">
        <f t="shared" si="51"/>
        <v>71.877987702398045</v>
      </c>
      <c r="E250" s="319">
        <f>VLOOKUP(MONTH(B250),[0]!Evap,3)</f>
        <v>5.1466666666666665</v>
      </c>
      <c r="F250" s="322">
        <f t="shared" si="52"/>
        <v>4.0144000000000002</v>
      </c>
      <c r="G250" s="319">
        <f t="shared" si="43"/>
        <v>11.395204757962496</v>
      </c>
      <c r="H250" s="322">
        <f t="shared" si="44"/>
        <v>4.5744909980364651E-2</v>
      </c>
      <c r="I250" s="322">
        <f>+fill_data!B294</f>
        <v>0.12204225262006124</v>
      </c>
      <c r="J250" s="322">
        <f t="shared" si="45"/>
        <v>71.954285045037736</v>
      </c>
      <c r="K250" s="322">
        <f>+fill_data!C294</f>
        <v>4.3333333333333331E-3</v>
      </c>
      <c r="L250" s="322">
        <f>+fill_data!F294</f>
        <v>0</v>
      </c>
      <c r="M250" s="322">
        <f>+fill_data!D294</f>
        <v>3.8166666666666668E-2</v>
      </c>
      <c r="N250" s="322">
        <f>++fill_data!E294</f>
        <v>8.4599999999999995E-2</v>
      </c>
      <c r="O250" s="322">
        <f>VLOOKUP($A250,[0]!ความต้องการน้ำ,3)/7</f>
        <v>0</v>
      </c>
      <c r="P250" s="322">
        <f>VLOOKUP($A250,[0]!ฝนใช้การ,3)/7</f>
        <v>0</v>
      </c>
      <c r="Q250" s="322">
        <f t="shared" si="53"/>
        <v>60</v>
      </c>
      <c r="R250" s="322">
        <f t="shared" si="49"/>
        <v>0</v>
      </c>
      <c r="S250" s="322">
        <f t="shared" si="46"/>
        <v>0.12709999999999999</v>
      </c>
      <c r="T250" s="322">
        <f t="shared" si="47"/>
        <v>71.827185045037737</v>
      </c>
      <c r="U250" s="354">
        <f t="shared" si="50"/>
        <v>141</v>
      </c>
      <c r="V250" s="354">
        <f t="shared" si="54"/>
        <v>7</v>
      </c>
      <c r="W250" s="348">
        <v>29.122903225806471</v>
      </c>
      <c r="X250" s="346">
        <v>96.73741935483865</v>
      </c>
      <c r="Y250" s="566">
        <v>31.96</v>
      </c>
    </row>
    <row r="251" spans="1:25" x14ac:dyDescent="0.15">
      <c r="A251" s="201">
        <f t="shared" si="55"/>
        <v>34</v>
      </c>
      <c r="B251" s="260">
        <f t="shared" si="48"/>
        <v>39989</v>
      </c>
      <c r="C251" s="374">
        <f t="shared" si="42"/>
        <v>216.0362668439827</v>
      </c>
      <c r="D251" s="319">
        <f t="shared" si="51"/>
        <v>71.827185045037737</v>
      </c>
      <c r="E251" s="319">
        <f>VLOOKUP(MONTH(B251),[0]!Evap,3)</f>
        <v>5.1466666666666665</v>
      </c>
      <c r="F251" s="322">
        <f t="shared" si="52"/>
        <v>4.0144000000000002</v>
      </c>
      <c r="G251" s="319">
        <f t="shared" si="43"/>
        <v>11.391411127004604</v>
      </c>
      <c r="H251" s="322">
        <f t="shared" si="44"/>
        <v>4.5729680828247285E-2</v>
      </c>
      <c r="I251" s="322">
        <f>+fill_data!B295</f>
        <v>0.12204225262006124</v>
      </c>
      <c r="J251" s="322">
        <f t="shared" si="45"/>
        <v>71.903497616829554</v>
      </c>
      <c r="K251" s="322">
        <f>+fill_data!C295</f>
        <v>4.3333333333333331E-3</v>
      </c>
      <c r="L251" s="322">
        <f>+fill_data!F295</f>
        <v>0</v>
      </c>
      <c r="M251" s="322">
        <f>+fill_data!D295</f>
        <v>3.8166666666666668E-2</v>
      </c>
      <c r="N251" s="322">
        <f>++fill_data!E295</f>
        <v>8.4599999999999995E-2</v>
      </c>
      <c r="O251" s="322">
        <f>VLOOKUP($A251,[0]!ความต้องการน้ำ,3)/7</f>
        <v>0</v>
      </c>
      <c r="P251" s="322">
        <f>VLOOKUP($A251,[0]!ฝนใช้การ,3)/7</f>
        <v>0</v>
      </c>
      <c r="Q251" s="322">
        <f t="shared" si="53"/>
        <v>60</v>
      </c>
      <c r="R251" s="322">
        <f t="shared" si="49"/>
        <v>0</v>
      </c>
      <c r="S251" s="322">
        <f t="shared" si="46"/>
        <v>0.12709999999999999</v>
      </c>
      <c r="T251" s="322">
        <f t="shared" si="47"/>
        <v>71.776397616829556</v>
      </c>
      <c r="U251" s="354">
        <f t="shared" si="50"/>
        <v>141</v>
      </c>
      <c r="V251" s="354">
        <f t="shared" si="54"/>
        <v>7</v>
      </c>
      <c r="W251" s="348">
        <v>29.201290322580665</v>
      </c>
      <c r="X251" s="346">
        <v>96.657741935483813</v>
      </c>
      <c r="Y251" s="566">
        <v>31.96</v>
      </c>
    </row>
    <row r="252" spans="1:25" x14ac:dyDescent="0.15">
      <c r="A252" s="201">
        <f t="shared" si="55"/>
        <v>34</v>
      </c>
      <c r="B252" s="260">
        <f t="shared" si="48"/>
        <v>39990</v>
      </c>
      <c r="C252" s="374">
        <f t="shared" si="42"/>
        <v>216.03198283835835</v>
      </c>
      <c r="D252" s="319">
        <f t="shared" si="51"/>
        <v>71.776397616829556</v>
      </c>
      <c r="E252" s="319">
        <f>VLOOKUP(MONTH(B252),[0]!Evap,3)</f>
        <v>5.1466666666666665</v>
      </c>
      <c r="F252" s="322">
        <f t="shared" si="52"/>
        <v>4.0144000000000002</v>
      </c>
      <c r="G252" s="319">
        <f t="shared" si="43"/>
        <v>11.387618633266417</v>
      </c>
      <c r="H252" s="322">
        <f t="shared" si="44"/>
        <v>4.5714456241384711E-2</v>
      </c>
      <c r="I252" s="322">
        <f>+fill_data!B296</f>
        <v>0.12204225262006124</v>
      </c>
      <c r="J252" s="322">
        <f t="shared" si="45"/>
        <v>71.852725413208233</v>
      </c>
      <c r="K252" s="322">
        <f>+fill_data!C296</f>
        <v>4.3333333333333331E-3</v>
      </c>
      <c r="L252" s="322">
        <f>+fill_data!F296</f>
        <v>0</v>
      </c>
      <c r="M252" s="322">
        <f>+fill_data!D296</f>
        <v>3.8166666666666668E-2</v>
      </c>
      <c r="N252" s="322">
        <f>++fill_data!E296</f>
        <v>8.4599999999999995E-2</v>
      </c>
      <c r="O252" s="322">
        <f>VLOOKUP($A252,[0]!ความต้องการน้ำ,3)/7</f>
        <v>0</v>
      </c>
      <c r="P252" s="322">
        <f>VLOOKUP($A252,[0]!ฝนใช้การ,3)/7</f>
        <v>0</v>
      </c>
      <c r="Q252" s="322">
        <f t="shared" si="53"/>
        <v>60</v>
      </c>
      <c r="R252" s="322">
        <f t="shared" si="49"/>
        <v>0</v>
      </c>
      <c r="S252" s="322">
        <f t="shared" si="46"/>
        <v>0.12709999999999999</v>
      </c>
      <c r="T252" s="322">
        <f t="shared" si="47"/>
        <v>71.725625413208235</v>
      </c>
      <c r="U252" s="354">
        <f t="shared" si="50"/>
        <v>141</v>
      </c>
      <c r="V252" s="354">
        <f t="shared" si="54"/>
        <v>7</v>
      </c>
      <c r="W252" s="348">
        <v>29.279677419354861</v>
      </c>
      <c r="X252" s="346">
        <v>96.578064516128975</v>
      </c>
      <c r="Y252" s="566">
        <v>31.870999999999999</v>
      </c>
    </row>
    <row r="253" spans="1:25" x14ac:dyDescent="0.15">
      <c r="A253" s="201">
        <v>35</v>
      </c>
      <c r="B253" s="260">
        <f t="shared" si="48"/>
        <v>39991</v>
      </c>
      <c r="C253" s="374">
        <f t="shared" si="42"/>
        <v>216.0277001169537</v>
      </c>
      <c r="D253" s="319">
        <f t="shared" si="51"/>
        <v>71.725625413208235</v>
      </c>
      <c r="E253" s="319">
        <f>VLOOKUP(MONTH(B253),[0]!Evap,3)</f>
        <v>5.1466666666666665</v>
      </c>
      <c r="F253" s="322">
        <f t="shared" si="52"/>
        <v>4.0144000000000002</v>
      </c>
      <c r="G253" s="319">
        <f t="shared" si="43"/>
        <v>11.383827276407027</v>
      </c>
      <c r="H253" s="322">
        <f t="shared" si="44"/>
        <v>4.5699236218408372E-2</v>
      </c>
      <c r="I253" s="322">
        <f>+fill_data!B297</f>
        <v>0.12204225262006124</v>
      </c>
      <c r="J253" s="322">
        <f t="shared" si="45"/>
        <v>71.801968429609886</v>
      </c>
      <c r="K253" s="322">
        <f>+fill_data!C297</f>
        <v>4.3333333333333331E-3</v>
      </c>
      <c r="L253" s="322">
        <f>+fill_data!F297</f>
        <v>0</v>
      </c>
      <c r="M253" s="322">
        <f>+fill_data!D297</f>
        <v>3.8166666666666668E-2</v>
      </c>
      <c r="N253" s="322">
        <f>++fill_data!E297</f>
        <v>8.4599999999999995E-2</v>
      </c>
      <c r="O253" s="322">
        <f>VLOOKUP($A253,[0]!ความต้องการน้ำ,3)/7</f>
        <v>0</v>
      </c>
      <c r="P253" s="322">
        <f>VLOOKUP($A253,[0]!ฝนใช้การ,3)/7</f>
        <v>0</v>
      </c>
      <c r="Q253" s="322">
        <f t="shared" si="53"/>
        <v>60</v>
      </c>
      <c r="R253" s="322">
        <f t="shared" si="49"/>
        <v>0</v>
      </c>
      <c r="S253" s="322">
        <f t="shared" si="46"/>
        <v>0.12709999999999999</v>
      </c>
      <c r="T253" s="322">
        <f t="shared" si="47"/>
        <v>71.674868429609887</v>
      </c>
      <c r="U253" s="354">
        <f t="shared" si="50"/>
        <v>141</v>
      </c>
      <c r="V253" s="354">
        <f t="shared" si="54"/>
        <v>7</v>
      </c>
      <c r="W253" s="348">
        <v>29.358064516129055</v>
      </c>
      <c r="X253" s="346">
        <v>96.498387096774124</v>
      </c>
      <c r="Y253" s="566">
        <v>31.870999999999999</v>
      </c>
    </row>
    <row r="254" spans="1:25" x14ac:dyDescent="0.15">
      <c r="A254" s="201">
        <f t="shared" si="55"/>
        <v>35</v>
      </c>
      <c r="B254" s="260">
        <f t="shared" si="48"/>
        <v>39992</v>
      </c>
      <c r="C254" s="374">
        <f t="shared" si="42"/>
        <v>216.02341867938378</v>
      </c>
      <c r="D254" s="319">
        <f t="shared" si="51"/>
        <v>71.674868429609887</v>
      </c>
      <c r="E254" s="319">
        <f>VLOOKUP(MONTH(B254),[0]!Evap,3)</f>
        <v>5.1466666666666665</v>
      </c>
      <c r="F254" s="322">
        <f t="shared" si="52"/>
        <v>4.0144000000000002</v>
      </c>
      <c r="G254" s="319">
        <f t="shared" si="43"/>
        <v>11.380037056085632</v>
      </c>
      <c r="H254" s="322">
        <f t="shared" si="44"/>
        <v>4.5684020757950167E-2</v>
      </c>
      <c r="I254" s="322">
        <f>+fill_data!B298</f>
        <v>0.12204225262006124</v>
      </c>
      <c r="J254" s="322">
        <f t="shared" si="45"/>
        <v>71.751226661472003</v>
      </c>
      <c r="K254" s="322">
        <f>+fill_data!C298</f>
        <v>4.3333333333333331E-3</v>
      </c>
      <c r="L254" s="322">
        <f>+fill_data!F298</f>
        <v>0</v>
      </c>
      <c r="M254" s="322">
        <f>+fill_data!D298</f>
        <v>3.8166666666666668E-2</v>
      </c>
      <c r="N254" s="322">
        <f>++fill_data!E298</f>
        <v>8.4599999999999995E-2</v>
      </c>
      <c r="O254" s="322">
        <f>VLOOKUP($A254,[0]!ความต้องการน้ำ,3)/7</f>
        <v>0</v>
      </c>
      <c r="P254" s="322">
        <f>VLOOKUP($A254,[0]!ฝนใช้การ,3)/7</f>
        <v>0</v>
      </c>
      <c r="Q254" s="322">
        <f t="shared" si="53"/>
        <v>60</v>
      </c>
      <c r="R254" s="322">
        <f t="shared" si="49"/>
        <v>0</v>
      </c>
      <c r="S254" s="322">
        <f t="shared" si="46"/>
        <v>0.12709999999999999</v>
      </c>
      <c r="T254" s="322">
        <f t="shared" si="47"/>
        <v>71.624126661472005</v>
      </c>
      <c r="U254" s="354">
        <f t="shared" si="50"/>
        <v>141</v>
      </c>
      <c r="V254" s="354">
        <f t="shared" si="54"/>
        <v>7</v>
      </c>
      <c r="W254" s="348">
        <v>29.436451612903248</v>
      </c>
      <c r="X254" s="346">
        <v>96.418709677419287</v>
      </c>
      <c r="Y254" s="566">
        <v>31.870999999999999</v>
      </c>
    </row>
    <row r="255" spans="1:25" x14ac:dyDescent="0.15">
      <c r="A255" s="201">
        <f t="shared" si="55"/>
        <v>35</v>
      </c>
      <c r="B255" s="260">
        <f t="shared" si="48"/>
        <v>39993</v>
      </c>
      <c r="C255" s="374">
        <f t="shared" si="42"/>
        <v>216.01913852526374</v>
      </c>
      <c r="D255" s="319">
        <f t="shared" si="51"/>
        <v>71.624126661472005</v>
      </c>
      <c r="E255" s="319">
        <f>VLOOKUP(MONTH(B255),[0]!Evap,3)</f>
        <v>5.1466666666666665</v>
      </c>
      <c r="F255" s="322">
        <f t="shared" si="52"/>
        <v>4.0144000000000002</v>
      </c>
      <c r="G255" s="319">
        <f t="shared" si="43"/>
        <v>11.376247971961533</v>
      </c>
      <c r="H255" s="322">
        <f t="shared" si="44"/>
        <v>4.5668809858642384E-2</v>
      </c>
      <c r="I255" s="322">
        <f>+fill_data!B299</f>
        <v>0.12204225262006124</v>
      </c>
      <c r="J255" s="322">
        <f t="shared" si="45"/>
        <v>71.700500104233427</v>
      </c>
      <c r="K255" s="322">
        <f>+fill_data!C299</f>
        <v>4.3333333333333331E-3</v>
      </c>
      <c r="L255" s="322">
        <f>+fill_data!F299</f>
        <v>0</v>
      </c>
      <c r="M255" s="322">
        <f>+fill_data!D299</f>
        <v>3.8166666666666668E-2</v>
      </c>
      <c r="N255" s="322">
        <f>++fill_data!E299</f>
        <v>8.4599999999999995E-2</v>
      </c>
      <c r="O255" s="322">
        <f>VLOOKUP($A255,[0]!ความต้องการน้ำ,3)/7</f>
        <v>0</v>
      </c>
      <c r="P255" s="322">
        <f>VLOOKUP($A255,[0]!ฝนใช้การ,3)/7</f>
        <v>0</v>
      </c>
      <c r="Q255" s="322">
        <f t="shared" si="53"/>
        <v>60</v>
      </c>
      <c r="R255" s="322">
        <f t="shared" si="49"/>
        <v>0</v>
      </c>
      <c r="S255" s="322">
        <f t="shared" si="46"/>
        <v>0.12709999999999999</v>
      </c>
      <c r="T255" s="322">
        <f t="shared" si="47"/>
        <v>71.573400104233428</v>
      </c>
      <c r="U255" s="354">
        <f t="shared" si="50"/>
        <v>141</v>
      </c>
      <c r="V255" s="354">
        <f t="shared" si="54"/>
        <v>7</v>
      </c>
      <c r="W255" s="348">
        <v>29.514838709677441</v>
      </c>
      <c r="X255" s="346">
        <v>96.339032258064449</v>
      </c>
      <c r="Y255" s="566">
        <v>31.782</v>
      </c>
    </row>
    <row r="256" spans="1:25" x14ac:dyDescent="0.15">
      <c r="A256" s="201">
        <f t="shared" si="55"/>
        <v>35</v>
      </c>
      <c r="B256" s="260">
        <f t="shared" si="48"/>
        <v>39994</v>
      </c>
      <c r="C256" s="374">
        <f t="shared" si="42"/>
        <v>216.01485965420883</v>
      </c>
      <c r="D256" s="319">
        <f t="shared" si="51"/>
        <v>71.573400104233428</v>
      </c>
      <c r="E256" s="319">
        <f>VLOOKUP(MONTH(B256),[0]!Evap,3)</f>
        <v>5.1466666666666665</v>
      </c>
      <c r="F256" s="322">
        <f t="shared" si="52"/>
        <v>4.0144000000000002</v>
      </c>
      <c r="G256" s="319">
        <f t="shared" si="43"/>
        <v>11.372460023694128</v>
      </c>
      <c r="H256" s="322">
        <f t="shared" si="44"/>
        <v>4.5653603519117708E-2</v>
      </c>
      <c r="I256" s="322">
        <f>+fill_data!B300</f>
        <v>0.12204225262006124</v>
      </c>
      <c r="J256" s="322">
        <f t="shared" si="45"/>
        <v>71.649788753334377</v>
      </c>
      <c r="K256" s="322">
        <f>+fill_data!C300</f>
        <v>4.3333333333333331E-3</v>
      </c>
      <c r="L256" s="322">
        <f>+fill_data!F300</f>
        <v>0</v>
      </c>
      <c r="M256" s="322">
        <f>+fill_data!D300</f>
        <v>3.8166666666666668E-2</v>
      </c>
      <c r="N256" s="322">
        <f>++fill_data!E300</f>
        <v>8.4599999999999995E-2</v>
      </c>
      <c r="O256" s="322">
        <f>VLOOKUP($A256,[0]!ความต้องการน้ำ,3)/7</f>
        <v>0</v>
      </c>
      <c r="P256" s="322">
        <f>VLOOKUP($A256,[0]!ฝนใช้การ,3)/7</f>
        <v>0</v>
      </c>
      <c r="Q256" s="322">
        <f t="shared" si="53"/>
        <v>60</v>
      </c>
      <c r="R256" s="322">
        <f t="shared" si="49"/>
        <v>0</v>
      </c>
      <c r="S256" s="322">
        <f t="shared" si="46"/>
        <v>0.12709999999999999</v>
      </c>
      <c r="T256" s="322">
        <f t="shared" si="47"/>
        <v>71.522688753334378</v>
      </c>
      <c r="U256" s="354">
        <f t="shared" si="50"/>
        <v>141</v>
      </c>
      <c r="V256" s="354">
        <f t="shared" si="54"/>
        <v>7</v>
      </c>
      <c r="W256" s="348">
        <v>29.593225806451638</v>
      </c>
      <c r="X256" s="346">
        <v>96.259354838709612</v>
      </c>
      <c r="Y256" s="566">
        <v>31.782</v>
      </c>
    </row>
    <row r="257" spans="1:25" x14ac:dyDescent="0.15">
      <c r="A257" s="201">
        <f t="shared" si="55"/>
        <v>35</v>
      </c>
      <c r="B257" s="260">
        <f t="shared" si="48"/>
        <v>39995</v>
      </c>
      <c r="C257" s="374">
        <f t="shared" si="42"/>
        <v>216.01058206583443</v>
      </c>
      <c r="D257" s="319">
        <f t="shared" si="51"/>
        <v>71.522688753334378</v>
      </c>
      <c r="E257" s="319">
        <f>VLOOKUP(MONTH(B257),[0]!Evap,3)</f>
        <v>4.9290322580645167</v>
      </c>
      <c r="F257" s="322">
        <f t="shared" si="52"/>
        <v>3.8446451612903232</v>
      </c>
      <c r="G257" s="319">
        <f t="shared" si="43"/>
        <v>11.368673210942923</v>
      </c>
      <c r="H257" s="322">
        <f t="shared" si="44"/>
        <v>4.3708514450742635E-2</v>
      </c>
      <c r="I257" s="322">
        <f>+fill_data!B301</f>
        <v>0.25286955687520152</v>
      </c>
      <c r="J257" s="322">
        <f t="shared" si="45"/>
        <v>71.731849795758833</v>
      </c>
      <c r="K257" s="322">
        <f>+fill_data!C301</f>
        <v>1.9354838709677419E-3</v>
      </c>
      <c r="L257" s="322">
        <f>+fill_data!F301</f>
        <v>0</v>
      </c>
      <c r="M257" s="322">
        <f>+fill_data!D301</f>
        <v>3.2419354838709676E-2</v>
      </c>
      <c r="N257" s="322">
        <f>++fill_data!E301</f>
        <v>4.2299999999999997E-2</v>
      </c>
      <c r="O257" s="322">
        <f>VLOOKUP($A257,[0]!ความต้องการน้ำ,3)/7</f>
        <v>0</v>
      </c>
      <c r="P257" s="322">
        <f>VLOOKUP($A257,[0]!ฝนใช้การ,3)/7</f>
        <v>0</v>
      </c>
      <c r="Q257" s="322">
        <f t="shared" si="53"/>
        <v>60</v>
      </c>
      <c r="R257" s="322">
        <f t="shared" si="49"/>
        <v>0</v>
      </c>
      <c r="S257" s="322">
        <f t="shared" si="46"/>
        <v>7.6654838709677417E-2</v>
      </c>
      <c r="T257" s="322">
        <f t="shared" si="47"/>
        <v>71.655194957049162</v>
      </c>
      <c r="U257" s="354">
        <f t="shared" si="50"/>
        <v>141</v>
      </c>
      <c r="V257" s="354">
        <f t="shared" si="54"/>
        <v>7</v>
      </c>
      <c r="W257" s="348">
        <v>29.671612903225832</v>
      </c>
      <c r="X257" s="346">
        <v>96.179677419354761</v>
      </c>
      <c r="Y257" s="566">
        <v>31.782</v>
      </c>
    </row>
    <row r="258" spans="1:25" x14ac:dyDescent="0.15">
      <c r="A258" s="201">
        <f t="shared" si="55"/>
        <v>35</v>
      </c>
      <c r="B258" s="260">
        <f t="shared" si="48"/>
        <v>39996</v>
      </c>
      <c r="C258" s="374">
        <f t="shared" si="42"/>
        <v>216.02175918863827</v>
      </c>
      <c r="D258" s="319">
        <f t="shared" si="51"/>
        <v>71.655194957049162</v>
      </c>
      <c r="E258" s="319">
        <f>VLOOKUP(MONTH(B258),[0]!Evap,3)</f>
        <v>4.9290322580645167</v>
      </c>
      <c r="F258" s="322">
        <f t="shared" si="52"/>
        <v>3.8446451612903232</v>
      </c>
      <c r="G258" s="319">
        <f t="shared" si="43"/>
        <v>11.378567961781643</v>
      </c>
      <c r="H258" s="322">
        <f t="shared" si="44"/>
        <v>4.3746556256676894E-2</v>
      </c>
      <c r="I258" s="322">
        <f>+fill_data!B302</f>
        <v>0.25286955687520152</v>
      </c>
      <c r="J258" s="322">
        <f t="shared" si="45"/>
        <v>71.86431795766768</v>
      </c>
      <c r="K258" s="322">
        <f>+fill_data!C302</f>
        <v>1.9354838709677419E-3</v>
      </c>
      <c r="L258" s="322">
        <f>+fill_data!F302</f>
        <v>0</v>
      </c>
      <c r="M258" s="322">
        <f>+fill_data!D302</f>
        <v>3.2419354838709676E-2</v>
      </c>
      <c r="N258" s="322">
        <f>++fill_data!E302</f>
        <v>4.2299999999999997E-2</v>
      </c>
      <c r="O258" s="322">
        <f>VLOOKUP($A258,[0]!ความต้องการน้ำ,3)/7</f>
        <v>0</v>
      </c>
      <c r="P258" s="322">
        <f>VLOOKUP($A258,[0]!ฝนใช้การ,3)/7</f>
        <v>0</v>
      </c>
      <c r="Q258" s="322">
        <f t="shared" si="53"/>
        <v>60</v>
      </c>
      <c r="R258" s="322">
        <f t="shared" si="49"/>
        <v>0</v>
      </c>
      <c r="S258" s="322">
        <f t="shared" si="46"/>
        <v>7.6654838709677417E-2</v>
      </c>
      <c r="T258" s="322">
        <f t="shared" si="47"/>
        <v>71.787663118958008</v>
      </c>
      <c r="U258" s="354">
        <f t="shared" si="50"/>
        <v>141</v>
      </c>
      <c r="V258" s="354">
        <f t="shared" si="54"/>
        <v>7</v>
      </c>
      <c r="W258" s="348">
        <v>29.75</v>
      </c>
      <c r="X258" s="346">
        <v>96.1</v>
      </c>
      <c r="Y258" s="566">
        <v>31.693000000000001</v>
      </c>
    </row>
    <row r="259" spans="1:25" x14ac:dyDescent="0.15">
      <c r="A259" s="201">
        <f t="shared" si="55"/>
        <v>35</v>
      </c>
      <c r="B259" s="260">
        <f t="shared" si="48"/>
        <v>39997</v>
      </c>
      <c r="C259" s="374">
        <f t="shared" si="42"/>
        <v>216.03293310255131</v>
      </c>
      <c r="D259" s="319">
        <f t="shared" si="51"/>
        <v>71.787663118958008</v>
      </c>
      <c r="E259" s="319">
        <f>VLOOKUP(MONTH(B259),[0]!Evap,3)</f>
        <v>4.9290322580645167</v>
      </c>
      <c r="F259" s="322">
        <f t="shared" si="52"/>
        <v>3.8446451612903232</v>
      </c>
      <c r="G259" s="319">
        <f t="shared" si="43"/>
        <v>11.388459871891547</v>
      </c>
      <c r="H259" s="322">
        <f t="shared" si="44"/>
        <v>4.3784587141016851E-2</v>
      </c>
      <c r="I259" s="322">
        <f>+fill_data!B303</f>
        <v>0.25286955687520152</v>
      </c>
      <c r="J259" s="322">
        <f t="shared" si="45"/>
        <v>71.996748088692186</v>
      </c>
      <c r="K259" s="322">
        <f>+fill_data!C303</f>
        <v>1.9354838709677419E-3</v>
      </c>
      <c r="L259" s="322">
        <f>+fill_data!F303</f>
        <v>0</v>
      </c>
      <c r="M259" s="322">
        <f>+fill_data!D303</f>
        <v>3.2419354838709676E-2</v>
      </c>
      <c r="N259" s="322">
        <f>++fill_data!E303</f>
        <v>4.2299999999999997E-2</v>
      </c>
      <c r="O259" s="322">
        <f>VLOOKUP($A259,[0]!ความต้องการน้ำ,3)/7</f>
        <v>0</v>
      </c>
      <c r="P259" s="322">
        <f>VLOOKUP($A259,[0]!ฝนใช้การ,3)/7</f>
        <v>0</v>
      </c>
      <c r="Q259" s="322">
        <f t="shared" si="53"/>
        <v>60</v>
      </c>
      <c r="R259" s="322">
        <f t="shared" si="49"/>
        <v>0</v>
      </c>
      <c r="S259" s="322">
        <f t="shared" si="46"/>
        <v>7.6654838709677417E-2</v>
      </c>
      <c r="T259" s="322">
        <f t="shared" si="47"/>
        <v>71.920093249982514</v>
      </c>
      <c r="U259" s="354">
        <f t="shared" si="50"/>
        <v>141</v>
      </c>
      <c r="V259" s="354">
        <f t="shared" si="54"/>
        <v>7</v>
      </c>
      <c r="W259" s="348">
        <v>29.925000000000001</v>
      </c>
      <c r="X259" s="346">
        <v>96.207666666666668</v>
      </c>
      <c r="Y259" s="566">
        <v>31.693000000000001</v>
      </c>
    </row>
    <row r="260" spans="1:25" x14ac:dyDescent="0.15">
      <c r="A260" s="201">
        <v>36</v>
      </c>
      <c r="B260" s="260">
        <f t="shared" si="48"/>
        <v>39998</v>
      </c>
      <c r="C260" s="374">
        <f t="shared" si="42"/>
        <v>216.04410380849484</v>
      </c>
      <c r="D260" s="319">
        <f t="shared" si="51"/>
        <v>71.920093249982514</v>
      </c>
      <c r="E260" s="319">
        <f>VLOOKUP(MONTH(B260),[0]!Evap,3)</f>
        <v>4.9290322580645167</v>
      </c>
      <c r="F260" s="322">
        <f t="shared" si="52"/>
        <v>3.8446451612903232</v>
      </c>
      <c r="G260" s="319">
        <f t="shared" si="43"/>
        <v>11.398348942088191</v>
      </c>
      <c r="H260" s="322">
        <f t="shared" si="44"/>
        <v>4.3822607106898039E-2</v>
      </c>
      <c r="I260" s="322">
        <f>+fill_data!B304</f>
        <v>0.25286955687520152</v>
      </c>
      <c r="J260" s="322">
        <f t="shared" si="45"/>
        <v>72.129140199750807</v>
      </c>
      <c r="K260" s="322">
        <f>+fill_data!C304</f>
        <v>1.9354838709677419E-3</v>
      </c>
      <c r="L260" s="322">
        <f>+fill_data!F304</f>
        <v>0</v>
      </c>
      <c r="M260" s="322">
        <f>+fill_data!D304</f>
        <v>3.2419354838709676E-2</v>
      </c>
      <c r="N260" s="322">
        <f>++fill_data!E304</f>
        <v>4.2299999999999997E-2</v>
      </c>
      <c r="O260" s="322">
        <f>VLOOKUP($A260,[0]!ความต้องการน้ำ,3)/7</f>
        <v>0.33251907478040044</v>
      </c>
      <c r="P260" s="322">
        <f>VLOOKUP($A260,[0]!ฝนใช้การ,3)/7</f>
        <v>6.2106967741935491E-2</v>
      </c>
      <c r="Q260" s="322">
        <f t="shared" si="53"/>
        <v>60</v>
      </c>
      <c r="R260" s="322">
        <f t="shared" si="49"/>
        <v>0.45068684506410828</v>
      </c>
      <c r="S260" s="322">
        <f t="shared" si="46"/>
        <v>0.52734168377378565</v>
      </c>
      <c r="T260" s="322">
        <f t="shared" si="47"/>
        <v>71.601798515977023</v>
      </c>
      <c r="U260" s="354">
        <f t="shared" si="50"/>
        <v>141</v>
      </c>
      <c r="V260" s="354">
        <f t="shared" si="54"/>
        <v>7</v>
      </c>
      <c r="W260" s="348">
        <v>30.1</v>
      </c>
      <c r="X260" s="346">
        <v>96.315333333333342</v>
      </c>
      <c r="Y260" s="566">
        <v>31.693000000000001</v>
      </c>
    </row>
    <row r="261" spans="1:25" x14ac:dyDescent="0.15">
      <c r="A261" s="201">
        <f t="shared" si="55"/>
        <v>36</v>
      </c>
      <c r="B261" s="260">
        <f t="shared" si="48"/>
        <v>39999</v>
      </c>
      <c r="C261" s="374">
        <f t="shared" si="42"/>
        <v>216.01725510835809</v>
      </c>
      <c r="D261" s="319">
        <f t="shared" si="51"/>
        <v>71.601798515977023</v>
      </c>
      <c r="E261" s="319">
        <f>VLOOKUP(MONTH(B261),[0]!Evap,3)</f>
        <v>4.9290322580645167</v>
      </c>
      <c r="F261" s="322">
        <f t="shared" si="52"/>
        <v>3.8446451612903232</v>
      </c>
      <c r="G261" s="319">
        <f t="shared" si="43"/>
        <v>11.374580642959797</v>
      </c>
      <c r="H261" s="322">
        <f t="shared" si="44"/>
        <v>4.3731226430661962E-2</v>
      </c>
      <c r="I261" s="322">
        <f>+fill_data!B305</f>
        <v>0.25286955687520152</v>
      </c>
      <c r="J261" s="322">
        <f t="shared" si="45"/>
        <v>71.810936846421555</v>
      </c>
      <c r="K261" s="322">
        <f>+fill_data!C305</f>
        <v>1.9354838709677419E-3</v>
      </c>
      <c r="L261" s="322">
        <f>+fill_data!F305</f>
        <v>0</v>
      </c>
      <c r="M261" s="322">
        <f>+fill_data!D305</f>
        <v>3.2419354838709676E-2</v>
      </c>
      <c r="N261" s="322">
        <f>++fill_data!E305</f>
        <v>4.2299999999999997E-2</v>
      </c>
      <c r="O261" s="322">
        <f>VLOOKUP($A261,[0]!ความต้องการน้ำ,3)/7</f>
        <v>0.33251907478040044</v>
      </c>
      <c r="P261" s="322">
        <f>VLOOKUP($A261,[0]!ฝนใช้การ,3)/7</f>
        <v>6.2106967741935491E-2</v>
      </c>
      <c r="Q261" s="322">
        <f t="shared" si="53"/>
        <v>60</v>
      </c>
      <c r="R261" s="322">
        <f t="shared" si="49"/>
        <v>0.45068684506410828</v>
      </c>
      <c r="S261" s="322">
        <f t="shared" si="46"/>
        <v>0.52734168377378565</v>
      </c>
      <c r="T261" s="322">
        <f t="shared" si="47"/>
        <v>71.283595162647771</v>
      </c>
      <c r="U261" s="354">
        <f t="shared" si="50"/>
        <v>141</v>
      </c>
      <c r="V261" s="354">
        <f t="shared" si="54"/>
        <v>7</v>
      </c>
      <c r="W261" s="348">
        <v>30.274999999999999</v>
      </c>
      <c r="X261" s="346">
        <v>96.423000000000016</v>
      </c>
      <c r="Y261" s="566">
        <v>31.603999999999999</v>
      </c>
    </row>
    <row r="262" spans="1:25" x14ac:dyDescent="0.15">
      <c r="A262" s="201">
        <f t="shared" si="55"/>
        <v>36</v>
      </c>
      <c r="B262" s="260">
        <f t="shared" si="48"/>
        <v>40000</v>
      </c>
      <c r="C262" s="374">
        <f t="shared" si="42"/>
        <v>215.99002545100427</v>
      </c>
      <c r="D262" s="319">
        <f t="shared" si="51"/>
        <v>71.283595162647771</v>
      </c>
      <c r="E262" s="319">
        <f>VLOOKUP(MONTH(B262),[0]!Evap,3)</f>
        <v>4.9290322580645167</v>
      </c>
      <c r="F262" s="322">
        <f t="shared" si="52"/>
        <v>3.8446451612903232</v>
      </c>
      <c r="G262" s="319">
        <f t="shared" si="43"/>
        <v>11.35045129774115</v>
      </c>
      <c r="H262" s="322">
        <f t="shared" si="44"/>
        <v>4.3638457660321983E-2</v>
      </c>
      <c r="I262" s="322">
        <f>+fill_data!B306</f>
        <v>0.25286955687520152</v>
      </c>
      <c r="J262" s="322">
        <f t="shared" si="45"/>
        <v>71.492826261862646</v>
      </c>
      <c r="K262" s="322">
        <f>+fill_data!C306</f>
        <v>1.9354838709677419E-3</v>
      </c>
      <c r="L262" s="322">
        <f>+fill_data!F306</f>
        <v>0</v>
      </c>
      <c r="M262" s="322">
        <f>+fill_data!D306</f>
        <v>3.2419354838709676E-2</v>
      </c>
      <c r="N262" s="322">
        <f>++fill_data!E306</f>
        <v>4.2299999999999997E-2</v>
      </c>
      <c r="O262" s="322">
        <f>VLOOKUP($A262,[0]!ความต้องการน้ำ,3)/7</f>
        <v>0.33251907478040044</v>
      </c>
      <c r="P262" s="322">
        <f>VLOOKUP($A262,[0]!ฝนใช้การ,3)/7</f>
        <v>6.2106967741935491E-2</v>
      </c>
      <c r="Q262" s="322">
        <f t="shared" si="53"/>
        <v>60</v>
      </c>
      <c r="R262" s="322">
        <f t="shared" si="49"/>
        <v>0.45068684506410828</v>
      </c>
      <c r="S262" s="322">
        <f t="shared" si="46"/>
        <v>0.52734168377378565</v>
      </c>
      <c r="T262" s="322">
        <f t="shared" si="47"/>
        <v>70.965484578088862</v>
      </c>
      <c r="U262" s="354">
        <f t="shared" si="50"/>
        <v>141</v>
      </c>
      <c r="V262" s="354">
        <f t="shared" si="54"/>
        <v>7</v>
      </c>
      <c r="W262" s="348">
        <v>30.45</v>
      </c>
      <c r="X262" s="346">
        <v>96.53066666666669</v>
      </c>
      <c r="Y262" s="566">
        <v>31.603999999999999</v>
      </c>
    </row>
    <row r="263" spans="1:25" x14ac:dyDescent="0.15">
      <c r="A263" s="201">
        <f t="shared" si="55"/>
        <v>36</v>
      </c>
      <c r="B263" s="260">
        <f t="shared" si="48"/>
        <v>40001</v>
      </c>
      <c r="C263" s="374">
        <f t="shared" si="42"/>
        <v>215.96210431754031</v>
      </c>
      <c r="D263" s="319">
        <f t="shared" si="51"/>
        <v>70.965484578088862</v>
      </c>
      <c r="E263" s="319">
        <f>VLOOKUP(MONTH(B263),[0]!Evap,3)</f>
        <v>4.9290322580645167</v>
      </c>
      <c r="F263" s="322">
        <f t="shared" si="52"/>
        <v>3.8446451612903232</v>
      </c>
      <c r="G263" s="319">
        <f t="shared" si="43"/>
        <v>11.325666994647323</v>
      </c>
      <c r="H263" s="322">
        <f t="shared" si="44"/>
        <v>4.3543170809356345E-2</v>
      </c>
      <c r="I263" s="322">
        <f>+fill_data!B307</f>
        <v>0.25286955687520152</v>
      </c>
      <c r="J263" s="322">
        <f t="shared" si="45"/>
        <v>71.174810964154702</v>
      </c>
      <c r="K263" s="322">
        <f>+fill_data!C307</f>
        <v>1.9354838709677419E-3</v>
      </c>
      <c r="L263" s="322">
        <f>+fill_data!F307</f>
        <v>0</v>
      </c>
      <c r="M263" s="322">
        <f>+fill_data!D307</f>
        <v>3.2419354838709676E-2</v>
      </c>
      <c r="N263" s="322">
        <f>++fill_data!E307</f>
        <v>4.2299999999999997E-2</v>
      </c>
      <c r="O263" s="322">
        <f>VLOOKUP($A263,[0]!ความต้องการน้ำ,3)/7</f>
        <v>0.33251907478040044</v>
      </c>
      <c r="P263" s="322">
        <f>VLOOKUP($A263,[0]!ฝนใช้การ,3)/7</f>
        <v>6.2106967741935491E-2</v>
      </c>
      <c r="Q263" s="322">
        <f t="shared" si="53"/>
        <v>60</v>
      </c>
      <c r="R263" s="322">
        <f t="shared" si="49"/>
        <v>0.45068684506410828</v>
      </c>
      <c r="S263" s="322">
        <f t="shared" si="46"/>
        <v>0.52734168377378565</v>
      </c>
      <c r="T263" s="322">
        <f t="shared" si="47"/>
        <v>70.647469280380918</v>
      </c>
      <c r="U263" s="354">
        <f t="shared" si="50"/>
        <v>141</v>
      </c>
      <c r="V263" s="354">
        <f t="shared" si="54"/>
        <v>7</v>
      </c>
      <c r="W263" s="348">
        <v>30.625</v>
      </c>
      <c r="X263" s="346">
        <v>96.638333333333364</v>
      </c>
      <c r="Y263" s="566">
        <v>31.96</v>
      </c>
    </row>
    <row r="264" spans="1:25" x14ac:dyDescent="0.15">
      <c r="A264" s="201">
        <f t="shared" si="55"/>
        <v>36</v>
      </c>
      <c r="B264" s="260">
        <f t="shared" si="48"/>
        <v>40002</v>
      </c>
      <c r="C264" s="374">
        <f t="shared" si="42"/>
        <v>215.93419154757322</v>
      </c>
      <c r="D264" s="319">
        <f t="shared" si="51"/>
        <v>70.647469280380918</v>
      </c>
      <c r="E264" s="319">
        <f>VLOOKUP(MONTH(B264),[0]!Evap,3)</f>
        <v>4.9290322580645167</v>
      </c>
      <c r="F264" s="322">
        <f t="shared" si="52"/>
        <v>3.8446451612903232</v>
      </c>
      <c r="G264" s="319">
        <f t="shared" si="43"/>
        <v>11.300890115444147</v>
      </c>
      <c r="H264" s="322">
        <f t="shared" si="44"/>
        <v>4.3447912500615984E-2</v>
      </c>
      <c r="I264" s="322">
        <f>+fill_data!B308</f>
        <v>0.25286955687520152</v>
      </c>
      <c r="J264" s="322">
        <f t="shared" si="45"/>
        <v>70.856890924755504</v>
      </c>
      <c r="K264" s="322">
        <f>+fill_data!C308</f>
        <v>1.9354838709677419E-3</v>
      </c>
      <c r="L264" s="322">
        <f>+fill_data!F308</f>
        <v>0</v>
      </c>
      <c r="M264" s="322">
        <f>+fill_data!D308</f>
        <v>3.2419354838709676E-2</v>
      </c>
      <c r="N264" s="322">
        <f>++fill_data!E308</f>
        <v>4.2299999999999997E-2</v>
      </c>
      <c r="O264" s="322">
        <f>VLOOKUP($A264,[0]!ความต้องการน้ำ,3)/7</f>
        <v>0.33251907478040044</v>
      </c>
      <c r="P264" s="322">
        <f>VLOOKUP($A264,[0]!ฝนใช้การ,3)/7</f>
        <v>6.2106967741935491E-2</v>
      </c>
      <c r="Q264" s="322">
        <f t="shared" si="53"/>
        <v>60</v>
      </c>
      <c r="R264" s="322">
        <f t="shared" si="49"/>
        <v>0.45068684506410828</v>
      </c>
      <c r="S264" s="322">
        <f t="shared" si="46"/>
        <v>0.52734168377378565</v>
      </c>
      <c r="T264" s="322">
        <f t="shared" si="47"/>
        <v>70.32954924098172</v>
      </c>
      <c r="U264" s="354">
        <f t="shared" si="50"/>
        <v>141</v>
      </c>
      <c r="V264" s="354">
        <f t="shared" si="54"/>
        <v>7</v>
      </c>
      <c r="W264" s="348">
        <v>30.8</v>
      </c>
      <c r="X264" s="346">
        <v>96.746000000000024</v>
      </c>
      <c r="Y264" s="566">
        <v>32.137999999999998</v>
      </c>
    </row>
    <row r="265" spans="1:25" x14ac:dyDescent="0.15">
      <c r="A265" s="201">
        <f t="shared" si="55"/>
        <v>36</v>
      </c>
      <c r="B265" s="260">
        <f t="shared" si="48"/>
        <v>40003</v>
      </c>
      <c r="C265" s="374">
        <f t="shared" si="42"/>
        <v>215.90628713859783</v>
      </c>
      <c r="D265" s="319">
        <f t="shared" si="51"/>
        <v>70.32954924098172</v>
      </c>
      <c r="E265" s="319">
        <f>VLOOKUP(MONTH(B265),[0]!Evap,3)</f>
        <v>4.9290322580645167</v>
      </c>
      <c r="F265" s="322">
        <f t="shared" si="52"/>
        <v>3.8446451612903232</v>
      </c>
      <c r="G265" s="319">
        <f t="shared" si="43"/>
        <v>11.276120657907875</v>
      </c>
      <c r="H265" s="322">
        <f t="shared" si="44"/>
        <v>4.3352682725551366E-2</v>
      </c>
      <c r="I265" s="322">
        <f>+fill_data!B309</f>
        <v>0.25286955687520152</v>
      </c>
      <c r="J265" s="322">
        <f t="shared" si="45"/>
        <v>70.539066115131362</v>
      </c>
      <c r="K265" s="322">
        <f>+fill_data!C309</f>
        <v>1.9354838709677419E-3</v>
      </c>
      <c r="L265" s="322">
        <f>+fill_data!F309</f>
        <v>0</v>
      </c>
      <c r="M265" s="322">
        <f>+fill_data!D309</f>
        <v>3.2419354838709676E-2</v>
      </c>
      <c r="N265" s="322">
        <f>++fill_data!E309</f>
        <v>4.2299999999999997E-2</v>
      </c>
      <c r="O265" s="322">
        <f>VLOOKUP($A265,[0]!ความต้องการน้ำ,3)/7</f>
        <v>0.33251907478040044</v>
      </c>
      <c r="P265" s="322">
        <f>VLOOKUP($A265,[0]!ฝนใช้การ,3)/7</f>
        <v>6.2106967741935491E-2</v>
      </c>
      <c r="Q265" s="322">
        <f t="shared" si="53"/>
        <v>60</v>
      </c>
      <c r="R265" s="322">
        <f t="shared" si="49"/>
        <v>0.45068684506410828</v>
      </c>
      <c r="S265" s="322">
        <f t="shared" si="46"/>
        <v>0.52734168377378565</v>
      </c>
      <c r="T265" s="322">
        <f t="shared" si="47"/>
        <v>70.011724431357578</v>
      </c>
      <c r="U265" s="354">
        <f t="shared" si="50"/>
        <v>141</v>
      </c>
      <c r="V265" s="354">
        <f t="shared" si="54"/>
        <v>7</v>
      </c>
      <c r="W265" s="348">
        <v>30.975000000000001</v>
      </c>
      <c r="X265" s="346">
        <v>96.853666666666697</v>
      </c>
      <c r="Y265" s="566">
        <v>32.137999999999998</v>
      </c>
    </row>
    <row r="266" spans="1:25" x14ac:dyDescent="0.15">
      <c r="A266" s="201">
        <f t="shared" si="55"/>
        <v>36</v>
      </c>
      <c r="B266" s="260">
        <f t="shared" si="48"/>
        <v>40004</v>
      </c>
      <c r="C266" s="374">
        <f t="shared" si="42"/>
        <v>215.87839108810968</v>
      </c>
      <c r="D266" s="319">
        <f t="shared" si="51"/>
        <v>70.011724431357578</v>
      </c>
      <c r="E266" s="319">
        <f>VLOOKUP(MONTH(B266),[0]!Evap,3)</f>
        <v>4.9290322580645167</v>
      </c>
      <c r="F266" s="322">
        <f t="shared" si="52"/>
        <v>3.8446451612903232</v>
      </c>
      <c r="G266" s="319">
        <f t="shared" si="43"/>
        <v>11.251358619815413</v>
      </c>
      <c r="H266" s="322">
        <f t="shared" si="44"/>
        <v>4.3257481475615499E-2</v>
      </c>
      <c r="I266" s="322">
        <f>+fill_data!B310</f>
        <v>0.25286955687520152</v>
      </c>
      <c r="J266" s="322">
        <f t="shared" si="45"/>
        <v>70.221336506757154</v>
      </c>
      <c r="K266" s="322">
        <f>+fill_data!C310</f>
        <v>1.9354838709677419E-3</v>
      </c>
      <c r="L266" s="322">
        <f>+fill_data!F310</f>
        <v>0</v>
      </c>
      <c r="M266" s="322">
        <f>+fill_data!D310</f>
        <v>3.2419354838709676E-2</v>
      </c>
      <c r="N266" s="322">
        <f>++fill_data!E310</f>
        <v>4.2299999999999997E-2</v>
      </c>
      <c r="O266" s="322">
        <f>VLOOKUP($A266,[0]!ความต้องการน้ำ,3)/7</f>
        <v>0.33251907478040044</v>
      </c>
      <c r="P266" s="322">
        <f>VLOOKUP($A266,[0]!ฝนใช้การ,3)/7</f>
        <v>6.2106967741935491E-2</v>
      </c>
      <c r="Q266" s="322">
        <f t="shared" si="53"/>
        <v>60</v>
      </c>
      <c r="R266" s="322">
        <f t="shared" si="49"/>
        <v>0.45068684506410828</v>
      </c>
      <c r="S266" s="322">
        <f t="shared" si="46"/>
        <v>0.52734168377378565</v>
      </c>
      <c r="T266" s="322">
        <f t="shared" si="47"/>
        <v>69.69399482298337</v>
      </c>
      <c r="U266" s="354">
        <f t="shared" si="50"/>
        <v>141</v>
      </c>
      <c r="V266" s="354">
        <f t="shared" si="54"/>
        <v>7</v>
      </c>
      <c r="W266" s="348">
        <v>31.15</v>
      </c>
      <c r="X266" s="346">
        <v>96.961333333333371</v>
      </c>
      <c r="Y266" s="566">
        <v>32.137999999999998</v>
      </c>
    </row>
    <row r="267" spans="1:25" x14ac:dyDescent="0.15">
      <c r="A267" s="201">
        <v>37</v>
      </c>
      <c r="B267" s="260">
        <f t="shared" si="48"/>
        <v>40005</v>
      </c>
      <c r="C267" s="374">
        <f t="shared" si="42"/>
        <v>215.85050339360507</v>
      </c>
      <c r="D267" s="319">
        <f t="shared" si="51"/>
        <v>69.69399482298337</v>
      </c>
      <c r="E267" s="319">
        <f>VLOOKUP(MONTH(B267),[0]!Evap,3)</f>
        <v>4.9290322580645167</v>
      </c>
      <c r="F267" s="322">
        <f t="shared" si="52"/>
        <v>3.8446451612903232</v>
      </c>
      <c r="G267" s="319">
        <f t="shared" si="43"/>
        <v>11.226603998944347</v>
      </c>
      <c r="H267" s="322">
        <f t="shared" si="44"/>
        <v>4.3162308742263976E-2</v>
      </c>
      <c r="I267" s="322">
        <f>+fill_data!B311</f>
        <v>0.25286955687520152</v>
      </c>
      <c r="J267" s="322">
        <f t="shared" si="45"/>
        <v>69.9037020711163</v>
      </c>
      <c r="K267" s="322">
        <f>+fill_data!C311</f>
        <v>1.9354838709677419E-3</v>
      </c>
      <c r="L267" s="322">
        <f>+fill_data!F311</f>
        <v>0</v>
      </c>
      <c r="M267" s="322">
        <f>+fill_data!D311</f>
        <v>3.2419354838709676E-2</v>
      </c>
      <c r="N267" s="322">
        <f>++fill_data!E311</f>
        <v>4.2299999999999997E-2</v>
      </c>
      <c r="O267" s="322">
        <f>VLOOKUP($A267,[0]!ความต้องการน้ำ,3)/7</f>
        <v>0.4647392912357402</v>
      </c>
      <c r="P267" s="322">
        <f>VLOOKUP($A267,[0]!ฝนใช้การ,3)/7</f>
        <v>0.12830252903225808</v>
      </c>
      <c r="Q267" s="322">
        <f t="shared" si="53"/>
        <v>60</v>
      </c>
      <c r="R267" s="322">
        <f t="shared" si="49"/>
        <v>0.56072793700580359</v>
      </c>
      <c r="S267" s="322">
        <f t="shared" si="46"/>
        <v>0.63738277571548096</v>
      </c>
      <c r="T267" s="322">
        <f t="shared" si="47"/>
        <v>69.26631929540082</v>
      </c>
      <c r="U267" s="354">
        <f t="shared" si="50"/>
        <v>141</v>
      </c>
      <c r="V267" s="354">
        <f t="shared" si="54"/>
        <v>7</v>
      </c>
      <c r="W267" s="348">
        <v>31.324999999999999</v>
      </c>
      <c r="X267" s="346">
        <v>97.069000000000045</v>
      </c>
      <c r="Y267" s="566">
        <v>32.226999999999997</v>
      </c>
    </row>
    <row r="268" spans="1:25" x14ac:dyDescent="0.15">
      <c r="A268" s="201">
        <f t="shared" si="55"/>
        <v>37</v>
      </c>
      <c r="B268" s="260">
        <f t="shared" si="48"/>
        <v>40006</v>
      </c>
      <c r="C268" s="374">
        <f t="shared" si="42"/>
        <v>215.81296554964601</v>
      </c>
      <c r="D268" s="319">
        <f t="shared" si="51"/>
        <v>69.26631929540082</v>
      </c>
      <c r="E268" s="319">
        <f>VLOOKUP(MONTH(B268),[0]!Evap,3)</f>
        <v>4.9290322580645167</v>
      </c>
      <c r="F268" s="322">
        <f t="shared" si="52"/>
        <v>3.8446451612903232</v>
      </c>
      <c r="G268" s="319">
        <f t="shared" si="43"/>
        <v>11.193283385246076</v>
      </c>
      <c r="H268" s="322">
        <f t="shared" si="44"/>
        <v>4.3034202806037695E-2</v>
      </c>
      <c r="I268" s="322">
        <f>+fill_data!B312</f>
        <v>0.25286955687520152</v>
      </c>
      <c r="J268" s="322">
        <f t="shared" si="45"/>
        <v>69.476154649469976</v>
      </c>
      <c r="K268" s="322">
        <f>+fill_data!C312</f>
        <v>1.9354838709677419E-3</v>
      </c>
      <c r="L268" s="322">
        <f>+fill_data!F312</f>
        <v>0</v>
      </c>
      <c r="M268" s="322">
        <f>+fill_data!D312</f>
        <v>3.2419354838709676E-2</v>
      </c>
      <c r="N268" s="322">
        <f>++fill_data!E312</f>
        <v>4.2299999999999997E-2</v>
      </c>
      <c r="O268" s="322">
        <f>VLOOKUP($A268,[0]!ความต้องการน้ำ,3)/7</f>
        <v>0.4647392912357402</v>
      </c>
      <c r="P268" s="322">
        <f>VLOOKUP($A268,[0]!ฝนใช้การ,3)/7</f>
        <v>0.12830252903225808</v>
      </c>
      <c r="Q268" s="322">
        <f t="shared" si="53"/>
        <v>60</v>
      </c>
      <c r="R268" s="322">
        <f t="shared" si="49"/>
        <v>0.56072793700580359</v>
      </c>
      <c r="S268" s="322">
        <f t="shared" si="46"/>
        <v>0.63738277571548096</v>
      </c>
      <c r="T268" s="322">
        <f t="shared" si="47"/>
        <v>68.838771873754496</v>
      </c>
      <c r="U268" s="354">
        <f t="shared" si="50"/>
        <v>141</v>
      </c>
      <c r="V268" s="354">
        <f t="shared" si="54"/>
        <v>7</v>
      </c>
      <c r="W268" s="348">
        <v>31.5</v>
      </c>
      <c r="X268" s="346">
        <v>97.176666666666719</v>
      </c>
      <c r="Y268" s="566">
        <v>32.226999999999997</v>
      </c>
    </row>
    <row r="269" spans="1:25" x14ac:dyDescent="0.15">
      <c r="A269" s="201">
        <f t="shared" si="55"/>
        <v>37</v>
      </c>
      <c r="B269" s="260">
        <f t="shared" si="48"/>
        <v>40007</v>
      </c>
      <c r="C269" s="374">
        <f t="shared" si="42"/>
        <v>215.77543894977347</v>
      </c>
      <c r="D269" s="319">
        <f t="shared" si="51"/>
        <v>68.838771873754496</v>
      </c>
      <c r="E269" s="319">
        <f>VLOOKUP(MONTH(B269),[0]!Evap,3)</f>
        <v>4.9290322580645167</v>
      </c>
      <c r="F269" s="322">
        <f t="shared" si="52"/>
        <v>3.8446451612903232</v>
      </c>
      <c r="G269" s="319">
        <f t="shared" si="43"/>
        <v>11.15997275240511</v>
      </c>
      <c r="H269" s="322">
        <f t="shared" si="44"/>
        <v>4.2906135242666163E-2</v>
      </c>
      <c r="I269" s="322">
        <f>+fill_data!B313</f>
        <v>0.25286955687520152</v>
      </c>
      <c r="J269" s="322">
        <f t="shared" si="45"/>
        <v>69.048735295387033</v>
      </c>
      <c r="K269" s="322">
        <f>+fill_data!C313</f>
        <v>1.9354838709677419E-3</v>
      </c>
      <c r="L269" s="322">
        <f>+fill_data!F313</f>
        <v>0</v>
      </c>
      <c r="M269" s="322">
        <f>+fill_data!D313</f>
        <v>3.2419354838709676E-2</v>
      </c>
      <c r="N269" s="322">
        <f>++fill_data!E313</f>
        <v>4.2299999999999997E-2</v>
      </c>
      <c r="O269" s="322">
        <f>VLOOKUP($A269,[0]!ความต้องการน้ำ,3)/7</f>
        <v>0.4647392912357402</v>
      </c>
      <c r="P269" s="322">
        <f>VLOOKUP($A269,[0]!ฝนใช้การ,3)/7</f>
        <v>0.12830252903225808</v>
      </c>
      <c r="Q269" s="322">
        <f t="shared" si="53"/>
        <v>60</v>
      </c>
      <c r="R269" s="322">
        <f t="shared" si="49"/>
        <v>0.56072793700580359</v>
      </c>
      <c r="S269" s="322">
        <f t="shared" si="46"/>
        <v>0.63738277571548096</v>
      </c>
      <c r="T269" s="322">
        <f t="shared" si="47"/>
        <v>68.411352519671553</v>
      </c>
      <c r="U269" s="354">
        <f t="shared" si="50"/>
        <v>141</v>
      </c>
      <c r="V269" s="354">
        <f t="shared" si="54"/>
        <v>7</v>
      </c>
      <c r="W269" s="348">
        <v>31.675000000000001</v>
      </c>
      <c r="X269" s="346">
        <v>97.284333333333393</v>
      </c>
      <c r="Y269" s="566">
        <v>32.226999999999997</v>
      </c>
    </row>
    <row r="270" spans="1:25" x14ac:dyDescent="0.15">
      <c r="A270" s="201">
        <f t="shared" si="55"/>
        <v>37</v>
      </c>
      <c r="B270" s="260">
        <f t="shared" si="48"/>
        <v>40008</v>
      </c>
      <c r="C270" s="374">
        <f t="shared" si="42"/>
        <v>215.73792359061943</v>
      </c>
      <c r="D270" s="319">
        <f t="shared" si="51"/>
        <v>68.411352519671553</v>
      </c>
      <c r="E270" s="319">
        <f>VLOOKUP(MONTH(B270),[0]!Evap,3)</f>
        <v>4.9290322580645167</v>
      </c>
      <c r="F270" s="322">
        <f t="shared" si="52"/>
        <v>3.8446451612903232</v>
      </c>
      <c r="G270" s="319">
        <f t="shared" si="43"/>
        <v>11.126672097431783</v>
      </c>
      <c r="H270" s="322">
        <f t="shared" si="44"/>
        <v>4.2778106040655156E-2</v>
      </c>
      <c r="I270" s="322">
        <f>+fill_data!B314</f>
        <v>0.25286955687520152</v>
      </c>
      <c r="J270" s="322">
        <f t="shared" si="45"/>
        <v>68.621443970506093</v>
      </c>
      <c r="K270" s="322">
        <f>+fill_data!C314</f>
        <v>1.9354838709677419E-3</v>
      </c>
      <c r="L270" s="322">
        <f>+fill_data!F314</f>
        <v>0</v>
      </c>
      <c r="M270" s="322">
        <f>+fill_data!D314</f>
        <v>3.2419354838709676E-2</v>
      </c>
      <c r="N270" s="322">
        <f>++fill_data!E314</f>
        <v>4.2299999999999997E-2</v>
      </c>
      <c r="O270" s="322">
        <f>VLOOKUP($A270,[0]!ความต้องการน้ำ,3)/7</f>
        <v>0.4647392912357402</v>
      </c>
      <c r="P270" s="322">
        <f>VLOOKUP($A270,[0]!ฝนใช้การ,3)/7</f>
        <v>0.12830252903225808</v>
      </c>
      <c r="Q270" s="322">
        <f t="shared" si="53"/>
        <v>60</v>
      </c>
      <c r="R270" s="322">
        <f t="shared" si="49"/>
        <v>0.56072793700580359</v>
      </c>
      <c r="S270" s="322">
        <f t="shared" si="46"/>
        <v>0.63738277571548096</v>
      </c>
      <c r="T270" s="322">
        <f t="shared" si="47"/>
        <v>67.984061194790613</v>
      </c>
      <c r="U270" s="354">
        <f t="shared" si="50"/>
        <v>141</v>
      </c>
      <c r="V270" s="354">
        <f t="shared" si="54"/>
        <v>7</v>
      </c>
      <c r="W270" s="348">
        <v>31.85</v>
      </c>
      <c r="X270" s="346">
        <v>97.392000000000053</v>
      </c>
      <c r="Y270" s="566">
        <v>32.226999999999997</v>
      </c>
    </row>
    <row r="271" spans="1:25" x14ac:dyDescent="0.15">
      <c r="A271" s="201">
        <f t="shared" si="55"/>
        <v>37</v>
      </c>
      <c r="B271" s="260">
        <f t="shared" si="48"/>
        <v>40009</v>
      </c>
      <c r="C271" s="374">
        <f t="shared" ref="C271:C334" si="56">+(D271-VLOOKUP(D271,capacitycurveุ,1))*VLOOKUP(D271,capacitycurveุ,6)/VLOOKUP(D271,capacitycurveุ,5)+VLOOKUP(D271,capacitycurveุ,2)</f>
        <v>215.70041946881685</v>
      </c>
      <c r="D271" s="319">
        <f t="shared" si="51"/>
        <v>67.984061194790613</v>
      </c>
      <c r="E271" s="319">
        <f>VLOOKUP(MONTH(B271),[0]!Evap,3)</f>
        <v>4.9290322580645167</v>
      </c>
      <c r="F271" s="322">
        <f t="shared" si="52"/>
        <v>3.8446451612903232</v>
      </c>
      <c r="G271" s="319">
        <f t="shared" ref="G271:G334" si="57">+(D271-VLOOKUP(D271,capacitycurveุ,1))*VLOOKUP(D271,capacitycurveุ,7)/VLOOKUP(D271,capacitycurveุ,5)+VLOOKUP(D271,capacitycurveุ,3)</f>
        <v>11.093381417337323</v>
      </c>
      <c r="H271" s="322">
        <f t="shared" ref="H271:H334" si="58">F271/1000*G271</f>
        <v>4.2650115188513929E-2</v>
      </c>
      <c r="I271" s="322">
        <f>+fill_data!B315</f>
        <v>0.25286955687520152</v>
      </c>
      <c r="J271" s="322">
        <f t="shared" ref="J271:J334" si="59">D271-H271+I271</f>
        <v>68.194280636477302</v>
      </c>
      <c r="K271" s="322">
        <f>+fill_data!C315</f>
        <v>1.9354838709677419E-3</v>
      </c>
      <c r="L271" s="322">
        <f>+fill_data!F315</f>
        <v>0</v>
      </c>
      <c r="M271" s="322">
        <f>+fill_data!D315</f>
        <v>3.2419354838709676E-2</v>
      </c>
      <c r="N271" s="322">
        <f>++fill_data!E315</f>
        <v>4.2299999999999997E-2</v>
      </c>
      <c r="O271" s="322">
        <f>VLOOKUP($A271,[0]!ความต้องการน้ำ,3)/7</f>
        <v>0.4647392912357402</v>
      </c>
      <c r="P271" s="322">
        <f>VLOOKUP($A271,[0]!ฝนใช้การ,3)/7</f>
        <v>0.12830252903225808</v>
      </c>
      <c r="Q271" s="322">
        <f t="shared" si="53"/>
        <v>60</v>
      </c>
      <c r="R271" s="322">
        <f t="shared" si="49"/>
        <v>0.56072793700580359</v>
      </c>
      <c r="S271" s="322">
        <f t="shared" ref="S271:S334" si="60">K271+L271+M271+N271+R271</f>
        <v>0.63738277571548096</v>
      </c>
      <c r="T271" s="322">
        <f t="shared" ref="T271:T334" si="61">J271-S271</f>
        <v>67.556897860761822</v>
      </c>
      <c r="U271" s="354">
        <f t="shared" si="50"/>
        <v>141</v>
      </c>
      <c r="V271" s="354">
        <f t="shared" si="54"/>
        <v>7</v>
      </c>
      <c r="W271" s="348">
        <v>32.024999999999999</v>
      </c>
      <c r="X271" s="346">
        <v>97.499666666666727</v>
      </c>
      <c r="Y271" s="566">
        <v>31.870999999999999</v>
      </c>
    </row>
    <row r="272" spans="1:25" x14ac:dyDescent="0.15">
      <c r="A272" s="201">
        <f t="shared" si="55"/>
        <v>37</v>
      </c>
      <c r="B272" s="260">
        <f t="shared" ref="B272:B335" si="62">+B271+1</f>
        <v>40010</v>
      </c>
      <c r="C272" s="374">
        <f t="shared" si="56"/>
        <v>215.66292658099965</v>
      </c>
      <c r="D272" s="319">
        <f t="shared" si="51"/>
        <v>67.556897860761822</v>
      </c>
      <c r="E272" s="319">
        <f>VLOOKUP(MONTH(B272),[0]!Evap,3)</f>
        <v>4.9290322580645167</v>
      </c>
      <c r="F272" s="322">
        <f t="shared" si="52"/>
        <v>3.8446451612903232</v>
      </c>
      <c r="G272" s="319">
        <f t="shared" si="57"/>
        <v>11.060100709133856</v>
      </c>
      <c r="H272" s="322">
        <f t="shared" si="58"/>
        <v>4.2522162674755157E-2</v>
      </c>
      <c r="I272" s="322">
        <f>+fill_data!B316</f>
        <v>0.25286955687520152</v>
      </c>
      <c r="J272" s="322">
        <f t="shared" si="59"/>
        <v>67.767245254962262</v>
      </c>
      <c r="K272" s="322">
        <f>+fill_data!C316</f>
        <v>1.9354838709677419E-3</v>
      </c>
      <c r="L272" s="322">
        <f>+fill_data!F316</f>
        <v>0</v>
      </c>
      <c r="M272" s="322">
        <f>+fill_data!D316</f>
        <v>3.2419354838709676E-2</v>
      </c>
      <c r="N272" s="322">
        <f>++fill_data!E316</f>
        <v>4.2299999999999997E-2</v>
      </c>
      <c r="O272" s="322">
        <f>VLOOKUP($A272,[0]!ความต้องการน้ำ,3)/7</f>
        <v>0.4647392912357402</v>
      </c>
      <c r="P272" s="322">
        <f>VLOOKUP($A272,[0]!ฝนใช้การ,3)/7</f>
        <v>0.12830252903225808</v>
      </c>
      <c r="Q272" s="322">
        <f t="shared" si="53"/>
        <v>60</v>
      </c>
      <c r="R272" s="322">
        <f t="shared" ref="R272:R335" si="63">IF((O272-P272)&lt;=0,0,+(O272-P272)/(Q272/100))</f>
        <v>0.56072793700580359</v>
      </c>
      <c r="S272" s="322">
        <f t="shared" si="60"/>
        <v>0.63738277571548096</v>
      </c>
      <c r="T272" s="322">
        <f t="shared" si="61"/>
        <v>67.129862479246782</v>
      </c>
      <c r="U272" s="354">
        <f t="shared" ref="U272:U335" si="64">+U271</f>
        <v>141</v>
      </c>
      <c r="V272" s="354">
        <f t="shared" si="54"/>
        <v>7</v>
      </c>
      <c r="W272" s="348">
        <v>32.200000000000003</v>
      </c>
      <c r="X272" s="346">
        <v>97.607333333333401</v>
      </c>
      <c r="Y272" s="566">
        <v>31.513999999999999</v>
      </c>
    </row>
    <row r="273" spans="1:25" x14ac:dyDescent="0.15">
      <c r="A273" s="201">
        <f t="shared" si="55"/>
        <v>37</v>
      </c>
      <c r="B273" s="260">
        <f t="shared" si="62"/>
        <v>40011</v>
      </c>
      <c r="C273" s="374">
        <f t="shared" si="56"/>
        <v>215.62544492380286</v>
      </c>
      <c r="D273" s="319">
        <f t="shared" ref="D273:D336" si="65">IF(T272&gt;U272,U272,T272)</f>
        <v>67.129862479246782</v>
      </c>
      <c r="E273" s="319">
        <f>VLOOKUP(MONTH(B273),[0]!Evap,3)</f>
        <v>4.9290322580645167</v>
      </c>
      <c r="F273" s="322">
        <f t="shared" ref="F273:F336" si="66">E273*0.78</f>
        <v>3.8446451612903232</v>
      </c>
      <c r="G273" s="319">
        <f t="shared" si="57"/>
        <v>11.026829969834401</v>
      </c>
      <c r="H273" s="322">
        <f t="shared" si="58"/>
        <v>4.2394248487894949E-2</v>
      </c>
      <c r="I273" s="322">
        <f>+fill_data!B317</f>
        <v>0.25286955687520152</v>
      </c>
      <c r="J273" s="322">
        <f t="shared" si="59"/>
        <v>67.340337787634084</v>
      </c>
      <c r="K273" s="322">
        <f>+fill_data!C317</f>
        <v>1.9354838709677419E-3</v>
      </c>
      <c r="L273" s="322">
        <f>+fill_data!F317</f>
        <v>0</v>
      </c>
      <c r="M273" s="322">
        <f>+fill_data!D317</f>
        <v>3.2419354838709676E-2</v>
      </c>
      <c r="N273" s="322">
        <f>++fill_data!E317</f>
        <v>4.2299999999999997E-2</v>
      </c>
      <c r="O273" s="322">
        <f>VLOOKUP($A273,[0]!ความต้องการน้ำ,3)/7</f>
        <v>0.4647392912357402</v>
      </c>
      <c r="P273" s="322">
        <f>VLOOKUP($A273,[0]!ฝนใช้การ,3)/7</f>
        <v>0.12830252903225808</v>
      </c>
      <c r="Q273" s="322">
        <f t="shared" ref="Q273:Q336" si="67">+Q272</f>
        <v>60</v>
      </c>
      <c r="R273" s="322">
        <f t="shared" si="63"/>
        <v>0.56072793700580359</v>
      </c>
      <c r="S273" s="322">
        <f t="shared" si="60"/>
        <v>0.63738277571548096</v>
      </c>
      <c r="T273" s="322">
        <f t="shared" si="61"/>
        <v>66.702955011918604</v>
      </c>
      <c r="U273" s="354">
        <f t="shared" si="64"/>
        <v>141</v>
      </c>
      <c r="V273" s="354">
        <f t="shared" ref="V273:V336" si="68">+V272</f>
        <v>7</v>
      </c>
      <c r="W273" s="348">
        <v>32.375</v>
      </c>
      <c r="X273" s="346">
        <v>97.715000000000074</v>
      </c>
      <c r="Y273" s="566">
        <v>31.247</v>
      </c>
    </row>
    <row r="274" spans="1:25" x14ac:dyDescent="0.15">
      <c r="A274" s="201">
        <v>38</v>
      </c>
      <c r="B274" s="260">
        <f t="shared" si="62"/>
        <v>40012</v>
      </c>
      <c r="C274" s="374">
        <f t="shared" si="56"/>
        <v>215.58797449386239</v>
      </c>
      <c r="D274" s="319">
        <f t="shared" si="65"/>
        <v>66.702955011918604</v>
      </c>
      <c r="E274" s="319">
        <f>VLOOKUP(MONTH(B274),[0]!Evap,3)</f>
        <v>4.9290322580645167</v>
      </c>
      <c r="F274" s="322">
        <f t="shared" si="66"/>
        <v>3.8446451612903232</v>
      </c>
      <c r="G274" s="319">
        <f t="shared" si="57"/>
        <v>10.993569196452871</v>
      </c>
      <c r="H274" s="322">
        <f t="shared" si="58"/>
        <v>4.2266372616452878E-2</v>
      </c>
      <c r="I274" s="322">
        <f>+fill_data!B318</f>
        <v>0.25286955687520152</v>
      </c>
      <c r="J274" s="322">
        <f t="shared" si="59"/>
        <v>66.913558196177348</v>
      </c>
      <c r="K274" s="322">
        <f>+fill_data!C318</f>
        <v>1.9354838709677419E-3</v>
      </c>
      <c r="L274" s="322">
        <f>+fill_data!F318</f>
        <v>0</v>
      </c>
      <c r="M274" s="322">
        <f>+fill_data!D318</f>
        <v>3.2419354838709676E-2</v>
      </c>
      <c r="N274" s="322">
        <f>++fill_data!E318</f>
        <v>4.2299999999999997E-2</v>
      </c>
      <c r="O274" s="322">
        <f>VLOOKUP($A274,[0]!ความต้องการน้ำ,3)/7</f>
        <v>0.6563878981302651</v>
      </c>
      <c r="P274" s="322">
        <f>VLOOKUP($A274,[0]!ฝนใช้การ,3)/7</f>
        <v>0.20733478709677425</v>
      </c>
      <c r="Q274" s="322">
        <f t="shared" si="67"/>
        <v>60</v>
      </c>
      <c r="R274" s="322">
        <f t="shared" si="63"/>
        <v>0.74842185172248488</v>
      </c>
      <c r="S274" s="322">
        <f t="shared" si="60"/>
        <v>0.82507669043216225</v>
      </c>
      <c r="T274" s="322">
        <f t="shared" si="61"/>
        <v>66.088481505745193</v>
      </c>
      <c r="U274" s="354">
        <f t="shared" si="64"/>
        <v>141</v>
      </c>
      <c r="V274" s="354">
        <f t="shared" si="68"/>
        <v>7</v>
      </c>
      <c r="W274" s="348">
        <v>32.549999999999997</v>
      </c>
      <c r="X274" s="346">
        <v>97.822666666666748</v>
      </c>
      <c r="Y274" s="566">
        <v>31.068999999999999</v>
      </c>
    </row>
    <row r="275" spans="1:25" x14ac:dyDescent="0.15">
      <c r="A275" s="201">
        <f t="shared" si="55"/>
        <v>38</v>
      </c>
      <c r="B275" s="260">
        <f t="shared" si="62"/>
        <v>40013</v>
      </c>
      <c r="C275" s="374">
        <f t="shared" si="56"/>
        <v>215.5340410581054</v>
      </c>
      <c r="D275" s="319">
        <f t="shared" si="65"/>
        <v>66.088481505745193</v>
      </c>
      <c r="E275" s="319">
        <f>VLOOKUP(MONTH(B275),[0]!Evap,3)</f>
        <v>4.9290322580645167</v>
      </c>
      <c r="F275" s="322">
        <f t="shared" si="66"/>
        <v>3.8446451612903232</v>
      </c>
      <c r="G275" s="319">
        <f t="shared" si="57"/>
        <v>10.945694971704125</v>
      </c>
      <c r="H275" s="322">
        <f t="shared" si="58"/>
        <v>4.2082313209922083E-2</v>
      </c>
      <c r="I275" s="322">
        <f>+fill_data!B319</f>
        <v>0.25286955687520152</v>
      </c>
      <c r="J275" s="322">
        <f t="shared" si="59"/>
        <v>66.299268749410473</v>
      </c>
      <c r="K275" s="322">
        <f>+fill_data!C319</f>
        <v>1.9354838709677419E-3</v>
      </c>
      <c r="L275" s="322">
        <f>+fill_data!F319</f>
        <v>0</v>
      </c>
      <c r="M275" s="322">
        <f>+fill_data!D319</f>
        <v>3.2419354838709676E-2</v>
      </c>
      <c r="N275" s="322">
        <f>++fill_data!E319</f>
        <v>4.2299999999999997E-2</v>
      </c>
      <c r="O275" s="322">
        <f>VLOOKUP($A275,[0]!ความต้องการน้ำ,3)/7</f>
        <v>0.6563878981302651</v>
      </c>
      <c r="P275" s="322">
        <f>VLOOKUP($A275,[0]!ฝนใช้การ,3)/7</f>
        <v>0.20733478709677425</v>
      </c>
      <c r="Q275" s="322">
        <f t="shared" si="67"/>
        <v>60</v>
      </c>
      <c r="R275" s="322">
        <f t="shared" si="63"/>
        <v>0.74842185172248488</v>
      </c>
      <c r="S275" s="322">
        <f t="shared" si="60"/>
        <v>0.82507669043216225</v>
      </c>
      <c r="T275" s="322">
        <f t="shared" si="61"/>
        <v>65.474192058978304</v>
      </c>
      <c r="U275" s="354">
        <f t="shared" si="64"/>
        <v>141</v>
      </c>
      <c r="V275" s="354">
        <f t="shared" si="68"/>
        <v>7</v>
      </c>
      <c r="W275" s="348">
        <v>32.725000000000001</v>
      </c>
      <c r="X275" s="346">
        <v>97.930333333333422</v>
      </c>
      <c r="Y275" s="566">
        <v>30.826000000000001</v>
      </c>
    </row>
    <row r="276" spans="1:25" x14ac:dyDescent="0.15">
      <c r="A276" s="201">
        <f t="shared" si="55"/>
        <v>38</v>
      </c>
      <c r="B276" s="260">
        <f t="shared" si="62"/>
        <v>40014</v>
      </c>
      <c r="C276" s="374">
        <f t="shared" si="56"/>
        <v>215.47928210213857</v>
      </c>
      <c r="D276" s="319">
        <f t="shared" si="65"/>
        <v>65.474192058978304</v>
      </c>
      <c r="E276" s="319">
        <f>VLOOKUP(MONTH(B276),[0]!Evap,3)</f>
        <v>4.9290322580645167</v>
      </c>
      <c r="F276" s="322">
        <f t="shared" si="66"/>
        <v>3.8446451612903232</v>
      </c>
      <c r="G276" s="319">
        <f t="shared" si="57"/>
        <v>10.902598652188832</v>
      </c>
      <c r="H276" s="322">
        <f t="shared" si="58"/>
        <v>4.1916623153628194E-2</v>
      </c>
      <c r="I276" s="322">
        <f>+fill_data!B320</f>
        <v>0.25286955687520152</v>
      </c>
      <c r="J276" s="322">
        <f t="shared" si="59"/>
        <v>65.685144992699875</v>
      </c>
      <c r="K276" s="322">
        <f>+fill_data!C320</f>
        <v>1.9354838709677419E-3</v>
      </c>
      <c r="L276" s="322">
        <f>+fill_data!F320</f>
        <v>0</v>
      </c>
      <c r="M276" s="322">
        <f>+fill_data!D320</f>
        <v>3.2419354838709676E-2</v>
      </c>
      <c r="N276" s="322">
        <f>++fill_data!E320</f>
        <v>4.2299999999999997E-2</v>
      </c>
      <c r="O276" s="322">
        <f>VLOOKUP($A276,[0]!ความต้องการน้ำ,3)/7</f>
        <v>0.6563878981302651</v>
      </c>
      <c r="P276" s="322">
        <f>VLOOKUP($A276,[0]!ฝนใช้การ,3)/7</f>
        <v>0.20733478709677425</v>
      </c>
      <c r="Q276" s="322">
        <f t="shared" si="67"/>
        <v>60</v>
      </c>
      <c r="R276" s="322">
        <f t="shared" si="63"/>
        <v>0.74842185172248488</v>
      </c>
      <c r="S276" s="322">
        <f t="shared" si="60"/>
        <v>0.82507669043216225</v>
      </c>
      <c r="T276" s="322">
        <f t="shared" si="61"/>
        <v>64.860068302267706</v>
      </c>
      <c r="U276" s="354">
        <f t="shared" si="64"/>
        <v>141</v>
      </c>
      <c r="V276" s="354">
        <f t="shared" si="68"/>
        <v>7</v>
      </c>
      <c r="W276" s="348">
        <v>32.9</v>
      </c>
      <c r="X276" s="346">
        <v>98.038000000000096</v>
      </c>
      <c r="Y276" s="566">
        <v>30.516999999999999</v>
      </c>
    </row>
    <row r="277" spans="1:25" x14ac:dyDescent="0.15">
      <c r="A277" s="201">
        <f t="shared" ref="A277:A340" si="69">+A276</f>
        <v>38</v>
      </c>
      <c r="B277" s="260">
        <f t="shared" si="62"/>
        <v>40015</v>
      </c>
      <c r="C277" s="374">
        <f t="shared" si="56"/>
        <v>215.42309680754857</v>
      </c>
      <c r="D277" s="319">
        <f t="shared" si="65"/>
        <v>64.860068302267706</v>
      </c>
      <c r="E277" s="319">
        <f>VLOOKUP(MONTH(B277),[0]!Evap,3)</f>
        <v>4.9290322580645167</v>
      </c>
      <c r="F277" s="322">
        <f t="shared" si="66"/>
        <v>3.8446451612903232</v>
      </c>
      <c r="G277" s="319">
        <f t="shared" si="57"/>
        <v>10.867670086912858</v>
      </c>
      <c r="H277" s="322">
        <f t="shared" si="58"/>
        <v>4.1782335214149105E-2</v>
      </c>
      <c r="I277" s="322">
        <f>+fill_data!B321</f>
        <v>0.25286955687520152</v>
      </c>
      <c r="J277" s="322">
        <f t="shared" si="59"/>
        <v>65.071155523928752</v>
      </c>
      <c r="K277" s="322">
        <f>+fill_data!C321</f>
        <v>1.9354838709677419E-3</v>
      </c>
      <c r="L277" s="322">
        <f>+fill_data!F321</f>
        <v>0</v>
      </c>
      <c r="M277" s="322">
        <f>+fill_data!D321</f>
        <v>3.2419354838709676E-2</v>
      </c>
      <c r="N277" s="322">
        <f>++fill_data!E321</f>
        <v>4.2299999999999997E-2</v>
      </c>
      <c r="O277" s="322">
        <f>VLOOKUP($A277,[0]!ความต้องการน้ำ,3)/7</f>
        <v>0.6563878981302651</v>
      </c>
      <c r="P277" s="322">
        <f>VLOOKUP($A277,[0]!ฝนใช้การ,3)/7</f>
        <v>0.20733478709677425</v>
      </c>
      <c r="Q277" s="322">
        <f t="shared" si="67"/>
        <v>60</v>
      </c>
      <c r="R277" s="322">
        <f t="shared" si="63"/>
        <v>0.74842185172248488</v>
      </c>
      <c r="S277" s="322">
        <f t="shared" si="60"/>
        <v>0.82507669043216225</v>
      </c>
      <c r="T277" s="322">
        <f t="shared" si="61"/>
        <v>64.246078833496597</v>
      </c>
      <c r="U277" s="354">
        <f t="shared" si="64"/>
        <v>141</v>
      </c>
      <c r="V277" s="354">
        <f t="shared" si="68"/>
        <v>7</v>
      </c>
      <c r="W277" s="348">
        <v>33.075000000000003</v>
      </c>
      <c r="X277" s="346">
        <v>98.145666666666756</v>
      </c>
      <c r="Y277" s="566">
        <v>30.826000000000001</v>
      </c>
    </row>
    <row r="278" spans="1:25" x14ac:dyDescent="0.15">
      <c r="A278" s="201">
        <f t="shared" si="69"/>
        <v>38</v>
      </c>
      <c r="B278" s="260">
        <f t="shared" si="62"/>
        <v>40016</v>
      </c>
      <c r="C278" s="374">
        <f t="shared" si="56"/>
        <v>215.366923798768</v>
      </c>
      <c r="D278" s="319">
        <f t="shared" si="65"/>
        <v>64.246078833496597</v>
      </c>
      <c r="E278" s="319">
        <f>VLOOKUP(MONTH(B278),[0]!Evap,3)</f>
        <v>4.9290322580645167</v>
      </c>
      <c r="F278" s="322">
        <f t="shared" si="66"/>
        <v>3.8446451612903232</v>
      </c>
      <c r="G278" s="319">
        <f t="shared" si="57"/>
        <v>10.832749159323928</v>
      </c>
      <c r="H278" s="322">
        <f t="shared" si="58"/>
        <v>4.1648076638866556E-2</v>
      </c>
      <c r="I278" s="322">
        <f>+fill_data!B322</f>
        <v>0.25286955687520152</v>
      </c>
      <c r="J278" s="322">
        <f t="shared" si="59"/>
        <v>64.457300313732929</v>
      </c>
      <c r="K278" s="322">
        <f>+fill_data!C322</f>
        <v>1.9354838709677419E-3</v>
      </c>
      <c r="L278" s="322">
        <f>+fill_data!F322</f>
        <v>0</v>
      </c>
      <c r="M278" s="322">
        <f>+fill_data!D322</f>
        <v>3.2419354838709676E-2</v>
      </c>
      <c r="N278" s="322">
        <f>++fill_data!E322</f>
        <v>4.2299999999999997E-2</v>
      </c>
      <c r="O278" s="322">
        <f>VLOOKUP($A278,[0]!ความต้องการน้ำ,3)/7</f>
        <v>0.6563878981302651</v>
      </c>
      <c r="P278" s="322">
        <f>VLOOKUP($A278,[0]!ฝนใช้การ,3)/7</f>
        <v>0.20733478709677425</v>
      </c>
      <c r="Q278" s="322">
        <f t="shared" si="67"/>
        <v>60</v>
      </c>
      <c r="R278" s="322">
        <f t="shared" si="63"/>
        <v>0.74842185172248488</v>
      </c>
      <c r="S278" s="322">
        <f t="shared" si="60"/>
        <v>0.82507669043216225</v>
      </c>
      <c r="T278" s="322">
        <f t="shared" si="61"/>
        <v>63.632223623300767</v>
      </c>
      <c r="U278" s="354">
        <f t="shared" si="64"/>
        <v>141</v>
      </c>
      <c r="V278" s="354">
        <f t="shared" si="68"/>
        <v>7</v>
      </c>
      <c r="W278" s="348">
        <v>33.25</v>
      </c>
      <c r="X278" s="346">
        <v>98.25333333333343</v>
      </c>
      <c r="Y278" s="566">
        <v>31.068999999999999</v>
      </c>
    </row>
    <row r="279" spans="1:25" x14ac:dyDescent="0.15">
      <c r="A279" s="201">
        <f t="shared" si="69"/>
        <v>38</v>
      </c>
      <c r="B279" s="260">
        <f t="shared" si="62"/>
        <v>40017</v>
      </c>
      <c r="C279" s="374">
        <f t="shared" si="56"/>
        <v>215.31076307311037</v>
      </c>
      <c r="D279" s="319">
        <f t="shared" si="65"/>
        <v>63.632223623300767</v>
      </c>
      <c r="E279" s="319">
        <f>VLOOKUP(MONTH(B279),[0]!Evap,3)</f>
        <v>4.9290322580645167</v>
      </c>
      <c r="F279" s="322">
        <f t="shared" si="66"/>
        <v>3.8446451612903232</v>
      </c>
      <c r="G279" s="319">
        <f t="shared" si="57"/>
        <v>10.797835867751939</v>
      </c>
      <c r="H279" s="322">
        <f t="shared" si="58"/>
        <v>4.1513847421359593E-2</v>
      </c>
      <c r="I279" s="322">
        <f>+fill_data!B323</f>
        <v>0.25286955687520152</v>
      </c>
      <c r="J279" s="322">
        <f t="shared" si="59"/>
        <v>63.843579332754615</v>
      </c>
      <c r="K279" s="322">
        <f>+fill_data!C323</f>
        <v>1.9354838709677419E-3</v>
      </c>
      <c r="L279" s="322">
        <f>+fill_data!F323</f>
        <v>0</v>
      </c>
      <c r="M279" s="322">
        <f>+fill_data!D323</f>
        <v>3.2419354838709676E-2</v>
      </c>
      <c r="N279" s="322">
        <f>++fill_data!E323</f>
        <v>4.2299999999999997E-2</v>
      </c>
      <c r="O279" s="322">
        <f>VLOOKUP($A279,[0]!ความต้องการน้ำ,3)/7</f>
        <v>0.6563878981302651</v>
      </c>
      <c r="P279" s="322">
        <f>VLOOKUP($A279,[0]!ฝนใช้การ,3)/7</f>
        <v>0.20733478709677425</v>
      </c>
      <c r="Q279" s="322">
        <f t="shared" si="67"/>
        <v>60</v>
      </c>
      <c r="R279" s="322">
        <f t="shared" si="63"/>
        <v>0.74842185172248488</v>
      </c>
      <c r="S279" s="322">
        <f t="shared" si="60"/>
        <v>0.82507669043216225</v>
      </c>
      <c r="T279" s="322">
        <f t="shared" si="61"/>
        <v>63.018502642322453</v>
      </c>
      <c r="U279" s="354">
        <f t="shared" si="64"/>
        <v>141</v>
      </c>
      <c r="V279" s="354">
        <f t="shared" si="68"/>
        <v>7</v>
      </c>
      <c r="W279" s="348">
        <v>33.424999999999997</v>
      </c>
      <c r="X279" s="346">
        <v>98.361000000000104</v>
      </c>
      <c r="Y279" s="566">
        <v>31.247</v>
      </c>
    </row>
    <row r="280" spans="1:25" x14ac:dyDescent="0.15">
      <c r="A280" s="201">
        <f t="shared" si="69"/>
        <v>38</v>
      </c>
      <c r="B280" s="260">
        <f t="shared" si="62"/>
        <v>40018</v>
      </c>
      <c r="C280" s="374">
        <f t="shared" si="56"/>
        <v>215.25461462788977</v>
      </c>
      <c r="D280" s="319">
        <f t="shared" si="65"/>
        <v>63.018502642322453</v>
      </c>
      <c r="E280" s="319">
        <f>VLOOKUP(MONTH(B280),[0]!Evap,3)</f>
        <v>4.9290322580645167</v>
      </c>
      <c r="F280" s="322">
        <f t="shared" si="66"/>
        <v>3.8446451612903232</v>
      </c>
      <c r="G280" s="319">
        <f t="shared" si="57"/>
        <v>10.762930210527156</v>
      </c>
      <c r="H280" s="322">
        <f t="shared" si="58"/>
        <v>4.1379647555208669E-2</v>
      </c>
      <c r="I280" s="322">
        <f>+fill_data!B324</f>
        <v>0.25286955687520152</v>
      </c>
      <c r="J280" s="322">
        <f t="shared" si="59"/>
        <v>63.229992551642447</v>
      </c>
      <c r="K280" s="322">
        <f>+fill_data!C324</f>
        <v>1.9354838709677419E-3</v>
      </c>
      <c r="L280" s="322">
        <f>+fill_data!F324</f>
        <v>0</v>
      </c>
      <c r="M280" s="322">
        <f>+fill_data!D324</f>
        <v>3.2419354838709676E-2</v>
      </c>
      <c r="N280" s="322">
        <f>++fill_data!E324</f>
        <v>4.2299999999999997E-2</v>
      </c>
      <c r="O280" s="322">
        <f>VLOOKUP($A280,[0]!ความต้องการน้ำ,3)/7</f>
        <v>0.6563878981302651</v>
      </c>
      <c r="P280" s="322">
        <f>VLOOKUP($A280,[0]!ฝนใช้การ,3)/7</f>
        <v>0.20733478709677425</v>
      </c>
      <c r="Q280" s="322">
        <f t="shared" si="67"/>
        <v>60</v>
      </c>
      <c r="R280" s="322">
        <f t="shared" si="63"/>
        <v>0.74842185172248488</v>
      </c>
      <c r="S280" s="322">
        <f t="shared" si="60"/>
        <v>0.82507669043216225</v>
      </c>
      <c r="T280" s="322">
        <f t="shared" si="61"/>
        <v>62.404915861210284</v>
      </c>
      <c r="U280" s="354">
        <f t="shared" si="64"/>
        <v>141</v>
      </c>
      <c r="V280" s="354">
        <f t="shared" si="68"/>
        <v>7</v>
      </c>
      <c r="W280" s="348">
        <v>33.6</v>
      </c>
      <c r="X280" s="346">
        <v>98.468666666666778</v>
      </c>
      <c r="Y280" s="566">
        <v>31.335999999999999</v>
      </c>
    </row>
    <row r="281" spans="1:25" x14ac:dyDescent="0.15">
      <c r="A281" s="201">
        <v>39</v>
      </c>
      <c r="B281" s="260">
        <f t="shared" si="62"/>
        <v>40019</v>
      </c>
      <c r="C281" s="374">
        <f t="shared" si="56"/>
        <v>215.19847846042092</v>
      </c>
      <c r="D281" s="319">
        <f t="shared" si="65"/>
        <v>62.404915861210284</v>
      </c>
      <c r="E281" s="319">
        <f>VLOOKUP(MONTH(B281),[0]!Evap,3)</f>
        <v>4.9290322580645167</v>
      </c>
      <c r="F281" s="322">
        <f t="shared" si="66"/>
        <v>3.8446451612903232</v>
      </c>
      <c r="G281" s="319">
        <f t="shared" si="57"/>
        <v>10.728032185980206</v>
      </c>
      <c r="H281" s="322">
        <f t="shared" si="58"/>
        <v>4.1245477033995649E-2</v>
      </c>
      <c r="I281" s="322">
        <f>+fill_data!B325</f>
        <v>0.25286955687520152</v>
      </c>
      <c r="J281" s="322">
        <f t="shared" si="59"/>
        <v>62.616539941051492</v>
      </c>
      <c r="K281" s="322">
        <f>+fill_data!C325</f>
        <v>1.9354838709677419E-3</v>
      </c>
      <c r="L281" s="322">
        <f>+fill_data!F325</f>
        <v>0</v>
      </c>
      <c r="M281" s="322">
        <f>+fill_data!D325</f>
        <v>3.2419354838709676E-2</v>
      </c>
      <c r="N281" s="322">
        <f>++fill_data!E325</f>
        <v>4.2299999999999997E-2</v>
      </c>
      <c r="O281" s="322">
        <f>VLOOKUP($A281,[0]!ความต้องการน้ำ,3)/7</f>
        <v>0.83048601173928049</v>
      </c>
      <c r="P281" s="322">
        <f>VLOOKUP($A281,[0]!ฝนใช้การ,3)/7</f>
        <v>0.28939556129032257</v>
      </c>
      <c r="Q281" s="322">
        <f t="shared" si="67"/>
        <v>60</v>
      </c>
      <c r="R281" s="322">
        <f t="shared" si="63"/>
        <v>0.90181741741493004</v>
      </c>
      <c r="S281" s="322">
        <f t="shared" si="60"/>
        <v>0.97847225612460742</v>
      </c>
      <c r="T281" s="322">
        <f t="shared" si="61"/>
        <v>61.638067684926888</v>
      </c>
      <c r="U281" s="354">
        <f t="shared" si="64"/>
        <v>141</v>
      </c>
      <c r="V281" s="354">
        <f t="shared" si="68"/>
        <v>7</v>
      </c>
      <c r="W281" s="348">
        <v>33.774999999999999</v>
      </c>
      <c r="X281" s="346">
        <v>98.576333333333451</v>
      </c>
      <c r="Y281" s="566">
        <v>31.425000000000001</v>
      </c>
    </row>
    <row r="282" spans="1:25" x14ac:dyDescent="0.15">
      <c r="A282" s="201">
        <f t="shared" si="69"/>
        <v>39</v>
      </c>
      <c r="B282" s="260">
        <f t="shared" si="62"/>
        <v>40020</v>
      </c>
      <c r="C282" s="374">
        <f t="shared" si="56"/>
        <v>215.12832062949596</v>
      </c>
      <c r="D282" s="319">
        <f t="shared" si="65"/>
        <v>61.638067684926888</v>
      </c>
      <c r="E282" s="319">
        <f>VLOOKUP(MONTH(B282),[0]!Evap,3)</f>
        <v>4.9290322580645167</v>
      </c>
      <c r="F282" s="322">
        <f t="shared" si="66"/>
        <v>3.8446451612903232</v>
      </c>
      <c r="G282" s="319">
        <f t="shared" si="57"/>
        <v>10.684417350551035</v>
      </c>
      <c r="H282" s="322">
        <f t="shared" si="58"/>
        <v>4.1077793468002416E-2</v>
      </c>
      <c r="I282" s="322">
        <f>+fill_data!B326</f>
        <v>0.25286955687520152</v>
      </c>
      <c r="J282" s="322">
        <f t="shared" si="59"/>
        <v>61.849859448334087</v>
      </c>
      <c r="K282" s="322">
        <f>+fill_data!C326</f>
        <v>1.9354838709677419E-3</v>
      </c>
      <c r="L282" s="322">
        <f>+fill_data!F326</f>
        <v>0</v>
      </c>
      <c r="M282" s="322">
        <f>+fill_data!D326</f>
        <v>3.2419354838709676E-2</v>
      </c>
      <c r="N282" s="322">
        <f>++fill_data!E326</f>
        <v>4.2299999999999997E-2</v>
      </c>
      <c r="O282" s="322">
        <f>VLOOKUP($A282,[0]!ความต้องการน้ำ,3)/7</f>
        <v>0.83048601173928049</v>
      </c>
      <c r="P282" s="322">
        <f>VLOOKUP($A282,[0]!ฝนใช้การ,3)/7</f>
        <v>0.28939556129032257</v>
      </c>
      <c r="Q282" s="322">
        <f t="shared" si="67"/>
        <v>60</v>
      </c>
      <c r="R282" s="322">
        <f t="shared" si="63"/>
        <v>0.90181741741493004</v>
      </c>
      <c r="S282" s="322">
        <f t="shared" si="60"/>
        <v>0.97847225612460742</v>
      </c>
      <c r="T282" s="322">
        <f t="shared" si="61"/>
        <v>60.871387192209482</v>
      </c>
      <c r="U282" s="354">
        <f t="shared" si="64"/>
        <v>141</v>
      </c>
      <c r="V282" s="354">
        <f t="shared" si="68"/>
        <v>7</v>
      </c>
      <c r="W282" s="348">
        <v>33.950000000000003</v>
      </c>
      <c r="X282" s="346">
        <v>98.684000000000125</v>
      </c>
      <c r="Y282" s="566">
        <v>31.603999999999999</v>
      </c>
    </row>
    <row r="283" spans="1:25" x14ac:dyDescent="0.15">
      <c r="A283" s="201">
        <f t="shared" si="69"/>
        <v>39</v>
      </c>
      <c r="B283" s="260">
        <f t="shared" si="62"/>
        <v>40021</v>
      </c>
      <c r="C283" s="374">
        <f t="shared" si="56"/>
        <v>215.05817813969804</v>
      </c>
      <c r="D283" s="319">
        <f t="shared" si="65"/>
        <v>60.871387192209482</v>
      </c>
      <c r="E283" s="319">
        <f>VLOOKUP(MONTH(B283),[0]!Evap,3)</f>
        <v>4.9290322580645167</v>
      </c>
      <c r="F283" s="322">
        <f t="shared" si="66"/>
        <v>3.8446451612903232</v>
      </c>
      <c r="G283" s="319">
        <f t="shared" si="57"/>
        <v>10.640812052200209</v>
      </c>
      <c r="H283" s="322">
        <f t="shared" si="58"/>
        <v>4.091014656869129E-2</v>
      </c>
      <c r="I283" s="322">
        <f>+fill_data!B327</f>
        <v>0.25286955687520152</v>
      </c>
      <c r="J283" s="322">
        <f t="shared" si="59"/>
        <v>61.083346602515995</v>
      </c>
      <c r="K283" s="322">
        <f>+fill_data!C327</f>
        <v>1.9354838709677419E-3</v>
      </c>
      <c r="L283" s="322">
        <f>+fill_data!F327</f>
        <v>0</v>
      </c>
      <c r="M283" s="322">
        <f>+fill_data!D327</f>
        <v>3.2419354838709676E-2</v>
      </c>
      <c r="N283" s="322">
        <f>++fill_data!E327</f>
        <v>4.2299999999999997E-2</v>
      </c>
      <c r="O283" s="322">
        <f>VLOOKUP($A283,[0]!ความต้องการน้ำ,3)/7</f>
        <v>0.83048601173928049</v>
      </c>
      <c r="P283" s="322">
        <f>VLOOKUP($A283,[0]!ฝนใช้การ,3)/7</f>
        <v>0.28939556129032257</v>
      </c>
      <c r="Q283" s="322">
        <f t="shared" si="67"/>
        <v>60</v>
      </c>
      <c r="R283" s="322">
        <f t="shared" si="63"/>
        <v>0.90181741741493004</v>
      </c>
      <c r="S283" s="322">
        <f t="shared" si="60"/>
        <v>0.97847225612460742</v>
      </c>
      <c r="T283" s="322">
        <f t="shared" si="61"/>
        <v>60.104874346391391</v>
      </c>
      <c r="U283" s="354">
        <f t="shared" si="64"/>
        <v>141</v>
      </c>
      <c r="V283" s="354">
        <f t="shared" si="68"/>
        <v>7</v>
      </c>
      <c r="W283" s="348">
        <v>34.125</v>
      </c>
      <c r="X283" s="346">
        <v>98.791666666666785</v>
      </c>
      <c r="Y283" s="566">
        <v>31.693000000000001</v>
      </c>
    </row>
    <row r="284" spans="1:25" x14ac:dyDescent="0.15">
      <c r="A284" s="201">
        <f t="shared" si="69"/>
        <v>39</v>
      </c>
      <c r="B284" s="260">
        <f t="shared" si="62"/>
        <v>40022</v>
      </c>
      <c r="C284" s="374">
        <f t="shared" si="56"/>
        <v>214.98752148638007</v>
      </c>
      <c r="D284" s="319">
        <f t="shared" si="65"/>
        <v>60.104874346391391</v>
      </c>
      <c r="E284" s="319">
        <f>VLOOKUP(MONTH(B284),[0]!Evap,3)</f>
        <v>4.9290322580645167</v>
      </c>
      <c r="F284" s="322">
        <f t="shared" si="66"/>
        <v>3.8446451612903232</v>
      </c>
      <c r="G284" s="319">
        <f t="shared" si="57"/>
        <v>10.596762631364458</v>
      </c>
      <c r="H284" s="322">
        <f t="shared" si="58"/>
        <v>4.0740792176017476E-2</v>
      </c>
      <c r="I284" s="322">
        <f>+fill_data!B328</f>
        <v>0.25286955687520152</v>
      </c>
      <c r="J284" s="322">
        <f t="shared" si="59"/>
        <v>60.317003111090578</v>
      </c>
      <c r="K284" s="322">
        <f>+fill_data!C328</f>
        <v>1.9354838709677419E-3</v>
      </c>
      <c r="L284" s="322">
        <f>+fill_data!F328</f>
        <v>0</v>
      </c>
      <c r="M284" s="322">
        <f>+fill_data!D328</f>
        <v>3.2419354838709676E-2</v>
      </c>
      <c r="N284" s="322">
        <f>++fill_data!E328</f>
        <v>4.2299999999999997E-2</v>
      </c>
      <c r="O284" s="322">
        <f>VLOOKUP($A284,[0]!ความต้องการน้ำ,3)/7</f>
        <v>0.83048601173928049</v>
      </c>
      <c r="P284" s="322">
        <f>VLOOKUP($A284,[0]!ฝนใช้การ,3)/7</f>
        <v>0.28939556129032257</v>
      </c>
      <c r="Q284" s="322">
        <f t="shared" si="67"/>
        <v>60</v>
      </c>
      <c r="R284" s="322">
        <f t="shared" si="63"/>
        <v>0.90181741741493004</v>
      </c>
      <c r="S284" s="322">
        <f t="shared" si="60"/>
        <v>0.97847225612460742</v>
      </c>
      <c r="T284" s="322">
        <f t="shared" si="61"/>
        <v>59.338530854965974</v>
      </c>
      <c r="U284" s="354">
        <f t="shared" si="64"/>
        <v>141</v>
      </c>
      <c r="V284" s="354">
        <f t="shared" si="68"/>
        <v>7</v>
      </c>
      <c r="W284" s="348">
        <v>34.299999999999997</v>
      </c>
      <c r="X284" s="346">
        <v>98.899333333333459</v>
      </c>
      <c r="Y284" s="566">
        <v>31.335999999999999</v>
      </c>
    </row>
    <row r="285" spans="1:25" x14ac:dyDescent="0.15">
      <c r="A285" s="201">
        <f t="shared" si="69"/>
        <v>39</v>
      </c>
      <c r="B285" s="260">
        <f t="shared" si="62"/>
        <v>40023</v>
      </c>
      <c r="C285" s="374">
        <f t="shared" si="56"/>
        <v>214.91430294280883</v>
      </c>
      <c r="D285" s="319">
        <f t="shared" si="65"/>
        <v>59.338530854965974</v>
      </c>
      <c r="E285" s="319">
        <f>VLOOKUP(MONTH(B285),[0]!Evap,3)</f>
        <v>4.9290322580645167</v>
      </c>
      <c r="F285" s="322">
        <f t="shared" si="66"/>
        <v>3.8446451612903232</v>
      </c>
      <c r="G285" s="319">
        <f t="shared" si="57"/>
        <v>10.550514633418963</v>
      </c>
      <c r="H285" s="322">
        <f t="shared" si="58"/>
        <v>4.0562985034496964E-2</v>
      </c>
      <c r="I285" s="322">
        <f>+fill_data!B329</f>
        <v>0.25286955687520152</v>
      </c>
      <c r="J285" s="322">
        <f t="shared" si="59"/>
        <v>59.55083742680668</v>
      </c>
      <c r="K285" s="322">
        <f>+fill_data!C329</f>
        <v>1.9354838709677419E-3</v>
      </c>
      <c r="L285" s="322">
        <f>+fill_data!F329</f>
        <v>0</v>
      </c>
      <c r="M285" s="322">
        <f>+fill_data!D329</f>
        <v>3.2419354838709676E-2</v>
      </c>
      <c r="N285" s="322">
        <f>++fill_data!E329</f>
        <v>4.2299999999999997E-2</v>
      </c>
      <c r="O285" s="322">
        <f>VLOOKUP($A285,[0]!ความต้องการน้ำ,3)/7</f>
        <v>0.83048601173928049</v>
      </c>
      <c r="P285" s="322">
        <f>VLOOKUP($A285,[0]!ฝนใช้การ,3)/7</f>
        <v>0.28939556129032257</v>
      </c>
      <c r="Q285" s="322">
        <f t="shared" si="67"/>
        <v>60</v>
      </c>
      <c r="R285" s="322">
        <f t="shared" si="63"/>
        <v>0.90181741741493004</v>
      </c>
      <c r="S285" s="322">
        <f t="shared" si="60"/>
        <v>0.97847225612460742</v>
      </c>
      <c r="T285" s="322">
        <f t="shared" si="61"/>
        <v>58.572365170682076</v>
      </c>
      <c r="U285" s="354">
        <f t="shared" si="64"/>
        <v>141</v>
      </c>
      <c r="V285" s="354">
        <f t="shared" si="68"/>
        <v>7</v>
      </c>
      <c r="W285" s="348">
        <v>34.475000000000001</v>
      </c>
      <c r="X285" s="346">
        <v>99.007000000000133</v>
      </c>
      <c r="Y285" s="566">
        <v>31.068999999999999</v>
      </c>
    </row>
    <row r="286" spans="1:25" x14ac:dyDescent="0.15">
      <c r="A286" s="201">
        <f t="shared" si="69"/>
        <v>39</v>
      </c>
      <c r="B286" s="260">
        <f t="shared" si="62"/>
        <v>40024</v>
      </c>
      <c r="C286" s="374">
        <f t="shared" si="56"/>
        <v>214.84110138741599</v>
      </c>
      <c r="D286" s="319">
        <f t="shared" si="65"/>
        <v>58.572365170682076</v>
      </c>
      <c r="E286" s="319">
        <f>VLOOKUP(MONTH(B286),[0]!Evap,3)</f>
        <v>4.9290322580645167</v>
      </c>
      <c r="F286" s="322">
        <f t="shared" si="66"/>
        <v>3.8446451612903232</v>
      </c>
      <c r="G286" s="319">
        <f t="shared" si="57"/>
        <v>10.504277365941475</v>
      </c>
      <c r="H286" s="322">
        <f t="shared" si="58"/>
        <v>4.0385219147818355E-2</v>
      </c>
      <c r="I286" s="322">
        <f>+fill_data!B330</f>
        <v>0.25286955687520152</v>
      </c>
      <c r="J286" s="322">
        <f t="shared" si="59"/>
        <v>58.784849508409465</v>
      </c>
      <c r="K286" s="322">
        <f>+fill_data!C330</f>
        <v>1.9354838709677419E-3</v>
      </c>
      <c r="L286" s="322">
        <f>+fill_data!F330</f>
        <v>0</v>
      </c>
      <c r="M286" s="322">
        <f>+fill_data!D330</f>
        <v>3.2419354838709676E-2</v>
      </c>
      <c r="N286" s="322">
        <f>++fill_data!E330</f>
        <v>4.2299999999999997E-2</v>
      </c>
      <c r="O286" s="322">
        <f>VLOOKUP($A286,[0]!ความต้องการน้ำ,3)/7</f>
        <v>0.83048601173928049</v>
      </c>
      <c r="P286" s="322">
        <f>VLOOKUP($A286,[0]!ฝนใช้การ,3)/7</f>
        <v>0.28939556129032257</v>
      </c>
      <c r="Q286" s="322">
        <f t="shared" si="67"/>
        <v>60</v>
      </c>
      <c r="R286" s="322">
        <f t="shared" si="63"/>
        <v>0.90181741741493004</v>
      </c>
      <c r="S286" s="322">
        <f t="shared" si="60"/>
        <v>0.97847225612460742</v>
      </c>
      <c r="T286" s="322">
        <f t="shared" si="61"/>
        <v>57.806377252284861</v>
      </c>
      <c r="U286" s="354">
        <f t="shared" si="64"/>
        <v>141</v>
      </c>
      <c r="V286" s="354">
        <f t="shared" si="68"/>
        <v>7</v>
      </c>
      <c r="W286" s="348">
        <v>34.65</v>
      </c>
      <c r="X286" s="346">
        <v>99.114666666666807</v>
      </c>
      <c r="Y286" s="566">
        <v>30.826000000000001</v>
      </c>
    </row>
    <row r="287" spans="1:25" x14ac:dyDescent="0.15">
      <c r="A287" s="201">
        <f t="shared" si="69"/>
        <v>39</v>
      </c>
      <c r="B287" s="260">
        <f t="shared" si="62"/>
        <v>40025</v>
      </c>
      <c r="C287" s="374">
        <f t="shared" si="56"/>
        <v>214.76791681625994</v>
      </c>
      <c r="D287" s="319">
        <f t="shared" si="65"/>
        <v>57.806377252284861</v>
      </c>
      <c r="E287" s="319">
        <f>VLOOKUP(MONTH(B287),[0]!Evap,3)</f>
        <v>4.9290322580645167</v>
      </c>
      <c r="F287" s="322">
        <f t="shared" si="66"/>
        <v>3.8446451612903232</v>
      </c>
      <c r="G287" s="319">
        <f t="shared" si="57"/>
        <v>10.458050826442305</v>
      </c>
      <c r="H287" s="322">
        <f t="shared" si="58"/>
        <v>4.0207494506409674E-2</v>
      </c>
      <c r="I287" s="322">
        <f>+fill_data!B331</f>
        <v>0.25286955687520152</v>
      </c>
      <c r="J287" s="322">
        <f t="shared" si="59"/>
        <v>58.019039314653654</v>
      </c>
      <c r="K287" s="322">
        <f>+fill_data!C331</f>
        <v>1.9354838709677419E-3</v>
      </c>
      <c r="L287" s="322">
        <f>+fill_data!F331</f>
        <v>0</v>
      </c>
      <c r="M287" s="322">
        <f>+fill_data!D331</f>
        <v>3.2419354838709676E-2</v>
      </c>
      <c r="N287" s="322">
        <f>++fill_data!E331</f>
        <v>4.2299999999999997E-2</v>
      </c>
      <c r="O287" s="322">
        <f>VLOOKUP($A287,[0]!ความต้องการน้ำ,3)/7</f>
        <v>0.83048601173928049</v>
      </c>
      <c r="P287" s="322">
        <f>VLOOKUP($A287,[0]!ฝนใช้การ,3)/7</f>
        <v>0.28939556129032257</v>
      </c>
      <c r="Q287" s="322">
        <f t="shared" si="67"/>
        <v>60</v>
      </c>
      <c r="R287" s="322">
        <f t="shared" si="63"/>
        <v>0.90181741741493004</v>
      </c>
      <c r="S287" s="322">
        <f t="shared" si="60"/>
        <v>0.97847225612460742</v>
      </c>
      <c r="T287" s="322">
        <f t="shared" si="61"/>
        <v>57.040567058529049</v>
      </c>
      <c r="U287" s="354">
        <f t="shared" si="64"/>
        <v>141</v>
      </c>
      <c r="V287" s="354">
        <f t="shared" si="68"/>
        <v>7</v>
      </c>
      <c r="W287" s="348">
        <v>34.825000000000003</v>
      </c>
      <c r="X287" s="346">
        <v>99.222333333333481</v>
      </c>
      <c r="Y287" s="566">
        <v>30.670999999999999</v>
      </c>
    </row>
    <row r="288" spans="1:25" x14ac:dyDescent="0.15">
      <c r="A288" s="201">
        <v>40</v>
      </c>
      <c r="B288" s="260">
        <f t="shared" si="62"/>
        <v>40026</v>
      </c>
      <c r="C288" s="374">
        <f t="shared" si="56"/>
        <v>214.69474922539999</v>
      </c>
      <c r="D288" s="319">
        <f t="shared" si="65"/>
        <v>57.040567058529049</v>
      </c>
      <c r="E288" s="319">
        <f>VLOOKUP(MONTH(B288),[0]!Evap,3)</f>
        <v>4.4516129032258061</v>
      </c>
      <c r="F288" s="322">
        <f t="shared" si="66"/>
        <v>3.472258064516129</v>
      </c>
      <c r="G288" s="319">
        <f t="shared" si="57"/>
        <v>10.41183501243235</v>
      </c>
      <c r="H288" s="322">
        <f t="shared" si="58"/>
        <v>3.6152578088329619E-2</v>
      </c>
      <c r="I288" s="322">
        <f>+fill_data!B332</f>
        <v>0.30767031446579962</v>
      </c>
      <c r="J288" s="322">
        <f t="shared" si="59"/>
        <v>57.312084794906525</v>
      </c>
      <c r="K288" s="322">
        <f>+fill_data!C332</f>
        <v>1.9354838709677419E-3</v>
      </c>
      <c r="L288" s="322">
        <f>+fill_data!F332</f>
        <v>0</v>
      </c>
      <c r="M288" s="322">
        <f>+fill_data!D332</f>
        <v>3.7258064516129036E-2</v>
      </c>
      <c r="N288" s="322">
        <f>++fill_data!E332</f>
        <v>4.2299999999999997E-2</v>
      </c>
      <c r="O288" s="322">
        <f>VLOOKUP($A288,[0]!ความต้องการน้ำ,3)/7</f>
        <v>0.5363535063700019</v>
      </c>
      <c r="P288" s="322">
        <f>VLOOKUP($A288,[0]!ฝนใช้การ,3)/7</f>
        <v>0.30242844387096779</v>
      </c>
      <c r="Q288" s="322">
        <f t="shared" si="67"/>
        <v>60</v>
      </c>
      <c r="R288" s="322">
        <f t="shared" si="63"/>
        <v>0.38987510416505688</v>
      </c>
      <c r="S288" s="322">
        <f t="shared" si="60"/>
        <v>0.47136865255215366</v>
      </c>
      <c r="T288" s="322">
        <f t="shared" si="61"/>
        <v>56.840716142354374</v>
      </c>
      <c r="U288" s="354">
        <f t="shared" si="64"/>
        <v>141</v>
      </c>
      <c r="V288" s="354">
        <f t="shared" si="68"/>
        <v>7</v>
      </c>
      <c r="W288" s="348">
        <v>35</v>
      </c>
      <c r="X288" s="346">
        <v>99.33</v>
      </c>
      <c r="Y288" s="566">
        <v>30.516999999999999</v>
      </c>
    </row>
    <row r="289" spans="1:25" x14ac:dyDescent="0.15">
      <c r="A289" s="201">
        <f t="shared" si="69"/>
        <v>40</v>
      </c>
      <c r="B289" s="260">
        <f t="shared" si="62"/>
        <v>40027</v>
      </c>
      <c r="C289" s="374">
        <f t="shared" si="56"/>
        <v>214.67565492476666</v>
      </c>
      <c r="D289" s="319">
        <f t="shared" si="65"/>
        <v>56.840716142354374</v>
      </c>
      <c r="E289" s="319">
        <f>VLOOKUP(MONTH(B289),[0]!Evap,3)</f>
        <v>4.4516129032258061</v>
      </c>
      <c r="F289" s="322">
        <f t="shared" si="66"/>
        <v>3.472258064516129</v>
      </c>
      <c r="G289" s="319">
        <f t="shared" si="57"/>
        <v>10.399774226552301</v>
      </c>
      <c r="H289" s="322">
        <f t="shared" si="58"/>
        <v>3.6110699927293211E-2</v>
      </c>
      <c r="I289" s="322">
        <f>+fill_data!B333</f>
        <v>0.30767031446579962</v>
      </c>
      <c r="J289" s="322">
        <f t="shared" si="59"/>
        <v>57.112275756892885</v>
      </c>
      <c r="K289" s="322">
        <f>+fill_data!C333</f>
        <v>1.9354838709677419E-3</v>
      </c>
      <c r="L289" s="322">
        <f>+fill_data!F333</f>
        <v>0</v>
      </c>
      <c r="M289" s="322">
        <f>+fill_data!D333</f>
        <v>3.7258064516129036E-2</v>
      </c>
      <c r="N289" s="322">
        <f>++fill_data!E333</f>
        <v>4.2299999999999997E-2</v>
      </c>
      <c r="O289" s="322">
        <f>VLOOKUP($A289,[0]!ความต้องการน้ำ,3)/7</f>
        <v>0.5363535063700019</v>
      </c>
      <c r="P289" s="322">
        <f>VLOOKUP($A289,[0]!ฝนใช้การ,3)/7</f>
        <v>0.30242844387096779</v>
      </c>
      <c r="Q289" s="322">
        <f t="shared" si="67"/>
        <v>60</v>
      </c>
      <c r="R289" s="322">
        <f t="shared" si="63"/>
        <v>0.38987510416505688</v>
      </c>
      <c r="S289" s="322">
        <f t="shared" si="60"/>
        <v>0.47136865255215366</v>
      </c>
      <c r="T289" s="322">
        <f t="shared" si="61"/>
        <v>56.640907104340734</v>
      </c>
      <c r="U289" s="354">
        <f t="shared" si="64"/>
        <v>141</v>
      </c>
      <c r="V289" s="354">
        <f t="shared" si="68"/>
        <v>7</v>
      </c>
      <c r="W289" s="348">
        <v>35.096774193548391</v>
      </c>
      <c r="X289" s="346">
        <v>100.33290322580645</v>
      </c>
      <c r="Y289" s="566">
        <v>30.361999999999998</v>
      </c>
    </row>
    <row r="290" spans="1:25" x14ac:dyDescent="0.15">
      <c r="A290" s="201">
        <f t="shared" si="69"/>
        <v>40</v>
      </c>
      <c r="B290" s="260">
        <f t="shared" si="62"/>
        <v>40028</v>
      </c>
      <c r="C290" s="374">
        <f t="shared" si="56"/>
        <v>214.65656462528682</v>
      </c>
      <c r="D290" s="319">
        <f t="shared" si="65"/>
        <v>56.640907104340734</v>
      </c>
      <c r="E290" s="319">
        <f>VLOOKUP(MONTH(B290),[0]!Evap,3)</f>
        <v>4.4516129032258061</v>
      </c>
      <c r="F290" s="322">
        <f t="shared" si="66"/>
        <v>3.472258064516129</v>
      </c>
      <c r="G290" s="319">
        <f t="shared" si="57"/>
        <v>10.387715967973817</v>
      </c>
      <c r="H290" s="322">
        <f t="shared" si="58"/>
        <v>3.6068830541700049E-2</v>
      </c>
      <c r="I290" s="322">
        <f>+fill_data!B334</f>
        <v>0.30767031446579962</v>
      </c>
      <c r="J290" s="322">
        <f t="shared" si="59"/>
        <v>56.912508588264835</v>
      </c>
      <c r="K290" s="322">
        <f>+fill_data!C334</f>
        <v>1.9354838709677419E-3</v>
      </c>
      <c r="L290" s="322">
        <f>+fill_data!F334</f>
        <v>0</v>
      </c>
      <c r="M290" s="322">
        <f>+fill_data!D334</f>
        <v>3.7258064516129036E-2</v>
      </c>
      <c r="N290" s="322">
        <f>++fill_data!E334</f>
        <v>4.2299999999999997E-2</v>
      </c>
      <c r="O290" s="322">
        <f>VLOOKUP($A290,[0]!ความต้องการน้ำ,3)/7</f>
        <v>0.5363535063700019</v>
      </c>
      <c r="P290" s="322">
        <f>VLOOKUP($A290,[0]!ฝนใช้การ,3)/7</f>
        <v>0.30242844387096779</v>
      </c>
      <c r="Q290" s="322">
        <f t="shared" si="67"/>
        <v>60</v>
      </c>
      <c r="R290" s="322">
        <f t="shared" si="63"/>
        <v>0.38987510416505688</v>
      </c>
      <c r="S290" s="322">
        <f t="shared" si="60"/>
        <v>0.47136865255215366</v>
      </c>
      <c r="T290" s="322">
        <f t="shared" si="61"/>
        <v>56.441139935712684</v>
      </c>
      <c r="U290" s="354">
        <f t="shared" si="64"/>
        <v>141</v>
      </c>
      <c r="V290" s="354">
        <f t="shared" si="68"/>
        <v>7</v>
      </c>
      <c r="W290" s="348">
        <v>35.193548387096776</v>
      </c>
      <c r="X290" s="346">
        <v>101.3358064516129</v>
      </c>
      <c r="Y290" s="566">
        <v>30.207999999999998</v>
      </c>
    </row>
    <row r="291" spans="1:25" x14ac:dyDescent="0.15">
      <c r="A291" s="201">
        <f t="shared" si="69"/>
        <v>40</v>
      </c>
      <c r="B291" s="260">
        <f t="shared" si="62"/>
        <v>40029</v>
      </c>
      <c r="C291" s="374">
        <f t="shared" si="56"/>
        <v>214.63747832612208</v>
      </c>
      <c r="D291" s="319">
        <f t="shared" si="65"/>
        <v>56.441139935712684</v>
      </c>
      <c r="E291" s="319">
        <f>VLOOKUP(MONTH(B291),[0]!Evap,3)</f>
        <v>4.4516129032258061</v>
      </c>
      <c r="F291" s="322">
        <f t="shared" si="66"/>
        <v>3.472258064516129</v>
      </c>
      <c r="G291" s="319">
        <f t="shared" si="57"/>
        <v>10.37566023616731</v>
      </c>
      <c r="H291" s="322">
        <f t="shared" si="58"/>
        <v>3.6026969929711258E-2</v>
      </c>
      <c r="I291" s="322">
        <f>+fill_data!B335</f>
        <v>0.30767031446579962</v>
      </c>
      <c r="J291" s="322">
        <f t="shared" si="59"/>
        <v>56.712783280248779</v>
      </c>
      <c r="K291" s="322">
        <f>+fill_data!C335</f>
        <v>1.9354838709677419E-3</v>
      </c>
      <c r="L291" s="322">
        <f>+fill_data!F335</f>
        <v>0</v>
      </c>
      <c r="M291" s="322">
        <f>+fill_data!D335</f>
        <v>3.7258064516129036E-2</v>
      </c>
      <c r="N291" s="322">
        <f>++fill_data!E335</f>
        <v>4.2299999999999997E-2</v>
      </c>
      <c r="O291" s="322">
        <f>VLOOKUP($A291,[0]!ความต้องการน้ำ,3)/7</f>
        <v>0.5363535063700019</v>
      </c>
      <c r="P291" s="322">
        <f>VLOOKUP($A291,[0]!ฝนใช้การ,3)/7</f>
        <v>0.30242844387096779</v>
      </c>
      <c r="Q291" s="322">
        <f t="shared" si="67"/>
        <v>60</v>
      </c>
      <c r="R291" s="322">
        <f t="shared" si="63"/>
        <v>0.38987510416505688</v>
      </c>
      <c r="S291" s="322">
        <f t="shared" si="60"/>
        <v>0.47136865255215366</v>
      </c>
      <c r="T291" s="322">
        <f t="shared" si="61"/>
        <v>56.241414627696628</v>
      </c>
      <c r="U291" s="354">
        <f t="shared" si="64"/>
        <v>141</v>
      </c>
      <c r="V291" s="354">
        <f t="shared" si="68"/>
        <v>7</v>
      </c>
      <c r="W291" s="348">
        <v>35.290322580645167</v>
      </c>
      <c r="X291" s="346">
        <v>102.33870967741933</v>
      </c>
      <c r="Y291" s="566">
        <v>30.131</v>
      </c>
    </row>
    <row r="292" spans="1:25" x14ac:dyDescent="0.15">
      <c r="A292" s="201">
        <f t="shared" si="69"/>
        <v>40</v>
      </c>
      <c r="B292" s="260">
        <f t="shared" si="62"/>
        <v>40030</v>
      </c>
      <c r="C292" s="374">
        <f t="shared" si="56"/>
        <v>214.6183960264342</v>
      </c>
      <c r="D292" s="319">
        <f t="shared" si="65"/>
        <v>56.241414627696628</v>
      </c>
      <c r="E292" s="319">
        <f>VLOOKUP(MONTH(B292),[0]!Evap,3)</f>
        <v>4.4516129032258061</v>
      </c>
      <c r="F292" s="322">
        <f t="shared" si="66"/>
        <v>3.472258064516129</v>
      </c>
      <c r="G292" s="319">
        <f t="shared" si="57"/>
        <v>10.363607030603301</v>
      </c>
      <c r="H292" s="322">
        <f t="shared" si="58"/>
        <v>3.5985118089488365E-2</v>
      </c>
      <c r="I292" s="322">
        <f>+fill_data!B336</f>
        <v>0.30767031446579962</v>
      </c>
      <c r="J292" s="322">
        <f t="shared" si="59"/>
        <v>56.513099824072945</v>
      </c>
      <c r="K292" s="322">
        <f>+fill_data!C336</f>
        <v>1.9354838709677419E-3</v>
      </c>
      <c r="L292" s="322">
        <f>+fill_data!F336</f>
        <v>0</v>
      </c>
      <c r="M292" s="322">
        <f>+fill_data!D336</f>
        <v>3.7258064516129036E-2</v>
      </c>
      <c r="N292" s="322">
        <f>++fill_data!E336</f>
        <v>4.2299999999999997E-2</v>
      </c>
      <c r="O292" s="322">
        <f>VLOOKUP($A292,[0]!ความต้องการน้ำ,3)/7</f>
        <v>0.5363535063700019</v>
      </c>
      <c r="P292" s="322">
        <f>VLOOKUP($A292,[0]!ฝนใช้การ,3)/7</f>
        <v>0.30242844387096779</v>
      </c>
      <c r="Q292" s="322">
        <f t="shared" si="67"/>
        <v>60</v>
      </c>
      <c r="R292" s="322">
        <f t="shared" si="63"/>
        <v>0.38987510416505688</v>
      </c>
      <c r="S292" s="322">
        <f t="shared" si="60"/>
        <v>0.47136865255215366</v>
      </c>
      <c r="T292" s="322">
        <f t="shared" si="61"/>
        <v>56.041731171520794</v>
      </c>
      <c r="U292" s="354">
        <f t="shared" si="64"/>
        <v>141</v>
      </c>
      <c r="V292" s="354">
        <f t="shared" si="68"/>
        <v>7</v>
      </c>
      <c r="W292" s="348">
        <v>35.387096774193552</v>
      </c>
      <c r="X292" s="346">
        <v>103.34161290322578</v>
      </c>
      <c r="Y292" s="566">
        <v>30.053999999999998</v>
      </c>
    </row>
    <row r="293" spans="1:25" x14ac:dyDescent="0.15">
      <c r="A293" s="201">
        <f t="shared" si="69"/>
        <v>40</v>
      </c>
      <c r="B293" s="260">
        <f t="shared" si="62"/>
        <v>40031</v>
      </c>
      <c r="C293" s="374">
        <f t="shared" si="56"/>
        <v>214.59931772538505</v>
      </c>
      <c r="D293" s="319">
        <f t="shared" si="65"/>
        <v>56.041731171520794</v>
      </c>
      <c r="E293" s="319">
        <f>VLOOKUP(MONTH(B293),[0]!Evap,3)</f>
        <v>4.4516129032258061</v>
      </c>
      <c r="F293" s="322">
        <f t="shared" si="66"/>
        <v>3.472258064516129</v>
      </c>
      <c r="G293" s="319">
        <f t="shared" si="57"/>
        <v>10.351556350752427</v>
      </c>
      <c r="H293" s="322">
        <f t="shared" si="58"/>
        <v>3.5943275019193262E-2</v>
      </c>
      <c r="I293" s="322">
        <f>+fill_data!B337</f>
        <v>0.30767031446579962</v>
      </c>
      <c r="J293" s="322">
        <f t="shared" si="59"/>
        <v>56.313458210967404</v>
      </c>
      <c r="K293" s="322">
        <f>+fill_data!C337</f>
        <v>1.9354838709677419E-3</v>
      </c>
      <c r="L293" s="322">
        <f>+fill_data!F337</f>
        <v>0</v>
      </c>
      <c r="M293" s="322">
        <f>+fill_data!D337</f>
        <v>3.7258064516129036E-2</v>
      </c>
      <c r="N293" s="322">
        <f>++fill_data!E337</f>
        <v>4.2299999999999997E-2</v>
      </c>
      <c r="O293" s="322">
        <f>VLOOKUP($A293,[0]!ความต้องการน้ำ,3)/7</f>
        <v>0.5363535063700019</v>
      </c>
      <c r="P293" s="322">
        <f>VLOOKUP($A293,[0]!ฝนใช้การ,3)/7</f>
        <v>0.30242844387096779</v>
      </c>
      <c r="Q293" s="322">
        <f t="shared" si="67"/>
        <v>60</v>
      </c>
      <c r="R293" s="322">
        <f t="shared" si="63"/>
        <v>0.38987510416505688</v>
      </c>
      <c r="S293" s="322">
        <f t="shared" si="60"/>
        <v>0.47136865255215366</v>
      </c>
      <c r="T293" s="322">
        <f t="shared" si="61"/>
        <v>55.842089558415253</v>
      </c>
      <c r="U293" s="354">
        <f t="shared" si="64"/>
        <v>141</v>
      </c>
      <c r="V293" s="354">
        <f t="shared" si="68"/>
        <v>7</v>
      </c>
      <c r="W293" s="348">
        <v>35.483870967741943</v>
      </c>
      <c r="X293" s="346">
        <v>104.34451612903223</v>
      </c>
      <c r="Y293" s="566">
        <v>29.899000000000001</v>
      </c>
    </row>
    <row r="294" spans="1:25" x14ac:dyDescent="0.15">
      <c r="A294" s="201">
        <f t="shared" si="69"/>
        <v>40</v>
      </c>
      <c r="B294" s="260">
        <f t="shared" si="62"/>
        <v>40032</v>
      </c>
      <c r="C294" s="374">
        <f t="shared" si="56"/>
        <v>214.58024342213676</v>
      </c>
      <c r="D294" s="319">
        <f t="shared" si="65"/>
        <v>55.842089558415253</v>
      </c>
      <c r="E294" s="319">
        <f>VLOOKUP(MONTH(B294),[0]!Evap,3)</f>
        <v>4.4516129032258061</v>
      </c>
      <c r="F294" s="322">
        <f t="shared" si="66"/>
        <v>3.472258064516129</v>
      </c>
      <c r="G294" s="319">
        <f t="shared" si="57"/>
        <v>10.339508196085429</v>
      </c>
      <c r="H294" s="322">
        <f t="shared" si="58"/>
        <v>3.5901440716988239E-2</v>
      </c>
      <c r="I294" s="322">
        <f>+fill_data!B338</f>
        <v>0.30767031446579962</v>
      </c>
      <c r="J294" s="322">
        <f t="shared" si="59"/>
        <v>56.113858432164065</v>
      </c>
      <c r="K294" s="322">
        <f>+fill_data!C338</f>
        <v>1.9354838709677419E-3</v>
      </c>
      <c r="L294" s="322">
        <f>+fill_data!F338</f>
        <v>0</v>
      </c>
      <c r="M294" s="322">
        <f>+fill_data!D338</f>
        <v>3.7258064516129036E-2</v>
      </c>
      <c r="N294" s="322">
        <f>++fill_data!E338</f>
        <v>4.2299999999999997E-2</v>
      </c>
      <c r="O294" s="322">
        <f>VLOOKUP($A294,[0]!ความต้องการน้ำ,3)/7</f>
        <v>0.5363535063700019</v>
      </c>
      <c r="P294" s="322">
        <f>VLOOKUP($A294,[0]!ฝนใช้การ,3)/7</f>
        <v>0.30242844387096779</v>
      </c>
      <c r="Q294" s="322">
        <f t="shared" si="67"/>
        <v>60</v>
      </c>
      <c r="R294" s="322">
        <f t="shared" si="63"/>
        <v>0.38987510416505688</v>
      </c>
      <c r="S294" s="322">
        <f t="shared" si="60"/>
        <v>0.47136865255215366</v>
      </c>
      <c r="T294" s="322">
        <f t="shared" si="61"/>
        <v>55.642489779611914</v>
      </c>
      <c r="U294" s="354">
        <f t="shared" si="64"/>
        <v>141</v>
      </c>
      <c r="V294" s="354">
        <f t="shared" si="68"/>
        <v>7</v>
      </c>
      <c r="W294" s="348">
        <v>35.580645161290334</v>
      </c>
      <c r="X294" s="346">
        <v>105.34741935483866</v>
      </c>
      <c r="Y294" s="566">
        <v>29.821999999999999</v>
      </c>
    </row>
    <row r="295" spans="1:25" x14ac:dyDescent="0.15">
      <c r="A295" s="201">
        <v>41</v>
      </c>
      <c r="B295" s="260">
        <f t="shared" si="62"/>
        <v>40033</v>
      </c>
      <c r="C295" s="374">
        <f t="shared" si="56"/>
        <v>214.5611731158516</v>
      </c>
      <c r="D295" s="319">
        <f t="shared" si="65"/>
        <v>55.642489779611914</v>
      </c>
      <c r="E295" s="319">
        <f>VLOOKUP(MONTH(B295),[0]!Evap,3)</f>
        <v>4.4516129032258061</v>
      </c>
      <c r="F295" s="322">
        <f t="shared" si="66"/>
        <v>3.472258064516129</v>
      </c>
      <c r="G295" s="319">
        <f t="shared" si="57"/>
        <v>10.327462566073166</v>
      </c>
      <c r="H295" s="322">
        <f t="shared" si="58"/>
        <v>3.5859615181035982E-2</v>
      </c>
      <c r="I295" s="322">
        <f>+fill_data!B339</f>
        <v>0.30767031446579962</v>
      </c>
      <c r="J295" s="322">
        <f t="shared" si="59"/>
        <v>55.914300478896678</v>
      </c>
      <c r="K295" s="322">
        <f>+fill_data!C339</f>
        <v>1.9354838709677419E-3</v>
      </c>
      <c r="L295" s="322">
        <f>+fill_data!F339</f>
        <v>0</v>
      </c>
      <c r="M295" s="322">
        <f>+fill_data!D339</f>
        <v>3.7258064516129036E-2</v>
      </c>
      <c r="N295" s="322">
        <f>++fill_data!E339</f>
        <v>4.2299999999999997E-2</v>
      </c>
      <c r="O295" s="322">
        <f>VLOOKUP($A295,[0]!ความต้องการน้ำ,3)/7</f>
        <v>0.56758065928216572</v>
      </c>
      <c r="P295" s="322">
        <f>VLOOKUP($A295,[0]!ฝนใช้การ,3)/7</f>
        <v>0.30242844387096779</v>
      </c>
      <c r="Q295" s="322">
        <f t="shared" si="67"/>
        <v>60</v>
      </c>
      <c r="R295" s="322">
        <f t="shared" si="63"/>
        <v>0.44192035901866322</v>
      </c>
      <c r="S295" s="322">
        <f t="shared" si="60"/>
        <v>0.52341390740575999</v>
      </c>
      <c r="T295" s="322">
        <f t="shared" si="61"/>
        <v>55.390886571490917</v>
      </c>
      <c r="U295" s="354">
        <f t="shared" si="64"/>
        <v>141</v>
      </c>
      <c r="V295" s="354">
        <f t="shared" si="68"/>
        <v>7</v>
      </c>
      <c r="W295" s="348">
        <v>35.677419354838719</v>
      </c>
      <c r="X295" s="346">
        <v>106.35032258064511</v>
      </c>
      <c r="Y295" s="566">
        <v>29.745000000000001</v>
      </c>
    </row>
    <row r="296" spans="1:25" x14ac:dyDescent="0.15">
      <c r="A296" s="201">
        <f t="shared" si="69"/>
        <v>41</v>
      </c>
      <c r="B296" s="260">
        <f t="shared" si="62"/>
        <v>40034</v>
      </c>
      <c r="C296" s="374">
        <f t="shared" si="56"/>
        <v>214.53713426034804</v>
      </c>
      <c r="D296" s="319">
        <f t="shared" si="65"/>
        <v>55.390886571490917</v>
      </c>
      <c r="E296" s="319">
        <f>VLOOKUP(MONTH(B296),[0]!Evap,3)</f>
        <v>4.4516129032258061</v>
      </c>
      <c r="F296" s="322">
        <f t="shared" si="66"/>
        <v>3.472258064516129</v>
      </c>
      <c r="G296" s="319">
        <f t="shared" si="57"/>
        <v>10.312278585544256</v>
      </c>
      <c r="H296" s="322">
        <f t="shared" si="58"/>
        <v>3.5806892482193022E-2</v>
      </c>
      <c r="I296" s="322">
        <f>+fill_data!B340</f>
        <v>0.30767031446579962</v>
      </c>
      <c r="J296" s="322">
        <f t="shared" si="59"/>
        <v>55.662749993474527</v>
      </c>
      <c r="K296" s="322">
        <f>+fill_data!C340</f>
        <v>1.9354838709677419E-3</v>
      </c>
      <c r="L296" s="322">
        <f>+fill_data!F340</f>
        <v>0</v>
      </c>
      <c r="M296" s="322">
        <f>+fill_data!D340</f>
        <v>3.7258064516129036E-2</v>
      </c>
      <c r="N296" s="322">
        <f>++fill_data!E340</f>
        <v>4.2299999999999997E-2</v>
      </c>
      <c r="O296" s="322">
        <f>VLOOKUP($A296,[0]!ความต้องการน้ำ,3)/7</f>
        <v>0.56758065928216572</v>
      </c>
      <c r="P296" s="322">
        <f>VLOOKUP($A296,[0]!ฝนใช้การ,3)/7</f>
        <v>0.30242844387096779</v>
      </c>
      <c r="Q296" s="322">
        <f t="shared" si="67"/>
        <v>60</v>
      </c>
      <c r="R296" s="322">
        <f t="shared" si="63"/>
        <v>0.44192035901866322</v>
      </c>
      <c r="S296" s="322">
        <f t="shared" si="60"/>
        <v>0.52341390740575999</v>
      </c>
      <c r="T296" s="322">
        <f t="shared" si="61"/>
        <v>55.139336086068766</v>
      </c>
      <c r="U296" s="354">
        <f t="shared" si="64"/>
        <v>141</v>
      </c>
      <c r="V296" s="354">
        <f t="shared" si="68"/>
        <v>7</v>
      </c>
      <c r="W296" s="348">
        <v>35.77419354838711</v>
      </c>
      <c r="X296" s="346">
        <v>107.35322580645156</v>
      </c>
      <c r="Y296" s="566">
        <v>29.821999999999999</v>
      </c>
    </row>
    <row r="297" spans="1:25" x14ac:dyDescent="0.15">
      <c r="A297" s="201">
        <f t="shared" si="69"/>
        <v>41</v>
      </c>
      <c r="B297" s="260">
        <f t="shared" si="62"/>
        <v>40035</v>
      </c>
      <c r="C297" s="374">
        <f t="shared" si="56"/>
        <v>214.51310044211468</v>
      </c>
      <c r="D297" s="319">
        <f t="shared" si="65"/>
        <v>55.139336086068766</v>
      </c>
      <c r="E297" s="319">
        <f>VLOOKUP(MONTH(B297),[0]!Evap,3)</f>
        <v>4.4516129032258061</v>
      </c>
      <c r="F297" s="322">
        <f t="shared" si="66"/>
        <v>3.472258064516129</v>
      </c>
      <c r="G297" s="319">
        <f t="shared" si="57"/>
        <v>10.297097786773</v>
      </c>
      <c r="H297" s="322">
        <f t="shared" si="58"/>
        <v>3.5754180831233731E-2</v>
      </c>
      <c r="I297" s="322">
        <f>+fill_data!B341</f>
        <v>0.30767031446579962</v>
      </c>
      <c r="J297" s="322">
        <f t="shared" si="59"/>
        <v>55.411252219703336</v>
      </c>
      <c r="K297" s="322">
        <f>+fill_data!C341</f>
        <v>1.9354838709677419E-3</v>
      </c>
      <c r="L297" s="322">
        <f>+fill_data!F341</f>
        <v>0</v>
      </c>
      <c r="M297" s="322">
        <f>+fill_data!D341</f>
        <v>3.7258064516129036E-2</v>
      </c>
      <c r="N297" s="322">
        <f>++fill_data!E341</f>
        <v>4.2299999999999997E-2</v>
      </c>
      <c r="O297" s="322">
        <f>VLOOKUP($A297,[0]!ความต้องการน้ำ,3)/7</f>
        <v>0.56758065928216572</v>
      </c>
      <c r="P297" s="322">
        <f>VLOOKUP($A297,[0]!ฝนใช้การ,3)/7</f>
        <v>0.30242844387096779</v>
      </c>
      <c r="Q297" s="322">
        <f t="shared" si="67"/>
        <v>60</v>
      </c>
      <c r="R297" s="322">
        <f t="shared" si="63"/>
        <v>0.44192035901866322</v>
      </c>
      <c r="S297" s="322">
        <f t="shared" si="60"/>
        <v>0.52341390740575999</v>
      </c>
      <c r="T297" s="322">
        <f t="shared" si="61"/>
        <v>54.887838312297575</v>
      </c>
      <c r="U297" s="354">
        <f t="shared" si="64"/>
        <v>141</v>
      </c>
      <c r="V297" s="354">
        <f t="shared" si="68"/>
        <v>7</v>
      </c>
      <c r="W297" s="348">
        <v>35.870967741935502</v>
      </c>
      <c r="X297" s="346">
        <v>108.35612903225801</v>
      </c>
      <c r="Y297" s="566">
        <v>29.977</v>
      </c>
    </row>
    <row r="298" spans="1:25" x14ac:dyDescent="0.15">
      <c r="A298" s="201">
        <f t="shared" si="69"/>
        <v>41</v>
      </c>
      <c r="B298" s="260">
        <f t="shared" si="62"/>
        <v>40036</v>
      </c>
      <c r="C298" s="374">
        <f t="shared" si="56"/>
        <v>214.48854910616922</v>
      </c>
      <c r="D298" s="319">
        <f t="shared" si="65"/>
        <v>54.887838312297575</v>
      </c>
      <c r="E298" s="319">
        <f>VLOOKUP(MONTH(B298),[0]!Evap,3)</f>
        <v>4.4516129032258061</v>
      </c>
      <c r="F298" s="322">
        <f t="shared" si="66"/>
        <v>3.472258064516129</v>
      </c>
      <c r="G298" s="319">
        <f t="shared" si="57"/>
        <v>10.281468457951366</v>
      </c>
      <c r="H298" s="322">
        <f t="shared" si="58"/>
        <v>3.5699911768189839E-2</v>
      </c>
      <c r="I298" s="322">
        <f>+fill_data!B342</f>
        <v>0.30767031446579962</v>
      </c>
      <c r="J298" s="322">
        <f t="shared" si="59"/>
        <v>55.159808714995187</v>
      </c>
      <c r="K298" s="322">
        <f>+fill_data!C342</f>
        <v>1.9354838709677419E-3</v>
      </c>
      <c r="L298" s="322">
        <f>+fill_data!F342</f>
        <v>0</v>
      </c>
      <c r="M298" s="322">
        <f>+fill_data!D342</f>
        <v>3.7258064516129036E-2</v>
      </c>
      <c r="N298" s="322">
        <f>++fill_data!E342</f>
        <v>4.2299999999999997E-2</v>
      </c>
      <c r="O298" s="322">
        <f>VLOOKUP($A298,[0]!ความต้องการน้ำ,3)/7</f>
        <v>0.56758065928216572</v>
      </c>
      <c r="P298" s="322">
        <f>VLOOKUP($A298,[0]!ฝนใช้การ,3)/7</f>
        <v>0.30242844387096779</v>
      </c>
      <c r="Q298" s="322">
        <f t="shared" si="67"/>
        <v>60</v>
      </c>
      <c r="R298" s="322">
        <f t="shared" si="63"/>
        <v>0.44192035901866322</v>
      </c>
      <c r="S298" s="322">
        <f t="shared" si="60"/>
        <v>0.52341390740575999</v>
      </c>
      <c r="T298" s="322">
        <f t="shared" si="61"/>
        <v>54.636394807589426</v>
      </c>
      <c r="U298" s="354">
        <f t="shared" si="64"/>
        <v>141</v>
      </c>
      <c r="V298" s="354">
        <f t="shared" si="68"/>
        <v>7</v>
      </c>
      <c r="W298" s="348">
        <v>35.967741935483886</v>
      </c>
      <c r="X298" s="346">
        <v>109.35903225806445</v>
      </c>
      <c r="Y298" s="566">
        <v>30.207999999999998</v>
      </c>
    </row>
    <row r="299" spans="1:25" x14ac:dyDescent="0.15">
      <c r="A299" s="201">
        <f t="shared" si="69"/>
        <v>41</v>
      </c>
      <c r="B299" s="260">
        <f t="shared" si="62"/>
        <v>40037</v>
      </c>
      <c r="C299" s="374">
        <f t="shared" si="56"/>
        <v>214.46337678712081</v>
      </c>
      <c r="D299" s="319">
        <f t="shared" si="65"/>
        <v>54.636394807589426</v>
      </c>
      <c r="E299" s="319">
        <f>VLOOKUP(MONTH(B299),[0]!Evap,3)</f>
        <v>4.4516129032258061</v>
      </c>
      <c r="F299" s="322">
        <f t="shared" si="66"/>
        <v>3.472258064516129</v>
      </c>
      <c r="G299" s="319">
        <f t="shared" si="57"/>
        <v>10.265301125882663</v>
      </c>
      <c r="H299" s="322">
        <f t="shared" si="58"/>
        <v>3.5643774619032571E-2</v>
      </c>
      <c r="I299" s="322">
        <f>+fill_data!B343</f>
        <v>0.30767031446579962</v>
      </c>
      <c r="J299" s="322">
        <f t="shared" si="59"/>
        <v>54.908421347436196</v>
      </c>
      <c r="K299" s="322">
        <f>+fill_data!C343</f>
        <v>1.9354838709677419E-3</v>
      </c>
      <c r="L299" s="322">
        <f>+fill_data!F343</f>
        <v>0</v>
      </c>
      <c r="M299" s="322">
        <f>+fill_data!D343</f>
        <v>3.7258064516129036E-2</v>
      </c>
      <c r="N299" s="322">
        <f>++fill_data!E343</f>
        <v>4.2299999999999997E-2</v>
      </c>
      <c r="O299" s="322">
        <f>VLOOKUP($A299,[0]!ความต้องการน้ำ,3)/7</f>
        <v>0.56758065928216572</v>
      </c>
      <c r="P299" s="322">
        <f>VLOOKUP($A299,[0]!ฝนใช้การ,3)/7</f>
        <v>0.30242844387096779</v>
      </c>
      <c r="Q299" s="322">
        <f t="shared" si="67"/>
        <v>60</v>
      </c>
      <c r="R299" s="322">
        <f t="shared" si="63"/>
        <v>0.44192035901866322</v>
      </c>
      <c r="S299" s="322">
        <f t="shared" si="60"/>
        <v>0.52341390740575999</v>
      </c>
      <c r="T299" s="322">
        <f t="shared" si="61"/>
        <v>54.385007440030435</v>
      </c>
      <c r="U299" s="354">
        <f t="shared" si="64"/>
        <v>141</v>
      </c>
      <c r="V299" s="354">
        <f t="shared" si="68"/>
        <v>7</v>
      </c>
      <c r="W299" s="348">
        <v>36.064516129032278</v>
      </c>
      <c r="X299" s="346">
        <v>110.36193548387089</v>
      </c>
      <c r="Y299" s="566">
        <v>30.285</v>
      </c>
    </row>
    <row r="300" spans="1:25" x14ac:dyDescent="0.15">
      <c r="A300" s="201">
        <f t="shared" si="69"/>
        <v>41</v>
      </c>
      <c r="B300" s="260">
        <f t="shared" si="62"/>
        <v>40038</v>
      </c>
      <c r="C300" s="374">
        <f t="shared" si="56"/>
        <v>214.43821008803158</v>
      </c>
      <c r="D300" s="319">
        <f t="shared" si="65"/>
        <v>54.385007440030435</v>
      </c>
      <c r="E300" s="319">
        <f>VLOOKUP(MONTH(B300),[0]!Evap,3)</f>
        <v>4.4516129032258061</v>
      </c>
      <c r="F300" s="322">
        <f t="shared" si="66"/>
        <v>3.472258064516129</v>
      </c>
      <c r="G300" s="319">
        <f t="shared" si="57"/>
        <v>10.249137403324307</v>
      </c>
      <c r="H300" s="322">
        <f t="shared" si="58"/>
        <v>3.5587650003026716E-2</v>
      </c>
      <c r="I300" s="322">
        <f>+fill_data!B344</f>
        <v>0.30767031446579962</v>
      </c>
      <c r="J300" s="322">
        <f t="shared" si="59"/>
        <v>54.657090104493214</v>
      </c>
      <c r="K300" s="322">
        <f>+fill_data!C344</f>
        <v>1.9354838709677419E-3</v>
      </c>
      <c r="L300" s="322">
        <f>+fill_data!F344</f>
        <v>0</v>
      </c>
      <c r="M300" s="322">
        <f>+fill_data!D344</f>
        <v>3.7258064516129036E-2</v>
      </c>
      <c r="N300" s="322">
        <f>++fill_data!E344</f>
        <v>4.2299999999999997E-2</v>
      </c>
      <c r="O300" s="322">
        <f>VLOOKUP($A300,[0]!ความต้องการน้ำ,3)/7</f>
        <v>0.56758065928216572</v>
      </c>
      <c r="P300" s="322">
        <f>VLOOKUP($A300,[0]!ฝนใช้การ,3)/7</f>
        <v>0.30242844387096779</v>
      </c>
      <c r="Q300" s="322">
        <f t="shared" si="67"/>
        <v>60</v>
      </c>
      <c r="R300" s="322">
        <f t="shared" si="63"/>
        <v>0.44192035901866322</v>
      </c>
      <c r="S300" s="322">
        <f t="shared" si="60"/>
        <v>0.52341390740575999</v>
      </c>
      <c r="T300" s="322">
        <f t="shared" si="61"/>
        <v>54.133676197087453</v>
      </c>
      <c r="U300" s="354">
        <f t="shared" si="64"/>
        <v>141</v>
      </c>
      <c r="V300" s="354">
        <f t="shared" si="68"/>
        <v>7</v>
      </c>
      <c r="W300" s="348">
        <v>36.161290322580662</v>
      </c>
      <c r="X300" s="346">
        <v>111.36483870967734</v>
      </c>
      <c r="Y300" s="566">
        <v>30.285</v>
      </c>
    </row>
    <row r="301" spans="1:25" x14ac:dyDescent="0.15">
      <c r="A301" s="201">
        <f t="shared" si="69"/>
        <v>41</v>
      </c>
      <c r="B301" s="260">
        <f t="shared" si="62"/>
        <v>40039</v>
      </c>
      <c r="C301" s="374">
        <f t="shared" si="56"/>
        <v>214.4130490076468</v>
      </c>
      <c r="D301" s="319">
        <f t="shared" si="65"/>
        <v>54.133676197087453</v>
      </c>
      <c r="E301" s="319">
        <f>VLOOKUP(MONTH(B301),[0]!Evap,3)</f>
        <v>4.4516129032258061</v>
      </c>
      <c r="F301" s="322">
        <f t="shared" si="66"/>
        <v>3.472258064516129</v>
      </c>
      <c r="G301" s="319">
        <f t="shared" si="57"/>
        <v>10.23297728947044</v>
      </c>
      <c r="H301" s="322">
        <f t="shared" si="58"/>
        <v>3.553153791737413E-2</v>
      </c>
      <c r="I301" s="322">
        <f>+fill_data!B345</f>
        <v>0.30767031446579962</v>
      </c>
      <c r="J301" s="322">
        <f t="shared" si="59"/>
        <v>54.405814973635884</v>
      </c>
      <c r="K301" s="322">
        <f>+fill_data!C345</f>
        <v>1.9354838709677419E-3</v>
      </c>
      <c r="L301" s="322">
        <f>+fill_data!F345</f>
        <v>0</v>
      </c>
      <c r="M301" s="322">
        <f>+fill_data!D345</f>
        <v>3.7258064516129036E-2</v>
      </c>
      <c r="N301" s="322">
        <f>++fill_data!E345</f>
        <v>4.2299999999999997E-2</v>
      </c>
      <c r="O301" s="322">
        <f>VLOOKUP($A301,[0]!ความต้องการน้ำ,3)/7</f>
        <v>0.56758065928216572</v>
      </c>
      <c r="P301" s="322">
        <f>VLOOKUP($A301,[0]!ฝนใช้การ,3)/7</f>
        <v>0.30242844387096779</v>
      </c>
      <c r="Q301" s="322">
        <f t="shared" si="67"/>
        <v>60</v>
      </c>
      <c r="R301" s="322">
        <f t="shared" si="63"/>
        <v>0.44192035901866322</v>
      </c>
      <c r="S301" s="322">
        <f t="shared" si="60"/>
        <v>0.52341390740575999</v>
      </c>
      <c r="T301" s="322">
        <f t="shared" si="61"/>
        <v>53.882401066230123</v>
      </c>
      <c r="U301" s="354">
        <f t="shared" si="64"/>
        <v>141</v>
      </c>
      <c r="V301" s="354">
        <f t="shared" si="68"/>
        <v>7</v>
      </c>
      <c r="W301" s="348">
        <v>36.258064516129053</v>
      </c>
      <c r="X301" s="346">
        <v>112.36774193548378</v>
      </c>
      <c r="Y301" s="566">
        <v>30.361999999999998</v>
      </c>
    </row>
    <row r="302" spans="1:25" x14ac:dyDescent="0.15">
      <c r="A302" s="201">
        <v>42</v>
      </c>
      <c r="B302" s="260">
        <f t="shared" si="62"/>
        <v>40040</v>
      </c>
      <c r="C302" s="374">
        <f t="shared" si="56"/>
        <v>214.38789354471206</v>
      </c>
      <c r="D302" s="319">
        <f t="shared" si="65"/>
        <v>53.882401066230123</v>
      </c>
      <c r="E302" s="319">
        <f>VLOOKUP(MONTH(B302),[0]!Evap,3)</f>
        <v>4.4516129032258061</v>
      </c>
      <c r="F302" s="322">
        <f t="shared" si="66"/>
        <v>3.472258064516129</v>
      </c>
      <c r="G302" s="319">
        <f t="shared" si="57"/>
        <v>10.216820783515384</v>
      </c>
      <c r="H302" s="322">
        <f t="shared" si="58"/>
        <v>3.5475438359277287E-2</v>
      </c>
      <c r="I302" s="322">
        <f>+fill_data!B346</f>
        <v>0.30767031446579962</v>
      </c>
      <c r="J302" s="322">
        <f t="shared" si="59"/>
        <v>54.154595942336648</v>
      </c>
      <c r="K302" s="322">
        <f>+fill_data!C346</f>
        <v>1.9354838709677419E-3</v>
      </c>
      <c r="L302" s="322">
        <f>+fill_data!F346</f>
        <v>0</v>
      </c>
      <c r="M302" s="322">
        <f>+fill_data!D346</f>
        <v>3.7258064516129036E-2</v>
      </c>
      <c r="N302" s="322">
        <f>++fill_data!E346</f>
        <v>4.2299999999999997E-2</v>
      </c>
      <c r="O302" s="322">
        <f>VLOOKUP($A302,[0]!ความต้องการน้ำ,3)/7</f>
        <v>0.59997430380819838</v>
      </c>
      <c r="P302" s="322">
        <f>VLOOKUP($A302,[0]!ฝนใช้การ,3)/7</f>
        <v>0.30242844387096779</v>
      </c>
      <c r="Q302" s="322">
        <f t="shared" si="67"/>
        <v>60</v>
      </c>
      <c r="R302" s="322">
        <f t="shared" si="63"/>
        <v>0.49590976656205099</v>
      </c>
      <c r="S302" s="322">
        <f t="shared" si="60"/>
        <v>0.57740331494914776</v>
      </c>
      <c r="T302" s="322">
        <f t="shared" si="61"/>
        <v>53.577192627387504</v>
      </c>
      <c r="U302" s="354">
        <f t="shared" si="64"/>
        <v>141</v>
      </c>
      <c r="V302" s="354">
        <f t="shared" si="68"/>
        <v>7</v>
      </c>
      <c r="W302" s="348">
        <v>36.354838709677445</v>
      </c>
      <c r="X302" s="346">
        <v>113.37064516129023</v>
      </c>
      <c r="Y302" s="566">
        <v>30.361999999999998</v>
      </c>
    </row>
    <row r="303" spans="1:25" x14ac:dyDescent="0.15">
      <c r="A303" s="201">
        <f t="shared" si="69"/>
        <v>42</v>
      </c>
      <c r="B303" s="260">
        <f t="shared" si="62"/>
        <v>40041</v>
      </c>
      <c r="C303" s="374">
        <f t="shared" si="56"/>
        <v>214.35733875186614</v>
      </c>
      <c r="D303" s="319">
        <f t="shared" si="65"/>
        <v>53.577192627387504</v>
      </c>
      <c r="E303" s="319">
        <f>VLOOKUP(MONTH(B303),[0]!Evap,3)</f>
        <v>4.4516129032258061</v>
      </c>
      <c r="F303" s="322">
        <f t="shared" si="66"/>
        <v>3.472258064516129</v>
      </c>
      <c r="G303" s="319">
        <f t="shared" si="57"/>
        <v>10.197196469947745</v>
      </c>
      <c r="H303" s="322">
        <f t="shared" si="58"/>
        <v>3.5407297678231454E-2</v>
      </c>
      <c r="I303" s="322">
        <f>+fill_data!B347</f>
        <v>0.30767031446579962</v>
      </c>
      <c r="J303" s="322">
        <f t="shared" si="59"/>
        <v>53.849455644175073</v>
      </c>
      <c r="K303" s="322">
        <f>+fill_data!C347</f>
        <v>1.9354838709677419E-3</v>
      </c>
      <c r="L303" s="322">
        <f>+fill_data!F347</f>
        <v>0</v>
      </c>
      <c r="M303" s="322">
        <f>+fill_data!D347</f>
        <v>3.7258064516129036E-2</v>
      </c>
      <c r="N303" s="322">
        <f>++fill_data!E347</f>
        <v>4.2299999999999997E-2</v>
      </c>
      <c r="O303" s="322">
        <f>VLOOKUP($A303,[0]!ความต้องการน้ำ,3)/7</f>
        <v>0.59997430380819838</v>
      </c>
      <c r="P303" s="322">
        <f>VLOOKUP($A303,[0]!ฝนใช้การ,3)/7</f>
        <v>0.30242844387096779</v>
      </c>
      <c r="Q303" s="322">
        <f t="shared" si="67"/>
        <v>60</v>
      </c>
      <c r="R303" s="322">
        <f t="shared" si="63"/>
        <v>0.49590976656205099</v>
      </c>
      <c r="S303" s="322">
        <f t="shared" si="60"/>
        <v>0.57740331494914776</v>
      </c>
      <c r="T303" s="322">
        <f t="shared" si="61"/>
        <v>53.272052329225929</v>
      </c>
      <c r="U303" s="354">
        <f t="shared" si="64"/>
        <v>141</v>
      </c>
      <c r="V303" s="354">
        <f t="shared" si="68"/>
        <v>7</v>
      </c>
      <c r="W303" s="348">
        <v>36.451612903225829</v>
      </c>
      <c r="X303" s="346">
        <v>114.37354838709668</v>
      </c>
      <c r="Y303" s="566">
        <v>30.44</v>
      </c>
    </row>
    <row r="304" spans="1:25" x14ac:dyDescent="0.15">
      <c r="A304" s="201">
        <f t="shared" si="69"/>
        <v>42</v>
      </c>
      <c r="B304" s="260">
        <f t="shared" si="62"/>
        <v>40042</v>
      </c>
      <c r="C304" s="374">
        <f t="shared" si="56"/>
        <v>214.32679078066775</v>
      </c>
      <c r="D304" s="319">
        <f t="shared" si="65"/>
        <v>53.272052329225929</v>
      </c>
      <c r="E304" s="319">
        <f>VLOOKUP(MONTH(B304),[0]!Evap,3)</f>
        <v>4.4516129032258061</v>
      </c>
      <c r="F304" s="322">
        <f t="shared" si="66"/>
        <v>3.472258064516129</v>
      </c>
      <c r="G304" s="319">
        <f t="shared" si="57"/>
        <v>10.177576537694385</v>
      </c>
      <c r="H304" s="322">
        <f t="shared" si="58"/>
        <v>3.5339172210239467E-2</v>
      </c>
      <c r="I304" s="322">
        <f>+fill_data!B348</f>
        <v>0.30767031446579962</v>
      </c>
      <c r="J304" s="322">
        <f t="shared" si="59"/>
        <v>53.544383471481488</v>
      </c>
      <c r="K304" s="322">
        <f>+fill_data!C348</f>
        <v>1.9354838709677419E-3</v>
      </c>
      <c r="L304" s="322">
        <f>+fill_data!F348</f>
        <v>0</v>
      </c>
      <c r="M304" s="322">
        <f>+fill_data!D348</f>
        <v>3.7258064516129036E-2</v>
      </c>
      <c r="N304" s="322">
        <f>++fill_data!E348</f>
        <v>4.2299999999999997E-2</v>
      </c>
      <c r="O304" s="322">
        <f>VLOOKUP($A304,[0]!ความต้องการน้ำ,3)/7</f>
        <v>0.59997430380819838</v>
      </c>
      <c r="P304" s="322">
        <f>VLOOKUP($A304,[0]!ฝนใช้การ,3)/7</f>
        <v>0.30242844387096779</v>
      </c>
      <c r="Q304" s="322">
        <f t="shared" si="67"/>
        <v>60</v>
      </c>
      <c r="R304" s="322">
        <f t="shared" si="63"/>
        <v>0.49590976656205099</v>
      </c>
      <c r="S304" s="322">
        <f t="shared" si="60"/>
        <v>0.57740331494914776</v>
      </c>
      <c r="T304" s="322">
        <f t="shared" si="61"/>
        <v>52.966980156532344</v>
      </c>
      <c r="U304" s="354">
        <f t="shared" si="64"/>
        <v>141</v>
      </c>
      <c r="V304" s="354">
        <f t="shared" si="68"/>
        <v>7</v>
      </c>
      <c r="W304" s="348">
        <v>36.548387096774221</v>
      </c>
      <c r="X304" s="346">
        <v>115.37645161290313</v>
      </c>
      <c r="Y304" s="566">
        <v>30.361999999999998</v>
      </c>
    </row>
    <row r="305" spans="1:25" x14ac:dyDescent="0.15">
      <c r="A305" s="201">
        <f t="shared" si="69"/>
        <v>42</v>
      </c>
      <c r="B305" s="260">
        <f t="shared" si="62"/>
        <v>40043</v>
      </c>
      <c r="C305" s="374">
        <f t="shared" si="56"/>
        <v>214.29624962959389</v>
      </c>
      <c r="D305" s="319">
        <f t="shared" si="65"/>
        <v>52.966980156532344</v>
      </c>
      <c r="E305" s="319">
        <f>VLOOKUP(MONTH(B305),[0]!Evap,3)</f>
        <v>4.4516129032258061</v>
      </c>
      <c r="F305" s="322">
        <f t="shared" si="66"/>
        <v>3.472258064516129</v>
      </c>
      <c r="G305" s="319">
        <f t="shared" si="57"/>
        <v>10.157960985777137</v>
      </c>
      <c r="H305" s="322">
        <f t="shared" si="58"/>
        <v>3.5271061951904867E-2</v>
      </c>
      <c r="I305" s="322">
        <f>+fill_data!B349</f>
        <v>0.30767031446579962</v>
      </c>
      <c r="J305" s="322">
        <f t="shared" si="59"/>
        <v>53.239379409046244</v>
      </c>
      <c r="K305" s="322">
        <f>+fill_data!C349</f>
        <v>1.9354838709677419E-3</v>
      </c>
      <c r="L305" s="322">
        <f>+fill_data!F349</f>
        <v>0</v>
      </c>
      <c r="M305" s="322">
        <f>+fill_data!D349</f>
        <v>3.7258064516129036E-2</v>
      </c>
      <c r="N305" s="322">
        <f>++fill_data!E349</f>
        <v>4.2299999999999997E-2</v>
      </c>
      <c r="O305" s="322">
        <f>VLOOKUP($A305,[0]!ความต้องการน้ำ,3)/7</f>
        <v>0.59997430380819838</v>
      </c>
      <c r="P305" s="322">
        <f>VLOOKUP($A305,[0]!ฝนใช้การ,3)/7</f>
        <v>0.30242844387096779</v>
      </c>
      <c r="Q305" s="322">
        <f t="shared" si="67"/>
        <v>60</v>
      </c>
      <c r="R305" s="322">
        <f t="shared" si="63"/>
        <v>0.49590976656205099</v>
      </c>
      <c r="S305" s="322">
        <f t="shared" si="60"/>
        <v>0.57740331494914776</v>
      </c>
      <c r="T305" s="322">
        <f t="shared" si="61"/>
        <v>52.661976094097099</v>
      </c>
      <c r="U305" s="354">
        <f t="shared" si="64"/>
        <v>141</v>
      </c>
      <c r="V305" s="354">
        <f t="shared" si="68"/>
        <v>7</v>
      </c>
      <c r="W305" s="348">
        <v>36.645161290322612</v>
      </c>
      <c r="X305" s="346">
        <v>116.37935483870956</v>
      </c>
      <c r="Y305" s="566">
        <v>30.207999999999998</v>
      </c>
    </row>
    <row r="306" spans="1:25" x14ac:dyDescent="0.15">
      <c r="A306" s="201">
        <f t="shared" si="69"/>
        <v>42</v>
      </c>
      <c r="B306" s="260">
        <f t="shared" si="62"/>
        <v>40044</v>
      </c>
      <c r="C306" s="374">
        <f t="shared" si="56"/>
        <v>214.26571529712191</v>
      </c>
      <c r="D306" s="319">
        <f t="shared" si="65"/>
        <v>52.661976094097099</v>
      </c>
      <c r="E306" s="319">
        <f>VLOOKUP(MONTH(B306),[0]!Evap,3)</f>
        <v>4.4516129032258061</v>
      </c>
      <c r="F306" s="322">
        <f t="shared" si="66"/>
        <v>3.472258064516129</v>
      </c>
      <c r="G306" s="319">
        <f t="shared" si="57"/>
        <v>10.138349813218046</v>
      </c>
      <c r="H306" s="322">
        <f t="shared" si="58"/>
        <v>3.5202966899831947E-2</v>
      </c>
      <c r="I306" s="322">
        <f>+fill_data!B350</f>
        <v>0.30767031446579962</v>
      </c>
      <c r="J306" s="322">
        <f t="shared" si="59"/>
        <v>52.93444344166307</v>
      </c>
      <c r="K306" s="322">
        <f>+fill_data!C350</f>
        <v>1.9354838709677419E-3</v>
      </c>
      <c r="L306" s="322">
        <f>+fill_data!F350</f>
        <v>0</v>
      </c>
      <c r="M306" s="322">
        <f>+fill_data!D350</f>
        <v>3.7258064516129036E-2</v>
      </c>
      <c r="N306" s="322">
        <f>++fill_data!E350</f>
        <v>4.2299999999999997E-2</v>
      </c>
      <c r="O306" s="322">
        <f>VLOOKUP($A306,[0]!ความต้องการน้ำ,3)/7</f>
        <v>0.59997430380819838</v>
      </c>
      <c r="P306" s="322">
        <f>VLOOKUP($A306,[0]!ฝนใช้การ,3)/7</f>
        <v>0.30242844387096779</v>
      </c>
      <c r="Q306" s="322">
        <f t="shared" si="67"/>
        <v>60</v>
      </c>
      <c r="R306" s="322">
        <f t="shared" si="63"/>
        <v>0.49590976656205099</v>
      </c>
      <c r="S306" s="322">
        <f t="shared" si="60"/>
        <v>0.57740331494914776</v>
      </c>
      <c r="T306" s="322">
        <f t="shared" si="61"/>
        <v>52.357040126713926</v>
      </c>
      <c r="U306" s="354">
        <f t="shared" si="64"/>
        <v>141</v>
      </c>
      <c r="V306" s="354">
        <f t="shared" si="68"/>
        <v>7</v>
      </c>
      <c r="W306" s="348">
        <v>36.741935483870996</v>
      </c>
      <c r="X306" s="346">
        <v>117.38225806451601</v>
      </c>
      <c r="Y306" s="566">
        <v>30.131</v>
      </c>
    </row>
    <row r="307" spans="1:25" x14ac:dyDescent="0.15">
      <c r="A307" s="201">
        <f t="shared" si="69"/>
        <v>42</v>
      </c>
      <c r="B307" s="260">
        <f t="shared" si="62"/>
        <v>40045</v>
      </c>
      <c r="C307" s="374">
        <f t="shared" si="56"/>
        <v>214.23518778172948</v>
      </c>
      <c r="D307" s="319">
        <f t="shared" si="65"/>
        <v>52.357040126713926</v>
      </c>
      <c r="E307" s="319">
        <f>VLOOKUP(MONTH(B307),[0]!Evap,3)</f>
        <v>4.4516129032258061</v>
      </c>
      <c r="F307" s="322">
        <f t="shared" si="66"/>
        <v>3.472258064516129</v>
      </c>
      <c r="G307" s="319">
        <f t="shared" si="57"/>
        <v>10.118743019039382</v>
      </c>
      <c r="H307" s="322">
        <f t="shared" si="58"/>
        <v>3.5134887050625771E-2</v>
      </c>
      <c r="I307" s="322">
        <f>+fill_data!B351</f>
        <v>0.30767031446579962</v>
      </c>
      <c r="J307" s="322">
        <f t="shared" si="59"/>
        <v>52.629575554129104</v>
      </c>
      <c r="K307" s="322">
        <f>+fill_data!C351</f>
        <v>1.9354838709677419E-3</v>
      </c>
      <c r="L307" s="322">
        <f>+fill_data!F351</f>
        <v>0</v>
      </c>
      <c r="M307" s="322">
        <f>+fill_data!D351</f>
        <v>3.7258064516129036E-2</v>
      </c>
      <c r="N307" s="322">
        <f>++fill_data!E351</f>
        <v>4.2299999999999997E-2</v>
      </c>
      <c r="O307" s="322">
        <f>VLOOKUP($A307,[0]!ความต้องการน้ำ,3)/7</f>
        <v>0.59997430380819838</v>
      </c>
      <c r="P307" s="322">
        <f>VLOOKUP($A307,[0]!ฝนใช้การ,3)/7</f>
        <v>0.30242844387096779</v>
      </c>
      <c r="Q307" s="322">
        <f t="shared" si="67"/>
        <v>60</v>
      </c>
      <c r="R307" s="322">
        <f t="shared" si="63"/>
        <v>0.49590976656205099</v>
      </c>
      <c r="S307" s="322">
        <f t="shared" si="60"/>
        <v>0.57740331494914776</v>
      </c>
      <c r="T307" s="322">
        <f t="shared" si="61"/>
        <v>52.05217223917996</v>
      </c>
      <c r="U307" s="354">
        <f t="shared" si="64"/>
        <v>141</v>
      </c>
      <c r="V307" s="354">
        <f t="shared" si="68"/>
        <v>7</v>
      </c>
      <c r="W307" s="348">
        <v>36.838709677419388</v>
      </c>
      <c r="X307" s="346">
        <v>118.38516129032246</v>
      </c>
      <c r="Y307" s="566">
        <v>29.977</v>
      </c>
    </row>
    <row r="308" spans="1:25" x14ac:dyDescent="0.15">
      <c r="A308" s="201">
        <f t="shared" si="69"/>
        <v>42</v>
      </c>
      <c r="B308" s="260">
        <f t="shared" si="62"/>
        <v>40046</v>
      </c>
      <c r="C308" s="374">
        <f t="shared" si="56"/>
        <v>214.20466708189466</v>
      </c>
      <c r="D308" s="319">
        <f t="shared" si="65"/>
        <v>52.05217223917996</v>
      </c>
      <c r="E308" s="319">
        <f>VLOOKUP(MONTH(B308),[0]!Evap,3)</f>
        <v>4.4516129032258061</v>
      </c>
      <c r="F308" s="322">
        <f t="shared" si="66"/>
        <v>3.472258064516129</v>
      </c>
      <c r="G308" s="319">
        <f t="shared" si="57"/>
        <v>10.099140602263626</v>
      </c>
      <c r="H308" s="322">
        <f t="shared" si="58"/>
        <v>3.506682240089215E-2</v>
      </c>
      <c r="I308" s="322">
        <f>+fill_data!B352</f>
        <v>0.30767031446579962</v>
      </c>
      <c r="J308" s="322">
        <f t="shared" si="59"/>
        <v>52.32477573124487</v>
      </c>
      <c r="K308" s="322">
        <f>+fill_data!C352</f>
        <v>1.9354838709677419E-3</v>
      </c>
      <c r="L308" s="322">
        <f>+fill_data!F352</f>
        <v>0</v>
      </c>
      <c r="M308" s="322">
        <f>+fill_data!D352</f>
        <v>3.7258064516129036E-2</v>
      </c>
      <c r="N308" s="322">
        <f>++fill_data!E352</f>
        <v>4.2299999999999997E-2</v>
      </c>
      <c r="O308" s="322">
        <f>VLOOKUP($A308,[0]!ความต้องการน้ำ,3)/7</f>
        <v>0.59997430380819838</v>
      </c>
      <c r="P308" s="322">
        <f>VLOOKUP($A308,[0]!ฝนใช้การ,3)/7</f>
        <v>0.30242844387096779</v>
      </c>
      <c r="Q308" s="322">
        <f t="shared" si="67"/>
        <v>60</v>
      </c>
      <c r="R308" s="322">
        <f t="shared" si="63"/>
        <v>0.49590976656205099</v>
      </c>
      <c r="S308" s="322">
        <f t="shared" si="60"/>
        <v>0.57740331494914776</v>
      </c>
      <c r="T308" s="322">
        <f t="shared" si="61"/>
        <v>51.747372416295725</v>
      </c>
      <c r="U308" s="354">
        <f t="shared" si="64"/>
        <v>141</v>
      </c>
      <c r="V308" s="354">
        <f t="shared" si="68"/>
        <v>7</v>
      </c>
      <c r="W308" s="348">
        <v>36.935483870967772</v>
      </c>
      <c r="X308" s="346">
        <v>119.38806451612889</v>
      </c>
      <c r="Y308" s="566">
        <v>29.745000000000001</v>
      </c>
    </row>
    <row r="309" spans="1:25" x14ac:dyDescent="0.15">
      <c r="A309" s="201">
        <v>43</v>
      </c>
      <c r="B309" s="260">
        <f t="shared" si="62"/>
        <v>40047</v>
      </c>
      <c r="C309" s="374">
        <f t="shared" si="56"/>
        <v>214.17415319609574</v>
      </c>
      <c r="D309" s="319">
        <f t="shared" si="65"/>
        <v>51.747372416295725</v>
      </c>
      <c r="E309" s="319">
        <f>VLOOKUP(MONTH(B309),[0]!Evap,3)</f>
        <v>4.4516129032258061</v>
      </c>
      <c r="F309" s="322">
        <f t="shared" si="66"/>
        <v>3.472258064516129</v>
      </c>
      <c r="G309" s="319">
        <f t="shared" si="57"/>
        <v>10.079542561913486</v>
      </c>
      <c r="H309" s="322">
        <f t="shared" si="58"/>
        <v>3.4998772947237661E-2</v>
      </c>
      <c r="I309" s="322">
        <f>+fill_data!B353</f>
        <v>0.30767031446579962</v>
      </c>
      <c r="J309" s="322">
        <f t="shared" si="59"/>
        <v>52.020043957814288</v>
      </c>
      <c r="K309" s="322">
        <f>+fill_data!C353</f>
        <v>1.9354838709677419E-3</v>
      </c>
      <c r="L309" s="322">
        <f>+fill_data!F353</f>
        <v>0</v>
      </c>
      <c r="M309" s="322">
        <f>+fill_data!D353</f>
        <v>3.7258064516129036E-2</v>
      </c>
      <c r="N309" s="322">
        <f>++fill_data!E353</f>
        <v>4.2299999999999997E-2</v>
      </c>
      <c r="O309" s="322">
        <f>VLOOKUP($A309,[0]!ความต้องการน้ำ,3)/7</f>
        <v>0.61677750163096956</v>
      </c>
      <c r="P309" s="322">
        <f>VLOOKUP($A309,[0]!ฝนใช้การ,3)/7</f>
        <v>0.30242844387096779</v>
      </c>
      <c r="Q309" s="322">
        <f t="shared" si="67"/>
        <v>60</v>
      </c>
      <c r="R309" s="322">
        <f t="shared" si="63"/>
        <v>0.52391509626666966</v>
      </c>
      <c r="S309" s="322">
        <f t="shared" si="60"/>
        <v>0.60540864465376643</v>
      </c>
      <c r="T309" s="322">
        <f t="shared" si="61"/>
        <v>51.414635313160524</v>
      </c>
      <c r="U309" s="354">
        <f t="shared" si="64"/>
        <v>141</v>
      </c>
      <c r="V309" s="354">
        <f t="shared" si="68"/>
        <v>7</v>
      </c>
      <c r="W309" s="348">
        <v>37.032258064516164</v>
      </c>
      <c r="X309" s="346">
        <v>120.39096774193534</v>
      </c>
      <c r="Y309" s="566">
        <v>29.591000000000001</v>
      </c>
    </row>
    <row r="310" spans="1:25" x14ac:dyDescent="0.15">
      <c r="A310" s="201">
        <f t="shared" si="69"/>
        <v>43</v>
      </c>
      <c r="B310" s="260">
        <f t="shared" si="62"/>
        <v>40048</v>
      </c>
      <c r="C310" s="374">
        <f t="shared" si="56"/>
        <v>214.14084247475068</v>
      </c>
      <c r="D310" s="319">
        <f t="shared" si="65"/>
        <v>51.414635313160524</v>
      </c>
      <c r="E310" s="319">
        <f>VLOOKUP(MONTH(B310),[0]!Evap,3)</f>
        <v>4.4516129032258061</v>
      </c>
      <c r="F310" s="322">
        <f t="shared" si="66"/>
        <v>3.472258064516129</v>
      </c>
      <c r="G310" s="319">
        <f t="shared" si="57"/>
        <v>10.058148208361944</v>
      </c>
      <c r="H310" s="322">
        <f t="shared" si="58"/>
        <v>3.492448623058321E-2</v>
      </c>
      <c r="I310" s="322">
        <f>+fill_data!B354</f>
        <v>0.30767031446579962</v>
      </c>
      <c r="J310" s="322">
        <f t="shared" si="59"/>
        <v>51.68738114139574</v>
      </c>
      <c r="K310" s="322">
        <f>+fill_data!C354</f>
        <v>1.9354838709677419E-3</v>
      </c>
      <c r="L310" s="322">
        <f>+fill_data!F354</f>
        <v>0</v>
      </c>
      <c r="M310" s="322">
        <f>+fill_data!D354</f>
        <v>3.7258064516129036E-2</v>
      </c>
      <c r="N310" s="322">
        <f>++fill_data!E354</f>
        <v>4.2299999999999997E-2</v>
      </c>
      <c r="O310" s="322">
        <f>VLOOKUP($A310,[0]!ความต้องการน้ำ,3)/7</f>
        <v>0.61677750163096956</v>
      </c>
      <c r="P310" s="322">
        <f>VLOOKUP($A310,[0]!ฝนใช้การ,3)/7</f>
        <v>0.30242844387096779</v>
      </c>
      <c r="Q310" s="322">
        <f t="shared" si="67"/>
        <v>60</v>
      </c>
      <c r="R310" s="322">
        <f t="shared" si="63"/>
        <v>0.52391509626666966</v>
      </c>
      <c r="S310" s="322">
        <f t="shared" si="60"/>
        <v>0.60540864465376643</v>
      </c>
      <c r="T310" s="322">
        <f t="shared" si="61"/>
        <v>51.081972496741976</v>
      </c>
      <c r="U310" s="354">
        <f t="shared" si="64"/>
        <v>141</v>
      </c>
      <c r="V310" s="354">
        <f t="shared" si="68"/>
        <v>7</v>
      </c>
      <c r="W310" s="348">
        <v>37.129032258064555</v>
      </c>
      <c r="X310" s="346">
        <v>121.39387096774179</v>
      </c>
      <c r="Y310" s="566">
        <v>29.436</v>
      </c>
    </row>
    <row r="311" spans="1:25" x14ac:dyDescent="0.15">
      <c r="A311" s="201">
        <f t="shared" si="69"/>
        <v>43</v>
      </c>
      <c r="B311" s="260">
        <f t="shared" si="62"/>
        <v>40049</v>
      </c>
      <c r="C311" s="374">
        <f t="shared" si="56"/>
        <v>214.10753919034033</v>
      </c>
      <c r="D311" s="319">
        <f t="shared" si="65"/>
        <v>51.081972496741976</v>
      </c>
      <c r="E311" s="319">
        <f>VLOOKUP(MONTH(B311),[0]!Evap,3)</f>
        <v>4.4516129032258061</v>
      </c>
      <c r="F311" s="322">
        <f t="shared" si="66"/>
        <v>3.472258064516129</v>
      </c>
      <c r="G311" s="319">
        <f t="shared" si="57"/>
        <v>10.036758631302909</v>
      </c>
      <c r="H311" s="322">
        <f t="shared" si="58"/>
        <v>3.4850216099143391E-2</v>
      </c>
      <c r="I311" s="322">
        <f>+fill_data!B355</f>
        <v>0.30767031446579962</v>
      </c>
      <c r="J311" s="322">
        <f t="shared" si="59"/>
        <v>51.354792595108634</v>
      </c>
      <c r="K311" s="322">
        <f>+fill_data!C355</f>
        <v>1.9354838709677419E-3</v>
      </c>
      <c r="L311" s="322">
        <f>+fill_data!F355</f>
        <v>0</v>
      </c>
      <c r="M311" s="322">
        <f>+fill_data!D355</f>
        <v>3.7258064516129036E-2</v>
      </c>
      <c r="N311" s="322">
        <f>++fill_data!E355</f>
        <v>4.2299999999999997E-2</v>
      </c>
      <c r="O311" s="322">
        <f>VLOOKUP($A311,[0]!ความต้องการน้ำ,3)/7</f>
        <v>0.61677750163096956</v>
      </c>
      <c r="P311" s="322">
        <f>VLOOKUP($A311,[0]!ฝนใช้การ,3)/7</f>
        <v>0.30242844387096779</v>
      </c>
      <c r="Q311" s="322">
        <f t="shared" si="67"/>
        <v>60</v>
      </c>
      <c r="R311" s="322">
        <f t="shared" si="63"/>
        <v>0.52391509626666966</v>
      </c>
      <c r="S311" s="322">
        <f t="shared" si="60"/>
        <v>0.60540864465376643</v>
      </c>
      <c r="T311" s="322">
        <f t="shared" si="61"/>
        <v>50.74938395045487</v>
      </c>
      <c r="U311" s="354">
        <f t="shared" si="64"/>
        <v>141</v>
      </c>
      <c r="V311" s="354">
        <f t="shared" si="68"/>
        <v>7</v>
      </c>
      <c r="W311" s="348">
        <v>37.225806451612939</v>
      </c>
      <c r="X311" s="346">
        <v>122.39677419354824</v>
      </c>
      <c r="Y311" s="566">
        <v>29.282</v>
      </c>
    </row>
    <row r="312" spans="1:25" x14ac:dyDescent="0.15">
      <c r="A312" s="201">
        <f t="shared" si="69"/>
        <v>43</v>
      </c>
      <c r="B312" s="260">
        <f t="shared" si="62"/>
        <v>40050</v>
      </c>
      <c r="C312" s="374">
        <f t="shared" si="56"/>
        <v>214.07424334120438</v>
      </c>
      <c r="D312" s="319">
        <f t="shared" si="65"/>
        <v>50.74938395045487</v>
      </c>
      <c r="E312" s="319">
        <f>VLOOKUP(MONTH(B312),[0]!Evap,3)</f>
        <v>4.4516129032258061</v>
      </c>
      <c r="F312" s="322">
        <f t="shared" si="66"/>
        <v>3.472258064516129</v>
      </c>
      <c r="G312" s="319">
        <f t="shared" si="57"/>
        <v>10.015373829669986</v>
      </c>
      <c r="H312" s="322">
        <f t="shared" si="58"/>
        <v>3.4775962549215396E-2</v>
      </c>
      <c r="I312" s="322">
        <f>+fill_data!B356</f>
        <v>0.30767031446579962</v>
      </c>
      <c r="J312" s="322">
        <f t="shared" si="59"/>
        <v>51.022278302371454</v>
      </c>
      <c r="K312" s="322">
        <f>+fill_data!C356</f>
        <v>1.9354838709677419E-3</v>
      </c>
      <c r="L312" s="322">
        <f>+fill_data!F356</f>
        <v>0</v>
      </c>
      <c r="M312" s="322">
        <f>+fill_data!D356</f>
        <v>3.7258064516129036E-2</v>
      </c>
      <c r="N312" s="322">
        <f>++fill_data!E356</f>
        <v>4.2299999999999997E-2</v>
      </c>
      <c r="O312" s="322">
        <f>VLOOKUP($A312,[0]!ความต้องการน้ำ,3)/7</f>
        <v>0.61677750163096956</v>
      </c>
      <c r="P312" s="322">
        <f>VLOOKUP($A312,[0]!ฝนใช้การ,3)/7</f>
        <v>0.30242844387096779</v>
      </c>
      <c r="Q312" s="322">
        <f t="shared" si="67"/>
        <v>60</v>
      </c>
      <c r="R312" s="322">
        <f t="shared" si="63"/>
        <v>0.52391509626666966</v>
      </c>
      <c r="S312" s="322">
        <f t="shared" si="60"/>
        <v>0.60540864465376643</v>
      </c>
      <c r="T312" s="322">
        <f t="shared" si="61"/>
        <v>50.41686965771769</v>
      </c>
      <c r="U312" s="354">
        <f t="shared" si="64"/>
        <v>141</v>
      </c>
      <c r="V312" s="354">
        <f t="shared" si="68"/>
        <v>7</v>
      </c>
      <c r="W312" s="348">
        <v>37.322580645161331</v>
      </c>
      <c r="X312" s="346">
        <v>123.39967741935467</v>
      </c>
      <c r="Y312" s="566">
        <v>29.204999999999998</v>
      </c>
    </row>
    <row r="313" spans="1:25" x14ac:dyDescent="0.15">
      <c r="A313" s="201">
        <f t="shared" si="69"/>
        <v>43</v>
      </c>
      <c r="B313" s="260">
        <f t="shared" si="62"/>
        <v>40051</v>
      </c>
      <c r="C313" s="374">
        <f t="shared" si="56"/>
        <v>214.04095492568277</v>
      </c>
      <c r="D313" s="319">
        <f t="shared" si="65"/>
        <v>50.41686965771769</v>
      </c>
      <c r="E313" s="319">
        <f>VLOOKUP(MONTH(B313),[0]!Evap,3)</f>
        <v>4.4516129032258061</v>
      </c>
      <c r="F313" s="322">
        <f t="shared" si="66"/>
        <v>3.472258064516129</v>
      </c>
      <c r="G313" s="319">
        <f t="shared" si="57"/>
        <v>9.9939938023970143</v>
      </c>
      <c r="H313" s="322">
        <f t="shared" si="58"/>
        <v>3.4701725577097241E-2</v>
      </c>
      <c r="I313" s="322">
        <f>+fill_data!B357</f>
        <v>0.30767031446579962</v>
      </c>
      <c r="J313" s="322">
        <f t="shared" si="59"/>
        <v>50.689838246606392</v>
      </c>
      <c r="K313" s="322">
        <f>+fill_data!C357</f>
        <v>1.9354838709677419E-3</v>
      </c>
      <c r="L313" s="322">
        <f>+fill_data!F357</f>
        <v>0</v>
      </c>
      <c r="M313" s="322">
        <f>+fill_data!D357</f>
        <v>3.7258064516129036E-2</v>
      </c>
      <c r="N313" s="322">
        <f>++fill_data!E357</f>
        <v>4.2299999999999997E-2</v>
      </c>
      <c r="O313" s="322">
        <f>VLOOKUP($A313,[0]!ความต้องการน้ำ,3)/7</f>
        <v>0.61677750163096956</v>
      </c>
      <c r="P313" s="322">
        <f>VLOOKUP($A313,[0]!ฝนใช้การ,3)/7</f>
        <v>0.30242844387096779</v>
      </c>
      <c r="Q313" s="322">
        <f t="shared" si="67"/>
        <v>60</v>
      </c>
      <c r="R313" s="322">
        <f t="shared" si="63"/>
        <v>0.52391509626666966</v>
      </c>
      <c r="S313" s="322">
        <f t="shared" si="60"/>
        <v>0.60540864465376643</v>
      </c>
      <c r="T313" s="322">
        <f t="shared" si="61"/>
        <v>50.084429601952628</v>
      </c>
      <c r="U313" s="354">
        <f t="shared" si="64"/>
        <v>141</v>
      </c>
      <c r="V313" s="354">
        <f t="shared" si="68"/>
        <v>7</v>
      </c>
      <c r="W313" s="348">
        <v>37.419354838709722</v>
      </c>
      <c r="X313" s="346">
        <v>124.40258064516112</v>
      </c>
      <c r="Y313" s="566">
        <v>29.05</v>
      </c>
    </row>
    <row r="314" spans="1:25" x14ac:dyDescent="0.15">
      <c r="A314" s="201">
        <f t="shared" si="69"/>
        <v>43</v>
      </c>
      <c r="B314" s="260">
        <f t="shared" si="62"/>
        <v>40052</v>
      </c>
      <c r="C314" s="374">
        <f t="shared" si="56"/>
        <v>214.0076739421159</v>
      </c>
      <c r="D314" s="319">
        <f t="shared" si="65"/>
        <v>50.084429601952628</v>
      </c>
      <c r="E314" s="319">
        <f>VLOOKUP(MONTH(B314),[0]!Evap,3)</f>
        <v>4.4516129032258061</v>
      </c>
      <c r="F314" s="322">
        <f t="shared" si="66"/>
        <v>3.472258064516129</v>
      </c>
      <c r="G314" s="319">
        <f t="shared" si="57"/>
        <v>9.9726185484180725</v>
      </c>
      <c r="H314" s="322">
        <f t="shared" si="58"/>
        <v>3.4627505179087782E-2</v>
      </c>
      <c r="I314" s="322">
        <f>+fill_data!B358</f>
        <v>0.30767031446579962</v>
      </c>
      <c r="J314" s="322">
        <f t="shared" si="59"/>
        <v>50.357472411239343</v>
      </c>
      <c r="K314" s="322">
        <f>+fill_data!C358</f>
        <v>1.9354838709677419E-3</v>
      </c>
      <c r="L314" s="322">
        <f>+fill_data!F358</f>
        <v>0</v>
      </c>
      <c r="M314" s="322">
        <f>+fill_data!D358</f>
        <v>3.7258064516129036E-2</v>
      </c>
      <c r="N314" s="322">
        <f>++fill_data!E358</f>
        <v>4.2299999999999997E-2</v>
      </c>
      <c r="O314" s="322">
        <f>VLOOKUP($A314,[0]!ความต้องการน้ำ,3)/7</f>
        <v>0.61677750163096956</v>
      </c>
      <c r="P314" s="322">
        <f>VLOOKUP($A314,[0]!ฝนใช้การ,3)/7</f>
        <v>0.30242844387096779</v>
      </c>
      <c r="Q314" s="322">
        <f t="shared" si="67"/>
        <v>60</v>
      </c>
      <c r="R314" s="322">
        <f t="shared" si="63"/>
        <v>0.52391509626666966</v>
      </c>
      <c r="S314" s="322">
        <f t="shared" si="60"/>
        <v>0.60540864465376643</v>
      </c>
      <c r="T314" s="322">
        <f t="shared" si="61"/>
        <v>49.752063766585579</v>
      </c>
      <c r="U314" s="354">
        <f t="shared" si="64"/>
        <v>141</v>
      </c>
      <c r="V314" s="354">
        <f t="shared" si="68"/>
        <v>7</v>
      </c>
      <c r="W314" s="348">
        <v>37.516129032258107</v>
      </c>
      <c r="X314" s="346">
        <v>125.40548387096757</v>
      </c>
      <c r="Y314" s="566">
        <v>28.972999999999999</v>
      </c>
    </row>
    <row r="315" spans="1:25" x14ac:dyDescent="0.15">
      <c r="A315" s="201">
        <f t="shared" si="69"/>
        <v>43</v>
      </c>
      <c r="B315" s="260">
        <f t="shared" si="62"/>
        <v>40053</v>
      </c>
      <c r="C315" s="374">
        <f t="shared" si="56"/>
        <v>213.97547013256005</v>
      </c>
      <c r="D315" s="319">
        <f t="shared" si="65"/>
        <v>49.752063766585579</v>
      </c>
      <c r="E315" s="319">
        <f>VLOOKUP(MONTH(B315),[0]!Evap,3)</f>
        <v>4.4516129032258061</v>
      </c>
      <c r="F315" s="322">
        <f t="shared" si="66"/>
        <v>3.472258064516129</v>
      </c>
      <c r="G315" s="319">
        <f t="shared" si="57"/>
        <v>9.9516567849459108</v>
      </c>
      <c r="H315" s="322">
        <f t="shared" si="58"/>
        <v>3.4554720526825088E-2</v>
      </c>
      <c r="I315" s="322">
        <f>+fill_data!B359</f>
        <v>0.30767031446579962</v>
      </c>
      <c r="J315" s="322">
        <f t="shared" si="59"/>
        <v>50.025179360524554</v>
      </c>
      <c r="K315" s="322">
        <f>+fill_data!C359</f>
        <v>1.9354838709677419E-3</v>
      </c>
      <c r="L315" s="322">
        <f>+fill_data!F359</f>
        <v>0</v>
      </c>
      <c r="M315" s="322">
        <f>+fill_data!D359</f>
        <v>3.7258064516129036E-2</v>
      </c>
      <c r="N315" s="322">
        <f>++fill_data!E359</f>
        <v>4.2299999999999997E-2</v>
      </c>
      <c r="O315" s="322">
        <f>VLOOKUP($A315,[0]!ความต้องการน้ำ,3)/7</f>
        <v>0.61677750163096956</v>
      </c>
      <c r="P315" s="322">
        <f>VLOOKUP($A315,[0]!ฝนใช้การ,3)/7</f>
        <v>0.30242844387096779</v>
      </c>
      <c r="Q315" s="322">
        <f t="shared" si="67"/>
        <v>60</v>
      </c>
      <c r="R315" s="322">
        <f t="shared" si="63"/>
        <v>0.52391509626666966</v>
      </c>
      <c r="S315" s="322">
        <f t="shared" si="60"/>
        <v>0.60540864465376643</v>
      </c>
      <c r="T315" s="322">
        <f t="shared" si="61"/>
        <v>49.41977071587079</v>
      </c>
      <c r="U315" s="354">
        <f t="shared" si="64"/>
        <v>141</v>
      </c>
      <c r="V315" s="354">
        <f t="shared" si="68"/>
        <v>7</v>
      </c>
      <c r="W315" s="348">
        <v>37.612903225806498</v>
      </c>
      <c r="X315" s="346">
        <v>126.40838709677401</v>
      </c>
      <c r="Y315" s="566">
        <v>29.282</v>
      </c>
    </row>
    <row r="316" spans="1:25" x14ac:dyDescent="0.15">
      <c r="A316" s="201">
        <v>44</v>
      </c>
      <c r="B316" s="260">
        <f t="shared" si="62"/>
        <v>40054</v>
      </c>
      <c r="C316" s="374">
        <f t="shared" si="56"/>
        <v>213.94359397992369</v>
      </c>
      <c r="D316" s="319">
        <f t="shared" si="65"/>
        <v>49.41977071587079</v>
      </c>
      <c r="E316" s="319">
        <f>VLOOKUP(MONTH(B316),[0]!Evap,3)</f>
        <v>4.4516129032258061</v>
      </c>
      <c r="F316" s="322">
        <f t="shared" si="66"/>
        <v>3.472258064516129</v>
      </c>
      <c r="G316" s="319">
        <f t="shared" si="57"/>
        <v>9.9308221056776596</v>
      </c>
      <c r="H316" s="322">
        <f t="shared" si="58"/>
        <v>3.4482377143714299E-2</v>
      </c>
      <c r="I316" s="322">
        <f>+fill_data!B360</f>
        <v>0.30767031446579962</v>
      </c>
      <c r="J316" s="322">
        <f t="shared" si="59"/>
        <v>49.692958653192875</v>
      </c>
      <c r="K316" s="322">
        <f>+fill_data!C360</f>
        <v>1.9354838709677419E-3</v>
      </c>
      <c r="L316" s="322">
        <f>+fill_data!F360</f>
        <v>0</v>
      </c>
      <c r="M316" s="322">
        <f>+fill_data!D360</f>
        <v>3.7258064516129036E-2</v>
      </c>
      <c r="N316" s="322">
        <f>++fill_data!E360</f>
        <v>4.2299999999999997E-2</v>
      </c>
      <c r="O316" s="322">
        <f>VLOOKUP($A316,[0]!ความต้องการน้ำ,3)/7</f>
        <v>0.58313840807228912</v>
      </c>
      <c r="P316" s="322">
        <f>VLOOKUP($A316,[0]!ฝนใช้การ,3)/7</f>
        <v>0.56928124799999991</v>
      </c>
      <c r="Q316" s="322">
        <f t="shared" si="67"/>
        <v>60</v>
      </c>
      <c r="R316" s="322">
        <f t="shared" si="63"/>
        <v>2.3095266787148683E-2</v>
      </c>
      <c r="S316" s="322">
        <f t="shared" si="60"/>
        <v>0.10458881517424545</v>
      </c>
      <c r="T316" s="322">
        <f t="shared" si="61"/>
        <v>49.588369838018629</v>
      </c>
      <c r="U316" s="354">
        <f t="shared" si="64"/>
        <v>141</v>
      </c>
      <c r="V316" s="354">
        <f t="shared" si="68"/>
        <v>7</v>
      </c>
      <c r="W316" s="348">
        <v>37.709677419354882</v>
      </c>
      <c r="X316" s="346">
        <v>127.41129032258046</v>
      </c>
      <c r="Y316" s="566">
        <v>29.591000000000001</v>
      </c>
    </row>
    <row r="317" spans="1:25" x14ac:dyDescent="0.15">
      <c r="A317" s="201">
        <f t="shared" si="69"/>
        <v>44</v>
      </c>
      <c r="B317" s="260">
        <f t="shared" si="62"/>
        <v>40055</v>
      </c>
      <c r="C317" s="374">
        <f t="shared" si="56"/>
        <v>213.95976732853987</v>
      </c>
      <c r="D317" s="319">
        <f t="shared" si="65"/>
        <v>49.588369838018629</v>
      </c>
      <c r="E317" s="319">
        <f>VLOOKUP(MONTH(B317),[0]!Evap,3)</f>
        <v>4.4516129032258061</v>
      </c>
      <c r="F317" s="322">
        <f t="shared" si="66"/>
        <v>3.472258064516129</v>
      </c>
      <c r="G317" s="319">
        <f t="shared" si="57"/>
        <v>9.9413932224292818</v>
      </c>
      <c r="H317" s="322">
        <f t="shared" si="58"/>
        <v>3.4519082789106058E-2</v>
      </c>
      <c r="I317" s="322">
        <f>+fill_data!B361</f>
        <v>0.30767031446579962</v>
      </c>
      <c r="J317" s="322">
        <f t="shared" si="59"/>
        <v>49.861521069695328</v>
      </c>
      <c r="K317" s="322">
        <f>+fill_data!C361</f>
        <v>1.9354838709677419E-3</v>
      </c>
      <c r="L317" s="322">
        <f>+fill_data!F361</f>
        <v>0</v>
      </c>
      <c r="M317" s="322">
        <f>+fill_data!D361</f>
        <v>3.7258064516129036E-2</v>
      </c>
      <c r="N317" s="322">
        <f>++fill_data!E361</f>
        <v>4.2299999999999997E-2</v>
      </c>
      <c r="O317" s="322">
        <f>VLOOKUP($A317,[0]!ความต้องการน้ำ,3)/7</f>
        <v>0.58313840807228912</v>
      </c>
      <c r="P317" s="322">
        <f>VLOOKUP($A317,[0]!ฝนใช้การ,3)/7</f>
        <v>0.56928124799999991</v>
      </c>
      <c r="Q317" s="322">
        <f t="shared" si="67"/>
        <v>60</v>
      </c>
      <c r="R317" s="322">
        <f t="shared" si="63"/>
        <v>2.3095266787148683E-2</v>
      </c>
      <c r="S317" s="322">
        <f t="shared" si="60"/>
        <v>0.10458881517424545</v>
      </c>
      <c r="T317" s="322">
        <f t="shared" si="61"/>
        <v>49.756932254521082</v>
      </c>
      <c r="U317" s="354">
        <f t="shared" si="64"/>
        <v>141</v>
      </c>
      <c r="V317" s="354">
        <f t="shared" si="68"/>
        <v>7</v>
      </c>
      <c r="W317" s="348">
        <v>37.806451612903274</v>
      </c>
      <c r="X317" s="346">
        <v>128.41419354838689</v>
      </c>
      <c r="Y317" s="566">
        <v>29.821999999999999</v>
      </c>
    </row>
    <row r="318" spans="1:25" x14ac:dyDescent="0.15">
      <c r="A318" s="201">
        <f t="shared" si="69"/>
        <v>44</v>
      </c>
      <c r="B318" s="260">
        <f t="shared" si="62"/>
        <v>40056</v>
      </c>
      <c r="C318" s="374">
        <f t="shared" si="56"/>
        <v>213.97593715606297</v>
      </c>
      <c r="D318" s="319">
        <f t="shared" si="65"/>
        <v>49.756932254521082</v>
      </c>
      <c r="E318" s="319">
        <f>VLOOKUP(MONTH(B318),[0]!Evap,3)</f>
        <v>4.4516129032258061</v>
      </c>
      <c r="F318" s="322">
        <f t="shared" si="66"/>
        <v>3.472258064516129</v>
      </c>
      <c r="G318" s="319">
        <f t="shared" si="57"/>
        <v>9.9519620377474336</v>
      </c>
      <c r="H318" s="322">
        <f t="shared" si="58"/>
        <v>3.455578044332689E-2</v>
      </c>
      <c r="I318" s="322">
        <f>+fill_data!B362</f>
        <v>0.30767031446579962</v>
      </c>
      <c r="J318" s="322">
        <f t="shared" si="59"/>
        <v>50.030046788543558</v>
      </c>
      <c r="K318" s="322">
        <f>+fill_data!C362</f>
        <v>1.9354838709677419E-3</v>
      </c>
      <c r="L318" s="322">
        <f>+fill_data!F362</f>
        <v>0</v>
      </c>
      <c r="M318" s="322">
        <f>+fill_data!D362</f>
        <v>3.7258064516129036E-2</v>
      </c>
      <c r="N318" s="322">
        <f>++fill_data!E362</f>
        <v>4.2299999999999997E-2</v>
      </c>
      <c r="O318" s="322">
        <f>VLOOKUP($A318,[0]!ความต้องการน้ำ,3)/7</f>
        <v>0.58313840807228912</v>
      </c>
      <c r="P318" s="322">
        <f>VLOOKUP($A318,[0]!ฝนใช้การ,3)/7</f>
        <v>0.56928124799999991</v>
      </c>
      <c r="Q318" s="322">
        <f t="shared" si="67"/>
        <v>60</v>
      </c>
      <c r="R318" s="322">
        <f t="shared" si="63"/>
        <v>2.3095266787148683E-2</v>
      </c>
      <c r="S318" s="322">
        <f t="shared" si="60"/>
        <v>0.10458881517424545</v>
      </c>
      <c r="T318" s="322">
        <f t="shared" si="61"/>
        <v>49.925457973369312</v>
      </c>
      <c r="U318" s="354">
        <f t="shared" si="64"/>
        <v>141</v>
      </c>
      <c r="V318" s="354">
        <f t="shared" si="68"/>
        <v>7</v>
      </c>
      <c r="W318" s="348">
        <v>37.903225806451665</v>
      </c>
      <c r="X318" s="346">
        <v>129.41709677419334</v>
      </c>
      <c r="Y318" s="566">
        <v>30.053999999999998</v>
      </c>
    </row>
    <row r="319" spans="1:25" x14ac:dyDescent="0.15">
      <c r="A319" s="201">
        <f t="shared" si="69"/>
        <v>44</v>
      </c>
      <c r="B319" s="260">
        <f t="shared" si="62"/>
        <v>40057</v>
      </c>
      <c r="C319" s="374">
        <f t="shared" si="56"/>
        <v>213.99210346325958</v>
      </c>
      <c r="D319" s="319">
        <f t="shared" si="65"/>
        <v>49.925457973369312</v>
      </c>
      <c r="E319" s="319">
        <f>VLOOKUP(MONTH(B319),[0]!Evap,3)</f>
        <v>3.9266666666666667</v>
      </c>
      <c r="F319" s="322">
        <f t="shared" si="66"/>
        <v>3.0628000000000002</v>
      </c>
      <c r="G319" s="319">
        <f t="shared" si="57"/>
        <v>9.9625285521331595</v>
      </c>
      <c r="H319" s="322">
        <f t="shared" si="58"/>
        <v>3.0513232449473442E-2</v>
      </c>
      <c r="I319" s="322">
        <f>+fill_data!B363</f>
        <v>0.73134052111552317</v>
      </c>
      <c r="J319" s="322">
        <f t="shared" si="59"/>
        <v>50.62628526203536</v>
      </c>
      <c r="K319" s="322">
        <f>+fill_data!C363</f>
        <v>2E-3</v>
      </c>
      <c r="L319" s="322">
        <f>+fill_data!F363</f>
        <v>0</v>
      </c>
      <c r="M319" s="322">
        <f>+fill_data!D363</f>
        <v>3.85E-2</v>
      </c>
      <c r="N319" s="322">
        <f>++fill_data!E363</f>
        <v>4.2299999999999997E-2</v>
      </c>
      <c r="O319" s="322">
        <f>VLOOKUP($A319,[0]!ความต้องการน้ำ,3)/7</f>
        <v>0.58313840807228912</v>
      </c>
      <c r="P319" s="322">
        <f>VLOOKUP($A319,[0]!ฝนใช้การ,3)/7</f>
        <v>0.56928124799999991</v>
      </c>
      <c r="Q319" s="322">
        <f t="shared" si="67"/>
        <v>60</v>
      </c>
      <c r="R319" s="322">
        <f t="shared" si="63"/>
        <v>2.3095266787148683E-2</v>
      </c>
      <c r="S319" s="322">
        <f t="shared" si="60"/>
        <v>0.10589526678714868</v>
      </c>
      <c r="T319" s="322">
        <f t="shared" si="61"/>
        <v>50.520389995248209</v>
      </c>
      <c r="U319" s="354">
        <f t="shared" si="64"/>
        <v>141</v>
      </c>
      <c r="V319" s="354">
        <f t="shared" si="68"/>
        <v>7</v>
      </c>
      <c r="W319" s="348">
        <v>38</v>
      </c>
      <c r="X319" s="346">
        <v>130.41999999999999</v>
      </c>
      <c r="Y319" s="566">
        <v>30.207999999999998</v>
      </c>
    </row>
    <row r="320" spans="1:25" x14ac:dyDescent="0.15">
      <c r="A320" s="201">
        <f t="shared" si="69"/>
        <v>44</v>
      </c>
      <c r="B320" s="260">
        <f t="shared" si="62"/>
        <v>40058</v>
      </c>
      <c r="C320" s="374">
        <f t="shared" si="56"/>
        <v>214.05131847421563</v>
      </c>
      <c r="D320" s="319">
        <f t="shared" si="65"/>
        <v>50.520389995248209</v>
      </c>
      <c r="E320" s="319">
        <f>VLOOKUP(MONTH(B320),[0]!Evap,3)</f>
        <v>3.9266666666666667</v>
      </c>
      <c r="F320" s="322">
        <f t="shared" si="66"/>
        <v>3.0628000000000002</v>
      </c>
      <c r="G320" s="319">
        <f t="shared" si="57"/>
        <v>10.000649960306772</v>
      </c>
      <c r="H320" s="322">
        <f t="shared" si="58"/>
        <v>3.0629990698427582E-2</v>
      </c>
      <c r="I320" s="322">
        <f>+fill_data!B364</f>
        <v>0.73134052111552317</v>
      </c>
      <c r="J320" s="322">
        <f t="shared" si="59"/>
        <v>51.2211005256653</v>
      </c>
      <c r="K320" s="322">
        <f>+fill_data!C364</f>
        <v>2E-3</v>
      </c>
      <c r="L320" s="322">
        <f>+fill_data!F364</f>
        <v>0</v>
      </c>
      <c r="M320" s="322">
        <f>+fill_data!D364</f>
        <v>3.85E-2</v>
      </c>
      <c r="N320" s="322">
        <f>++fill_data!E364</f>
        <v>4.2299999999999997E-2</v>
      </c>
      <c r="O320" s="322">
        <f>VLOOKUP($A320,[0]!ความต้องการน้ำ,3)/7</f>
        <v>0.58313840807228912</v>
      </c>
      <c r="P320" s="322">
        <f>VLOOKUP($A320,[0]!ฝนใช้การ,3)/7</f>
        <v>0.56928124799999991</v>
      </c>
      <c r="Q320" s="322">
        <f t="shared" si="67"/>
        <v>60</v>
      </c>
      <c r="R320" s="322">
        <f t="shared" si="63"/>
        <v>2.3095266787148683E-2</v>
      </c>
      <c r="S320" s="322">
        <f t="shared" si="60"/>
        <v>0.10589526678714868</v>
      </c>
      <c r="T320" s="322">
        <f t="shared" si="61"/>
        <v>51.115205258878149</v>
      </c>
      <c r="U320" s="354">
        <f t="shared" si="64"/>
        <v>141</v>
      </c>
      <c r="V320" s="354">
        <f t="shared" si="68"/>
        <v>7</v>
      </c>
      <c r="W320" s="348">
        <v>38.066666666666663</v>
      </c>
      <c r="X320" s="346">
        <v>130.77266666666668</v>
      </c>
      <c r="Y320" s="566">
        <v>30.361999999999998</v>
      </c>
    </row>
    <row r="321" spans="1:25" x14ac:dyDescent="0.15">
      <c r="A321" s="201">
        <f t="shared" si="69"/>
        <v>44</v>
      </c>
      <c r="B321" s="260">
        <f t="shared" si="62"/>
        <v>40059</v>
      </c>
      <c r="C321" s="374">
        <f t="shared" si="56"/>
        <v>214.11086616310237</v>
      </c>
      <c r="D321" s="319">
        <f t="shared" si="65"/>
        <v>51.115205258878149</v>
      </c>
      <c r="E321" s="319">
        <f>VLOOKUP(MONTH(B321),[0]!Evap,3)</f>
        <v>3.9266666666666667</v>
      </c>
      <c r="F321" s="322">
        <f t="shared" si="66"/>
        <v>3.0628000000000002</v>
      </c>
      <c r="G321" s="319">
        <f t="shared" si="57"/>
        <v>10.038895433769289</v>
      </c>
      <c r="H321" s="322">
        <f t="shared" si="58"/>
        <v>3.0747128934548579E-2</v>
      </c>
      <c r="I321" s="322">
        <f>+fill_data!B365</f>
        <v>0.73134052111552317</v>
      </c>
      <c r="J321" s="322">
        <f t="shared" si="59"/>
        <v>51.815798651059119</v>
      </c>
      <c r="K321" s="322">
        <f>+fill_data!C365</f>
        <v>2E-3</v>
      </c>
      <c r="L321" s="322">
        <f>+fill_data!F365</f>
        <v>0</v>
      </c>
      <c r="M321" s="322">
        <f>+fill_data!D365</f>
        <v>3.85E-2</v>
      </c>
      <c r="N321" s="322">
        <f>++fill_data!E365</f>
        <v>4.2299999999999997E-2</v>
      </c>
      <c r="O321" s="322">
        <f>VLOOKUP($A321,[0]!ความต้องการน้ำ,3)/7</f>
        <v>0.58313840807228912</v>
      </c>
      <c r="P321" s="322">
        <f>VLOOKUP($A321,[0]!ฝนใช้การ,3)/7</f>
        <v>0.56928124799999991</v>
      </c>
      <c r="Q321" s="322">
        <f t="shared" si="67"/>
        <v>60</v>
      </c>
      <c r="R321" s="322">
        <f t="shared" si="63"/>
        <v>2.3095266787148683E-2</v>
      </c>
      <c r="S321" s="322">
        <f t="shared" si="60"/>
        <v>0.10589526678714868</v>
      </c>
      <c r="T321" s="322">
        <f t="shared" si="61"/>
        <v>51.709903384271968</v>
      </c>
      <c r="U321" s="354">
        <f t="shared" si="64"/>
        <v>141</v>
      </c>
      <c r="V321" s="354">
        <f t="shared" si="68"/>
        <v>7</v>
      </c>
      <c r="W321" s="348">
        <v>38.133333333333326</v>
      </c>
      <c r="X321" s="346">
        <v>131.12533333333334</v>
      </c>
      <c r="Y321" s="566">
        <v>30.594000000000001</v>
      </c>
    </row>
    <row r="322" spans="1:25" x14ac:dyDescent="0.15">
      <c r="A322" s="201">
        <f t="shared" si="69"/>
        <v>44</v>
      </c>
      <c r="B322" s="260">
        <f t="shared" si="62"/>
        <v>40060</v>
      </c>
      <c r="C322" s="374">
        <f t="shared" si="56"/>
        <v>214.17040212513598</v>
      </c>
      <c r="D322" s="319">
        <f t="shared" si="65"/>
        <v>51.709903384271968</v>
      </c>
      <c r="E322" s="319">
        <f>VLOOKUP(MONTH(B322),[0]!Evap,3)</f>
        <v>3.9266666666666667</v>
      </c>
      <c r="F322" s="322">
        <f t="shared" si="66"/>
        <v>3.0628000000000002</v>
      </c>
      <c r="G322" s="319">
        <f t="shared" si="57"/>
        <v>10.077133375469302</v>
      </c>
      <c r="H322" s="322">
        <f t="shared" si="58"/>
        <v>3.0864244102387379E-2</v>
      </c>
      <c r="I322" s="322">
        <f>+fill_data!B366</f>
        <v>0.73134052111552317</v>
      </c>
      <c r="J322" s="322">
        <f t="shared" si="59"/>
        <v>52.410379661285099</v>
      </c>
      <c r="K322" s="322">
        <f>+fill_data!C366</f>
        <v>2E-3</v>
      </c>
      <c r="L322" s="322">
        <f>+fill_data!F366</f>
        <v>0</v>
      </c>
      <c r="M322" s="322">
        <f>+fill_data!D366</f>
        <v>3.85E-2</v>
      </c>
      <c r="N322" s="322">
        <f>++fill_data!E366</f>
        <v>4.2299999999999997E-2</v>
      </c>
      <c r="O322" s="322">
        <f>VLOOKUP($A322,[0]!ความต้องการน้ำ,3)/7</f>
        <v>0.58313840807228912</v>
      </c>
      <c r="P322" s="322">
        <f>VLOOKUP($A322,[0]!ฝนใช้การ,3)/7</f>
        <v>0.56928124799999991</v>
      </c>
      <c r="Q322" s="322">
        <f t="shared" si="67"/>
        <v>60</v>
      </c>
      <c r="R322" s="322">
        <f t="shared" si="63"/>
        <v>2.3095266787148683E-2</v>
      </c>
      <c r="S322" s="322">
        <f t="shared" si="60"/>
        <v>0.10589526678714868</v>
      </c>
      <c r="T322" s="322">
        <f t="shared" si="61"/>
        <v>52.304484394497948</v>
      </c>
      <c r="U322" s="354">
        <f t="shared" si="64"/>
        <v>141</v>
      </c>
      <c r="V322" s="354">
        <f t="shared" si="68"/>
        <v>7</v>
      </c>
      <c r="W322" s="348">
        <v>38.199999999999996</v>
      </c>
      <c r="X322" s="346">
        <v>131.47800000000001</v>
      </c>
      <c r="Y322" s="566">
        <v>30.748000000000001</v>
      </c>
    </row>
    <row r="323" spans="1:25" x14ac:dyDescent="0.15">
      <c r="A323" s="201">
        <v>45</v>
      </c>
      <c r="B323" s="260">
        <f t="shared" si="62"/>
        <v>40061</v>
      </c>
      <c r="C323" s="374">
        <f t="shared" si="56"/>
        <v>214.22992636262583</v>
      </c>
      <c r="D323" s="319">
        <f t="shared" si="65"/>
        <v>52.304484394497948</v>
      </c>
      <c r="E323" s="319">
        <f>VLOOKUP(MONTH(B323),[0]!Evap,3)</f>
        <v>3.9266666666666667</v>
      </c>
      <c r="F323" s="322">
        <f t="shared" si="66"/>
        <v>3.0628000000000002</v>
      </c>
      <c r="G323" s="319">
        <f t="shared" si="57"/>
        <v>10.115363786890054</v>
      </c>
      <c r="H323" s="322">
        <f t="shared" si="58"/>
        <v>3.0981336206486857E-2</v>
      </c>
      <c r="I323" s="322">
        <f>+fill_data!B367</f>
        <v>0.73134052111552317</v>
      </c>
      <c r="J323" s="322">
        <f t="shared" si="59"/>
        <v>53.00484357940698</v>
      </c>
      <c r="K323" s="322">
        <f>+fill_data!C367</f>
        <v>2E-3</v>
      </c>
      <c r="L323" s="322">
        <f>+fill_data!F367</f>
        <v>0</v>
      </c>
      <c r="M323" s="322">
        <f>+fill_data!D367</f>
        <v>3.85E-2</v>
      </c>
      <c r="N323" s="322">
        <f>++fill_data!E367</f>
        <v>4.2299999999999997E-2</v>
      </c>
      <c r="O323" s="322">
        <f>VLOOKUP($A323,[0]!ความต้องการน้ำ,3)/7</f>
        <v>0.57655018000831715</v>
      </c>
      <c r="P323" s="322">
        <f>VLOOKUP($A323,[0]!ฝนใช้การ,3)/7</f>
        <v>0.56928124799999991</v>
      </c>
      <c r="Q323" s="322">
        <f t="shared" si="67"/>
        <v>60</v>
      </c>
      <c r="R323" s="322">
        <f t="shared" si="63"/>
        <v>1.2114886680528736E-2</v>
      </c>
      <c r="S323" s="322">
        <f t="shared" si="60"/>
        <v>9.4914886680528734E-2</v>
      </c>
      <c r="T323" s="322">
        <f t="shared" si="61"/>
        <v>52.909928692726453</v>
      </c>
      <c r="U323" s="354">
        <f t="shared" si="64"/>
        <v>141</v>
      </c>
      <c r="V323" s="354">
        <f t="shared" si="68"/>
        <v>7</v>
      </c>
      <c r="W323" s="348">
        <v>38.266666666666659</v>
      </c>
      <c r="X323" s="346">
        <v>131.83066666666667</v>
      </c>
      <c r="Y323" s="566">
        <v>30.902999999999999</v>
      </c>
    </row>
    <row r="324" spans="1:25" x14ac:dyDescent="0.15">
      <c r="A324" s="201">
        <f t="shared" si="69"/>
        <v>45</v>
      </c>
      <c r="B324" s="260">
        <f t="shared" si="62"/>
        <v>40062</v>
      </c>
      <c r="C324" s="374">
        <f t="shared" si="56"/>
        <v>214.29053813726176</v>
      </c>
      <c r="D324" s="319">
        <f t="shared" si="65"/>
        <v>52.909928692726453</v>
      </c>
      <c r="E324" s="319">
        <f>VLOOKUP(MONTH(B324),[0]!Evap,3)</f>
        <v>3.9266666666666667</v>
      </c>
      <c r="F324" s="322">
        <f t="shared" si="66"/>
        <v>3.0628000000000002</v>
      </c>
      <c r="G324" s="319">
        <f t="shared" si="57"/>
        <v>10.154292686763304</v>
      </c>
      <c r="H324" s="322">
        <f t="shared" si="58"/>
        <v>3.1100567641018647E-2</v>
      </c>
      <c r="I324" s="322">
        <f>+fill_data!B368</f>
        <v>0.73134052111552317</v>
      </c>
      <c r="J324" s="322">
        <f t="shared" si="59"/>
        <v>53.610168646200954</v>
      </c>
      <c r="K324" s="322">
        <f>+fill_data!C368</f>
        <v>2E-3</v>
      </c>
      <c r="L324" s="322">
        <f>+fill_data!F368</f>
        <v>0</v>
      </c>
      <c r="M324" s="322">
        <f>+fill_data!D368</f>
        <v>3.85E-2</v>
      </c>
      <c r="N324" s="322">
        <f>++fill_data!E368</f>
        <v>4.2299999999999997E-2</v>
      </c>
      <c r="O324" s="322">
        <f>VLOOKUP($A324,[0]!ความต้องการน้ำ,3)/7</f>
        <v>0.57655018000831715</v>
      </c>
      <c r="P324" s="322">
        <f>VLOOKUP($A324,[0]!ฝนใช้การ,3)/7</f>
        <v>0.56928124799999991</v>
      </c>
      <c r="Q324" s="322">
        <f t="shared" si="67"/>
        <v>60</v>
      </c>
      <c r="R324" s="322">
        <f t="shared" si="63"/>
        <v>1.2114886680528736E-2</v>
      </c>
      <c r="S324" s="322">
        <f t="shared" si="60"/>
        <v>9.4914886680528734E-2</v>
      </c>
      <c r="T324" s="322">
        <f t="shared" si="61"/>
        <v>53.515253759520427</v>
      </c>
      <c r="U324" s="354">
        <f t="shared" si="64"/>
        <v>141</v>
      </c>
      <c r="V324" s="354">
        <f t="shared" si="68"/>
        <v>7</v>
      </c>
      <c r="W324" s="348">
        <v>38.333333333333321</v>
      </c>
      <c r="X324" s="346">
        <v>132.18333333333337</v>
      </c>
      <c r="Y324" s="566">
        <v>31.068999999999999</v>
      </c>
    </row>
    <row r="325" spans="1:25" x14ac:dyDescent="0.15">
      <c r="A325" s="201">
        <f t="shared" si="69"/>
        <v>45</v>
      </c>
      <c r="B325" s="260">
        <f t="shared" si="62"/>
        <v>40063</v>
      </c>
      <c r="C325" s="374">
        <f t="shared" si="56"/>
        <v>214.35113797549189</v>
      </c>
      <c r="D325" s="319">
        <f t="shared" si="65"/>
        <v>53.515253759520427</v>
      </c>
      <c r="E325" s="319">
        <f>VLOOKUP(MONTH(B325),[0]!Evap,3)</f>
        <v>3.9266666666666667</v>
      </c>
      <c r="F325" s="322">
        <f t="shared" si="66"/>
        <v>3.0628000000000002</v>
      </c>
      <c r="G325" s="319">
        <f t="shared" si="57"/>
        <v>10.193213920285432</v>
      </c>
      <c r="H325" s="322">
        <f t="shared" si="58"/>
        <v>3.1219775595050223E-2</v>
      </c>
      <c r="I325" s="322">
        <f>+fill_data!B369</f>
        <v>0.73134052111552317</v>
      </c>
      <c r="J325" s="322">
        <f t="shared" si="59"/>
        <v>54.215374505040899</v>
      </c>
      <c r="K325" s="322">
        <f>+fill_data!C369</f>
        <v>2E-3</v>
      </c>
      <c r="L325" s="322">
        <f>+fill_data!F369</f>
        <v>0</v>
      </c>
      <c r="M325" s="322">
        <f>+fill_data!D369</f>
        <v>3.85E-2</v>
      </c>
      <c r="N325" s="322">
        <f>++fill_data!E369</f>
        <v>4.2299999999999997E-2</v>
      </c>
      <c r="O325" s="322">
        <f>VLOOKUP($A325,[0]!ความต้องการน้ำ,3)/7</f>
        <v>0.57655018000831715</v>
      </c>
      <c r="P325" s="322">
        <f>VLOOKUP($A325,[0]!ฝนใช้การ,3)/7</f>
        <v>0.56928124799999991</v>
      </c>
      <c r="Q325" s="322">
        <f t="shared" si="67"/>
        <v>60</v>
      </c>
      <c r="R325" s="322">
        <f t="shared" si="63"/>
        <v>1.2114886680528736E-2</v>
      </c>
      <c r="S325" s="322">
        <f t="shared" si="60"/>
        <v>9.4914886680528734E-2</v>
      </c>
      <c r="T325" s="322">
        <f t="shared" si="61"/>
        <v>54.120459618360371</v>
      </c>
      <c r="U325" s="354">
        <f t="shared" si="64"/>
        <v>141</v>
      </c>
      <c r="V325" s="354">
        <f t="shared" si="68"/>
        <v>7</v>
      </c>
      <c r="W325" s="348">
        <v>38.399999999999984</v>
      </c>
      <c r="X325" s="346">
        <v>132.53600000000003</v>
      </c>
      <c r="Y325" s="566">
        <v>31.247</v>
      </c>
    </row>
    <row r="326" spans="1:25" x14ac:dyDescent="0.15">
      <c r="A326" s="201">
        <f t="shared" si="69"/>
        <v>45</v>
      </c>
      <c r="B326" s="260">
        <f t="shared" si="62"/>
        <v>40064</v>
      </c>
      <c r="C326" s="374">
        <f t="shared" si="56"/>
        <v>214.4117258796669</v>
      </c>
      <c r="D326" s="319">
        <f t="shared" si="65"/>
        <v>54.120459618360371</v>
      </c>
      <c r="E326" s="319">
        <f>VLOOKUP(MONTH(B326),[0]!Evap,3)</f>
        <v>3.9266666666666667</v>
      </c>
      <c r="F326" s="322">
        <f t="shared" si="66"/>
        <v>3.0628000000000002</v>
      </c>
      <c r="G326" s="319">
        <f t="shared" si="57"/>
        <v>10.232127488966185</v>
      </c>
      <c r="H326" s="322">
        <f t="shared" si="58"/>
        <v>3.1338960073205635E-2</v>
      </c>
      <c r="I326" s="322">
        <f>+fill_data!B370</f>
        <v>0.73134052111552317</v>
      </c>
      <c r="J326" s="322">
        <f t="shared" si="59"/>
        <v>54.820461179402685</v>
      </c>
      <c r="K326" s="322">
        <f>+fill_data!C370</f>
        <v>2E-3</v>
      </c>
      <c r="L326" s="322">
        <f>+fill_data!F370</f>
        <v>0</v>
      </c>
      <c r="M326" s="322">
        <f>+fill_data!D370</f>
        <v>3.85E-2</v>
      </c>
      <c r="N326" s="322">
        <f>++fill_data!E370</f>
        <v>4.2299999999999997E-2</v>
      </c>
      <c r="O326" s="322">
        <f>VLOOKUP($A326,[0]!ความต้องการน้ำ,3)/7</f>
        <v>0.57655018000831715</v>
      </c>
      <c r="P326" s="322">
        <f>VLOOKUP($A326,[0]!ฝนใช้การ,3)/7</f>
        <v>0.56928124799999991</v>
      </c>
      <c r="Q326" s="322">
        <f t="shared" si="67"/>
        <v>60</v>
      </c>
      <c r="R326" s="322">
        <f t="shared" si="63"/>
        <v>1.2114886680528736E-2</v>
      </c>
      <c r="S326" s="322">
        <f t="shared" si="60"/>
        <v>9.4914886680528734E-2</v>
      </c>
      <c r="T326" s="322">
        <f t="shared" si="61"/>
        <v>54.725546292722157</v>
      </c>
      <c r="U326" s="354">
        <f t="shared" si="64"/>
        <v>141</v>
      </c>
      <c r="V326" s="354">
        <f t="shared" si="68"/>
        <v>7</v>
      </c>
      <c r="W326" s="348">
        <v>38.466666666666647</v>
      </c>
      <c r="X326" s="346">
        <v>132.88866666666669</v>
      </c>
      <c r="Y326" s="566">
        <v>31.425000000000001</v>
      </c>
    </row>
    <row r="327" spans="1:25" x14ac:dyDescent="0.15">
      <c r="A327" s="201">
        <f t="shared" si="69"/>
        <v>45</v>
      </c>
      <c r="B327" s="260">
        <f t="shared" si="62"/>
        <v>40065</v>
      </c>
      <c r="C327" s="374">
        <f t="shared" si="56"/>
        <v>214.47230185213692</v>
      </c>
      <c r="D327" s="319">
        <f t="shared" si="65"/>
        <v>54.725546292722157</v>
      </c>
      <c r="E327" s="319">
        <f>VLOOKUP(MONTH(B327),[0]!Evap,3)</f>
        <v>3.9266666666666667</v>
      </c>
      <c r="F327" s="322">
        <f t="shared" si="66"/>
        <v>3.0628000000000002</v>
      </c>
      <c r="G327" s="319">
        <f t="shared" si="57"/>
        <v>10.271033394315017</v>
      </c>
      <c r="H327" s="322">
        <f t="shared" si="58"/>
        <v>3.1458121080108037E-2</v>
      </c>
      <c r="I327" s="322">
        <f>+fill_data!B371</f>
        <v>0.73134052111552317</v>
      </c>
      <c r="J327" s="322">
        <f t="shared" si="59"/>
        <v>55.425428692757571</v>
      </c>
      <c r="K327" s="322">
        <f>+fill_data!C371</f>
        <v>2E-3</v>
      </c>
      <c r="L327" s="322">
        <f>+fill_data!F371</f>
        <v>0</v>
      </c>
      <c r="M327" s="322">
        <f>+fill_data!D371</f>
        <v>3.85E-2</v>
      </c>
      <c r="N327" s="322">
        <f>++fill_data!E371</f>
        <v>4.2299999999999997E-2</v>
      </c>
      <c r="O327" s="322">
        <f>VLOOKUP($A327,[0]!ความต้องการน้ำ,3)/7</f>
        <v>0.57655018000831715</v>
      </c>
      <c r="P327" s="322">
        <f>VLOOKUP($A327,[0]!ฝนใช้การ,3)/7</f>
        <v>0.56928124799999991</v>
      </c>
      <c r="Q327" s="322">
        <f t="shared" si="67"/>
        <v>60</v>
      </c>
      <c r="R327" s="322">
        <f t="shared" si="63"/>
        <v>1.2114886680528736E-2</v>
      </c>
      <c r="S327" s="322">
        <f t="shared" si="60"/>
        <v>9.4914886680528734E-2</v>
      </c>
      <c r="T327" s="322">
        <f t="shared" si="61"/>
        <v>55.330513806077043</v>
      </c>
      <c r="U327" s="354">
        <f t="shared" si="64"/>
        <v>141</v>
      </c>
      <c r="V327" s="354">
        <f t="shared" si="68"/>
        <v>7</v>
      </c>
      <c r="W327" s="348">
        <v>38.53333333333331</v>
      </c>
      <c r="X327" s="346">
        <v>133.24133333333339</v>
      </c>
      <c r="Y327" s="566">
        <v>31.513999999999999</v>
      </c>
    </row>
    <row r="328" spans="1:25" x14ac:dyDescent="0.15">
      <c r="A328" s="201">
        <f t="shared" si="69"/>
        <v>45</v>
      </c>
      <c r="B328" s="260">
        <f t="shared" si="62"/>
        <v>40066</v>
      </c>
      <c r="C328" s="374">
        <f t="shared" si="56"/>
        <v>214.53136608197318</v>
      </c>
      <c r="D328" s="319">
        <f t="shared" si="65"/>
        <v>55.330513806077043</v>
      </c>
      <c r="E328" s="319">
        <f>VLOOKUP(MONTH(B328),[0]!Evap,3)</f>
        <v>3.9266666666666667</v>
      </c>
      <c r="F328" s="322">
        <f t="shared" si="66"/>
        <v>3.0628000000000002</v>
      </c>
      <c r="G328" s="319">
        <f t="shared" si="57"/>
        <v>10.308635154677987</v>
      </c>
      <c r="H328" s="322">
        <f t="shared" si="58"/>
        <v>3.1573287751747739E-2</v>
      </c>
      <c r="I328" s="322">
        <f>+fill_data!B372</f>
        <v>0.73134052111552317</v>
      </c>
      <c r="J328" s="322">
        <f t="shared" si="59"/>
        <v>56.030281039440816</v>
      </c>
      <c r="K328" s="322">
        <f>+fill_data!C372</f>
        <v>2E-3</v>
      </c>
      <c r="L328" s="322">
        <f>+fill_data!F372</f>
        <v>0</v>
      </c>
      <c r="M328" s="322">
        <f>+fill_data!D372</f>
        <v>3.85E-2</v>
      </c>
      <c r="N328" s="322">
        <f>++fill_data!E372</f>
        <v>4.2299999999999997E-2</v>
      </c>
      <c r="O328" s="322">
        <f>VLOOKUP($A328,[0]!ความต้องการน้ำ,3)/7</f>
        <v>0.57655018000831715</v>
      </c>
      <c r="P328" s="322">
        <f>VLOOKUP($A328,[0]!ฝนใช้การ,3)/7</f>
        <v>0.56928124799999991</v>
      </c>
      <c r="Q328" s="322">
        <f t="shared" si="67"/>
        <v>60</v>
      </c>
      <c r="R328" s="322">
        <f t="shared" si="63"/>
        <v>1.2114886680528736E-2</v>
      </c>
      <c r="S328" s="322">
        <f t="shared" si="60"/>
        <v>9.4914886680528734E-2</v>
      </c>
      <c r="T328" s="322">
        <f t="shared" si="61"/>
        <v>55.935366152760288</v>
      </c>
      <c r="U328" s="354">
        <f t="shared" si="64"/>
        <v>141</v>
      </c>
      <c r="V328" s="354">
        <f t="shared" si="68"/>
        <v>7</v>
      </c>
      <c r="W328" s="348">
        <v>38.59999999999998</v>
      </c>
      <c r="X328" s="346">
        <v>133.59400000000005</v>
      </c>
      <c r="Y328" s="566">
        <v>31.870999999999999</v>
      </c>
    </row>
    <row r="329" spans="1:25" x14ac:dyDescent="0.15">
      <c r="A329" s="201">
        <f t="shared" si="69"/>
        <v>45</v>
      </c>
      <c r="B329" s="260">
        <f t="shared" si="62"/>
        <v>40067</v>
      </c>
      <c r="C329" s="374">
        <f t="shared" si="56"/>
        <v>214.58915532190971</v>
      </c>
      <c r="D329" s="319">
        <f t="shared" si="65"/>
        <v>55.935366152760288</v>
      </c>
      <c r="E329" s="319">
        <f>VLOOKUP(MONTH(B329),[0]!Evap,3)</f>
        <v>3.9266666666666667</v>
      </c>
      <c r="F329" s="322">
        <f t="shared" si="66"/>
        <v>3.0628000000000002</v>
      </c>
      <c r="G329" s="319">
        <f t="shared" si="57"/>
        <v>10.345137337315048</v>
      </c>
      <c r="H329" s="322">
        <f t="shared" si="58"/>
        <v>3.1685086636728532E-2</v>
      </c>
      <c r="I329" s="322">
        <f>+fill_data!B373</f>
        <v>0.73134052111552317</v>
      </c>
      <c r="J329" s="322">
        <f t="shared" si="59"/>
        <v>56.635021587239081</v>
      </c>
      <c r="K329" s="322">
        <f>+fill_data!C373</f>
        <v>2E-3</v>
      </c>
      <c r="L329" s="322">
        <f>+fill_data!F373</f>
        <v>0</v>
      </c>
      <c r="M329" s="322">
        <f>+fill_data!D373</f>
        <v>3.85E-2</v>
      </c>
      <c r="N329" s="322">
        <f>++fill_data!E373</f>
        <v>4.2299999999999997E-2</v>
      </c>
      <c r="O329" s="322">
        <f>VLOOKUP($A329,[0]!ความต้องการน้ำ,3)/7</f>
        <v>0.57655018000831715</v>
      </c>
      <c r="P329" s="322">
        <f>VLOOKUP($A329,[0]!ฝนใช้การ,3)/7</f>
        <v>0.56928124799999991</v>
      </c>
      <c r="Q329" s="322">
        <f t="shared" si="67"/>
        <v>60</v>
      </c>
      <c r="R329" s="322">
        <f t="shared" si="63"/>
        <v>1.2114886680528736E-2</v>
      </c>
      <c r="S329" s="322">
        <f t="shared" si="60"/>
        <v>9.4914886680528734E-2</v>
      </c>
      <c r="T329" s="322">
        <f t="shared" si="61"/>
        <v>56.540106700558553</v>
      </c>
      <c r="U329" s="354">
        <f t="shared" si="64"/>
        <v>141</v>
      </c>
      <c r="V329" s="354">
        <f t="shared" si="68"/>
        <v>7</v>
      </c>
      <c r="W329" s="348">
        <v>38.666666666666643</v>
      </c>
      <c r="X329" s="346">
        <v>133.94666666666672</v>
      </c>
      <c r="Y329" s="566">
        <v>32.226999999999997</v>
      </c>
    </row>
    <row r="330" spans="1:25" x14ac:dyDescent="0.15">
      <c r="A330" s="201">
        <v>46</v>
      </c>
      <c r="B330" s="260">
        <f t="shared" si="62"/>
        <v>40068</v>
      </c>
      <c r="C330" s="374">
        <f t="shared" si="56"/>
        <v>214.64693388027638</v>
      </c>
      <c r="D330" s="319">
        <f t="shared" si="65"/>
        <v>56.540106700558553</v>
      </c>
      <c r="E330" s="319">
        <f>VLOOKUP(MONTH(B330),[0]!Evap,3)</f>
        <v>3.9266666666666667</v>
      </c>
      <c r="F330" s="322">
        <f t="shared" si="66"/>
        <v>3.0628000000000002</v>
      </c>
      <c r="G330" s="319">
        <f t="shared" si="57"/>
        <v>10.381632773010743</v>
      </c>
      <c r="H330" s="322">
        <f t="shared" si="58"/>
        <v>3.1796864857177302E-2</v>
      </c>
      <c r="I330" s="322">
        <f>+fill_data!B374</f>
        <v>0.73134052111552317</v>
      </c>
      <c r="J330" s="322">
        <f t="shared" si="59"/>
        <v>57.239650356816895</v>
      </c>
      <c r="K330" s="322">
        <f>+fill_data!C374</f>
        <v>2E-3</v>
      </c>
      <c r="L330" s="322">
        <f>+fill_data!F374</f>
        <v>0</v>
      </c>
      <c r="M330" s="322">
        <f>+fill_data!D374</f>
        <v>3.85E-2</v>
      </c>
      <c r="N330" s="322">
        <f>++fill_data!E374</f>
        <v>4.2299999999999997E-2</v>
      </c>
      <c r="O330" s="322">
        <f>VLOOKUP($A330,[0]!ความต้องการน้ำ,3)/7</f>
        <v>0.5576067928929469</v>
      </c>
      <c r="P330" s="322">
        <f>VLOOKUP($A330,[0]!ฝนใช้การ,3)/7</f>
        <v>0.56928124799999991</v>
      </c>
      <c r="Q330" s="322">
        <f t="shared" si="67"/>
        <v>60</v>
      </c>
      <c r="R330" s="322">
        <f t="shared" si="63"/>
        <v>0</v>
      </c>
      <c r="S330" s="322">
        <f t="shared" si="60"/>
        <v>8.2799999999999999E-2</v>
      </c>
      <c r="T330" s="322">
        <f t="shared" si="61"/>
        <v>57.156850356816896</v>
      </c>
      <c r="U330" s="354">
        <f t="shared" si="64"/>
        <v>141</v>
      </c>
      <c r="V330" s="354">
        <f t="shared" si="68"/>
        <v>7</v>
      </c>
      <c r="W330" s="348">
        <v>38.733333333333306</v>
      </c>
      <c r="X330" s="346">
        <v>134.29933333333338</v>
      </c>
      <c r="Y330" s="566">
        <v>32.494</v>
      </c>
    </row>
    <row r="331" spans="1:25" x14ac:dyDescent="0.15">
      <c r="A331" s="201">
        <f t="shared" si="69"/>
        <v>46</v>
      </c>
      <c r="B331" s="260">
        <f t="shared" si="62"/>
        <v>40069</v>
      </c>
      <c r="C331" s="374">
        <f t="shared" si="56"/>
        <v>214.70585924830431</v>
      </c>
      <c r="D331" s="319">
        <f t="shared" si="65"/>
        <v>57.156850356816896</v>
      </c>
      <c r="E331" s="319">
        <f>VLOOKUP(MONTH(B331),[0]!Evap,3)</f>
        <v>3.9266666666666667</v>
      </c>
      <c r="F331" s="322">
        <f t="shared" si="66"/>
        <v>3.0628000000000002</v>
      </c>
      <c r="G331" s="319">
        <f t="shared" si="57"/>
        <v>10.418852583274257</v>
      </c>
      <c r="H331" s="322">
        <f t="shared" si="58"/>
        <v>3.1910861692052393E-2</v>
      </c>
      <c r="I331" s="322">
        <f>+fill_data!B375</f>
        <v>0.73134052111552317</v>
      </c>
      <c r="J331" s="322">
        <f t="shared" si="59"/>
        <v>57.856280016240362</v>
      </c>
      <c r="K331" s="322">
        <f>+fill_data!C375</f>
        <v>2E-3</v>
      </c>
      <c r="L331" s="322">
        <f>+fill_data!F375</f>
        <v>0</v>
      </c>
      <c r="M331" s="322">
        <f>+fill_data!D375</f>
        <v>3.85E-2</v>
      </c>
      <c r="N331" s="322">
        <f>++fill_data!E375</f>
        <v>4.2299999999999997E-2</v>
      </c>
      <c r="O331" s="322">
        <f>VLOOKUP($A331,[0]!ความต้องการน้ำ,3)/7</f>
        <v>0.5576067928929469</v>
      </c>
      <c r="P331" s="322">
        <f>VLOOKUP($A331,[0]!ฝนใช้การ,3)/7</f>
        <v>0.56928124799999991</v>
      </c>
      <c r="Q331" s="322">
        <f t="shared" si="67"/>
        <v>60</v>
      </c>
      <c r="R331" s="322">
        <f t="shared" si="63"/>
        <v>0</v>
      </c>
      <c r="S331" s="322">
        <f t="shared" si="60"/>
        <v>8.2799999999999999E-2</v>
      </c>
      <c r="T331" s="322">
        <f t="shared" si="61"/>
        <v>57.773480016240363</v>
      </c>
      <c r="U331" s="354">
        <f t="shared" si="64"/>
        <v>141</v>
      </c>
      <c r="V331" s="354">
        <f t="shared" si="68"/>
        <v>7</v>
      </c>
      <c r="W331" s="348">
        <v>38.799999999999969</v>
      </c>
      <c r="X331" s="346">
        <v>134.65200000000004</v>
      </c>
      <c r="Y331" s="566">
        <v>32.94</v>
      </c>
    </row>
    <row r="332" spans="1:25" x14ac:dyDescent="0.15">
      <c r="A332" s="201">
        <f t="shared" si="69"/>
        <v>46</v>
      </c>
      <c r="B332" s="260">
        <f t="shared" si="62"/>
        <v>40070</v>
      </c>
      <c r="C332" s="374">
        <f t="shared" si="56"/>
        <v>214.76477372476424</v>
      </c>
      <c r="D332" s="319">
        <f t="shared" si="65"/>
        <v>57.773480016240363</v>
      </c>
      <c r="E332" s="319">
        <f>VLOOKUP(MONTH(B332),[0]!Evap,3)</f>
        <v>3.9266666666666667</v>
      </c>
      <c r="F332" s="322">
        <f t="shared" si="66"/>
        <v>3.0628000000000002</v>
      </c>
      <c r="G332" s="319">
        <f t="shared" si="57"/>
        <v>10.456065513952513</v>
      </c>
      <c r="H332" s="322">
        <f t="shared" si="58"/>
        <v>3.2024837456133756E-2</v>
      </c>
      <c r="I332" s="322">
        <f>+fill_data!B376</f>
        <v>0.73134052111552317</v>
      </c>
      <c r="J332" s="322">
        <f t="shared" si="59"/>
        <v>58.472795699899748</v>
      </c>
      <c r="K332" s="322">
        <f>+fill_data!C376</f>
        <v>2E-3</v>
      </c>
      <c r="L332" s="322">
        <f>+fill_data!F376</f>
        <v>0</v>
      </c>
      <c r="M332" s="322">
        <f>+fill_data!D376</f>
        <v>3.85E-2</v>
      </c>
      <c r="N332" s="322">
        <f>++fill_data!E376</f>
        <v>4.2299999999999997E-2</v>
      </c>
      <c r="O332" s="322">
        <f>VLOOKUP($A332,[0]!ความต้องการน้ำ,3)/7</f>
        <v>0.5576067928929469</v>
      </c>
      <c r="P332" s="322">
        <f>VLOOKUP($A332,[0]!ฝนใช้การ,3)/7</f>
        <v>0.56928124799999991</v>
      </c>
      <c r="Q332" s="322">
        <f t="shared" si="67"/>
        <v>60</v>
      </c>
      <c r="R332" s="322">
        <f t="shared" si="63"/>
        <v>0</v>
      </c>
      <c r="S332" s="322">
        <f t="shared" si="60"/>
        <v>8.2799999999999999E-2</v>
      </c>
      <c r="T332" s="322">
        <f t="shared" si="61"/>
        <v>58.38999569989975</v>
      </c>
      <c r="U332" s="354">
        <f t="shared" si="64"/>
        <v>141</v>
      </c>
      <c r="V332" s="354">
        <f t="shared" si="68"/>
        <v>7</v>
      </c>
      <c r="W332" s="348">
        <v>38.866666666666632</v>
      </c>
      <c r="X332" s="346">
        <v>135.00466666666668</v>
      </c>
      <c r="Y332" s="566">
        <v>33.563000000000002</v>
      </c>
    </row>
    <row r="333" spans="1:25" x14ac:dyDescent="0.15">
      <c r="A333" s="201">
        <f t="shared" si="69"/>
        <v>46</v>
      </c>
      <c r="B333" s="260">
        <f t="shared" si="62"/>
        <v>40071</v>
      </c>
      <c r="C333" s="374">
        <f t="shared" si="56"/>
        <v>214.82367731166937</v>
      </c>
      <c r="D333" s="319">
        <f t="shared" si="65"/>
        <v>58.38999569989975</v>
      </c>
      <c r="E333" s="319">
        <f>VLOOKUP(MONTH(B333),[0]!Evap,3)</f>
        <v>3.9266666666666667</v>
      </c>
      <c r="F333" s="322">
        <f t="shared" si="66"/>
        <v>3.0628000000000002</v>
      </c>
      <c r="G333" s="319">
        <f t="shared" si="57"/>
        <v>10.493271566317112</v>
      </c>
      <c r="H333" s="322">
        <f t="shared" si="58"/>
        <v>3.2138792153316054E-2</v>
      </c>
      <c r="I333" s="322">
        <f>+fill_data!B377</f>
        <v>0.73134052111552317</v>
      </c>
      <c r="J333" s="322">
        <f t="shared" si="59"/>
        <v>59.089197428861951</v>
      </c>
      <c r="K333" s="322">
        <f>+fill_data!C377</f>
        <v>2E-3</v>
      </c>
      <c r="L333" s="322">
        <f>+fill_data!F377</f>
        <v>0</v>
      </c>
      <c r="M333" s="322">
        <f>+fill_data!D377</f>
        <v>3.85E-2</v>
      </c>
      <c r="N333" s="322">
        <f>++fill_data!E377</f>
        <v>4.2299999999999997E-2</v>
      </c>
      <c r="O333" s="322">
        <f>VLOOKUP($A333,[0]!ความต้องการน้ำ,3)/7</f>
        <v>0.5576067928929469</v>
      </c>
      <c r="P333" s="322">
        <f>VLOOKUP($A333,[0]!ฝนใช้การ,3)/7</f>
        <v>0.56928124799999991</v>
      </c>
      <c r="Q333" s="322">
        <f t="shared" si="67"/>
        <v>60</v>
      </c>
      <c r="R333" s="322">
        <f t="shared" si="63"/>
        <v>0</v>
      </c>
      <c r="S333" s="322">
        <f t="shared" si="60"/>
        <v>8.2799999999999999E-2</v>
      </c>
      <c r="T333" s="322">
        <f t="shared" si="61"/>
        <v>59.006397428861952</v>
      </c>
      <c r="U333" s="354">
        <f t="shared" si="64"/>
        <v>141</v>
      </c>
      <c r="V333" s="354">
        <f t="shared" si="68"/>
        <v>7</v>
      </c>
      <c r="W333" s="348">
        <v>38.933333333333302</v>
      </c>
      <c r="X333" s="346">
        <v>135.35733333333334</v>
      </c>
      <c r="Y333" s="566">
        <v>36.235999999999997</v>
      </c>
    </row>
    <row r="334" spans="1:25" x14ac:dyDescent="0.15">
      <c r="A334" s="201">
        <f t="shared" si="69"/>
        <v>46</v>
      </c>
      <c r="B334" s="260">
        <f t="shared" si="62"/>
        <v>40072</v>
      </c>
      <c r="C334" s="374">
        <f t="shared" si="56"/>
        <v>214.88257001103247</v>
      </c>
      <c r="D334" s="319">
        <f t="shared" si="65"/>
        <v>59.006397428861952</v>
      </c>
      <c r="E334" s="319">
        <f>VLOOKUP(MONTH(B334),[0]!Evap,3)</f>
        <v>3.9266666666666667</v>
      </c>
      <c r="F334" s="322">
        <f t="shared" si="66"/>
        <v>3.0628000000000002</v>
      </c>
      <c r="G334" s="319">
        <f t="shared" si="57"/>
        <v>10.530470741639419</v>
      </c>
      <c r="H334" s="322">
        <f t="shared" si="58"/>
        <v>3.2252725787493212E-2</v>
      </c>
      <c r="I334" s="322">
        <f>+fill_data!B378</f>
        <v>0.73134052111552317</v>
      </c>
      <c r="J334" s="322">
        <f t="shared" si="59"/>
        <v>59.705485224189978</v>
      </c>
      <c r="K334" s="322">
        <f>+fill_data!C378</f>
        <v>2E-3</v>
      </c>
      <c r="L334" s="322">
        <f>+fill_data!F378</f>
        <v>0</v>
      </c>
      <c r="M334" s="322">
        <f>+fill_data!D378</f>
        <v>3.85E-2</v>
      </c>
      <c r="N334" s="322">
        <f>++fill_data!E378</f>
        <v>4.2299999999999997E-2</v>
      </c>
      <c r="O334" s="322">
        <f>VLOOKUP($A334,[0]!ความต้องการน้ำ,3)/7</f>
        <v>0.5576067928929469</v>
      </c>
      <c r="P334" s="322">
        <f>VLOOKUP($A334,[0]!ฝนใช้การ,3)/7</f>
        <v>0.56928124799999991</v>
      </c>
      <c r="Q334" s="322">
        <f t="shared" si="67"/>
        <v>60</v>
      </c>
      <c r="R334" s="322">
        <f t="shared" si="63"/>
        <v>0</v>
      </c>
      <c r="S334" s="322">
        <f t="shared" si="60"/>
        <v>8.2799999999999999E-2</v>
      </c>
      <c r="T334" s="322">
        <f t="shared" si="61"/>
        <v>59.622685224189979</v>
      </c>
      <c r="U334" s="354">
        <f t="shared" si="64"/>
        <v>141</v>
      </c>
      <c r="V334" s="354">
        <f t="shared" si="68"/>
        <v>7</v>
      </c>
      <c r="W334" s="348">
        <v>38.999999999999964</v>
      </c>
      <c r="X334" s="346">
        <v>135.71</v>
      </c>
      <c r="Y334" s="566">
        <v>37.482999999999997</v>
      </c>
    </row>
    <row r="335" spans="1:25" x14ac:dyDescent="0.15">
      <c r="A335" s="201">
        <f t="shared" si="69"/>
        <v>46</v>
      </c>
      <c r="B335" s="260">
        <f t="shared" si="62"/>
        <v>40073</v>
      </c>
      <c r="C335" s="374">
        <f t="shared" ref="C335:C379" si="70">+(D335-VLOOKUP(D335,capacitycurveุ,1))*VLOOKUP(D335,capacitycurveุ,6)/VLOOKUP(D335,capacitycurveุ,5)+VLOOKUP(D335,capacitycurveุ,2)</f>
        <v>214.94145182486599</v>
      </c>
      <c r="D335" s="319">
        <f t="shared" si="65"/>
        <v>59.622685224189979</v>
      </c>
      <c r="E335" s="319">
        <f>VLOOKUP(MONTH(B335),[0]!Evap,3)</f>
        <v>3.9266666666666667</v>
      </c>
      <c r="F335" s="322">
        <f t="shared" si="66"/>
        <v>3.0628000000000002</v>
      </c>
      <c r="G335" s="319">
        <f t="shared" ref="G335:G379" si="71">+(D335-VLOOKUP(D335,capacitycurveุ,1))*VLOOKUP(D335,capacitycurveุ,7)/VLOOKUP(D335,capacitycurveุ,5)+VLOOKUP(D335,capacitycurveุ,3)</f>
        <v>10.567663041190563</v>
      </c>
      <c r="H335" s="322">
        <f t="shared" ref="H335:H379" si="72">F335/1000*G335</f>
        <v>3.2366638362558459E-2</v>
      </c>
      <c r="I335" s="322">
        <f>+fill_data!B379</f>
        <v>0.73134052111552317</v>
      </c>
      <c r="J335" s="322">
        <f t="shared" ref="J335:J379" si="73">D335-H335+I335</f>
        <v>60.321659106942938</v>
      </c>
      <c r="K335" s="322">
        <f>+fill_data!C379</f>
        <v>2E-3</v>
      </c>
      <c r="L335" s="322">
        <f>+fill_data!F379</f>
        <v>0</v>
      </c>
      <c r="M335" s="322">
        <f>+fill_data!D379</f>
        <v>3.85E-2</v>
      </c>
      <c r="N335" s="322">
        <f>++fill_data!E379</f>
        <v>4.2299999999999997E-2</v>
      </c>
      <c r="O335" s="322">
        <f>VLOOKUP($A335,[0]!ความต้องการน้ำ,3)/7</f>
        <v>0.5576067928929469</v>
      </c>
      <c r="P335" s="322">
        <f>VLOOKUP($A335,[0]!ฝนใช้การ,3)/7</f>
        <v>0.56928124799999991</v>
      </c>
      <c r="Q335" s="322">
        <f t="shared" si="67"/>
        <v>60</v>
      </c>
      <c r="R335" s="322">
        <f t="shared" si="63"/>
        <v>0</v>
      </c>
      <c r="S335" s="322">
        <f t="shared" ref="S335:S379" si="74">K335+L335+M335+N335+R335</f>
        <v>8.2799999999999999E-2</v>
      </c>
      <c r="T335" s="322">
        <f t="shared" ref="T335:T379" si="75">J335-S335</f>
        <v>60.23885910694294</v>
      </c>
      <c r="U335" s="354">
        <f t="shared" si="64"/>
        <v>141</v>
      </c>
      <c r="V335" s="354">
        <f t="shared" si="68"/>
        <v>7</v>
      </c>
      <c r="W335" s="348">
        <v>39.066666666666627</v>
      </c>
      <c r="X335" s="346">
        <v>136.06266666666664</v>
      </c>
      <c r="Y335" s="566">
        <v>38.106000000000002</v>
      </c>
    </row>
    <row r="336" spans="1:25" x14ac:dyDescent="0.15">
      <c r="A336" s="201">
        <f t="shared" si="69"/>
        <v>46</v>
      </c>
      <c r="B336" s="260">
        <f t="shared" ref="B336:B379" si="76">+B335+1</f>
        <v>40074</v>
      </c>
      <c r="C336" s="374">
        <f t="shared" si="70"/>
        <v>215.00030905969777</v>
      </c>
      <c r="D336" s="319">
        <f t="shared" si="65"/>
        <v>60.23885910694294</v>
      </c>
      <c r="E336" s="319">
        <f>VLOOKUP(MONTH(B336),[0]!Evap,3)</f>
        <v>3.9266666666666667</v>
      </c>
      <c r="F336" s="322">
        <f t="shared" si="66"/>
        <v>3.0628000000000002</v>
      </c>
      <c r="G336" s="319">
        <f t="shared" si="71"/>
        <v>10.604836732447954</v>
      </c>
      <c r="H336" s="322">
        <f t="shared" si="72"/>
        <v>3.248049394414159E-2</v>
      </c>
      <c r="I336" s="322">
        <f>+fill_data!B380</f>
        <v>0.73134052111552317</v>
      </c>
      <c r="J336" s="322">
        <f t="shared" si="73"/>
        <v>60.937719134114317</v>
      </c>
      <c r="K336" s="322">
        <f>+fill_data!C380</f>
        <v>2E-3</v>
      </c>
      <c r="L336" s="322">
        <f>+fill_data!F380</f>
        <v>0</v>
      </c>
      <c r="M336" s="322">
        <f>+fill_data!D380</f>
        <v>3.85E-2</v>
      </c>
      <c r="N336" s="322">
        <f>++fill_data!E380</f>
        <v>4.2299999999999997E-2</v>
      </c>
      <c r="O336" s="322">
        <f>VLOOKUP($A336,[0]!ความต้องการน้ำ,3)/7</f>
        <v>0.5576067928929469</v>
      </c>
      <c r="P336" s="322">
        <f>VLOOKUP($A336,[0]!ฝนใช้การ,3)/7</f>
        <v>0.56928124799999991</v>
      </c>
      <c r="Q336" s="322">
        <f t="shared" si="67"/>
        <v>60</v>
      </c>
      <c r="R336" s="322">
        <f t="shared" ref="R336:R379" si="77">IF((O336-P336)&lt;=0,0,+(O336-P336)/(Q336/100))</f>
        <v>0</v>
      </c>
      <c r="S336" s="322">
        <f t="shared" si="74"/>
        <v>8.2799999999999999E-2</v>
      </c>
      <c r="T336" s="322">
        <f t="shared" si="75"/>
        <v>60.854919134114319</v>
      </c>
      <c r="U336" s="354">
        <f t="shared" ref="U336:U379" si="78">+U335</f>
        <v>141</v>
      </c>
      <c r="V336" s="354">
        <f t="shared" si="68"/>
        <v>7</v>
      </c>
      <c r="W336" s="348">
        <v>39.13333333333329</v>
      </c>
      <c r="X336" s="346">
        <v>136.41533333333331</v>
      </c>
      <c r="Y336" s="566">
        <v>38.997</v>
      </c>
    </row>
    <row r="337" spans="1:25" x14ac:dyDescent="0.15">
      <c r="A337" s="201">
        <v>47</v>
      </c>
      <c r="B337" s="260">
        <f t="shared" si="76"/>
        <v>40075</v>
      </c>
      <c r="C337" s="374">
        <f t="shared" si="70"/>
        <v>215.05667150087274</v>
      </c>
      <c r="D337" s="319">
        <f t="shared" ref="D337:D379" si="79">IF(T336&gt;U336,U336,T336)</f>
        <v>60.854919134114319</v>
      </c>
      <c r="E337" s="319">
        <f>VLOOKUP(MONTH(B337),[0]!Evap,3)</f>
        <v>3.9266666666666667</v>
      </c>
      <c r="F337" s="322">
        <f t="shared" ref="F337:F379" si="80">E337*0.78</f>
        <v>3.0628000000000002</v>
      </c>
      <c r="G337" s="319">
        <f t="shared" si="71"/>
        <v>10.639875423978518</v>
      </c>
      <c r="H337" s="322">
        <f t="shared" si="72"/>
        <v>3.2587810448561405E-2</v>
      </c>
      <c r="I337" s="322">
        <f>+fill_data!B381</f>
        <v>0.73134052111552317</v>
      </c>
      <c r="J337" s="322">
        <f t="shared" si="73"/>
        <v>61.553671844781277</v>
      </c>
      <c r="K337" s="322">
        <f>+fill_data!C381</f>
        <v>2E-3</v>
      </c>
      <c r="L337" s="322">
        <f>+fill_data!F381</f>
        <v>0</v>
      </c>
      <c r="M337" s="322">
        <f>+fill_data!D381</f>
        <v>3.85E-2</v>
      </c>
      <c r="N337" s="322">
        <f>++fill_data!E381</f>
        <v>4.2299999999999997E-2</v>
      </c>
      <c r="O337" s="322">
        <f>VLOOKUP($A337,[0]!ความต้องการน้ำ,3)/7</f>
        <v>0.51998805104146262</v>
      </c>
      <c r="P337" s="322">
        <f>VLOOKUP($A337,[0]!ฝนใช้การ,3)/7</f>
        <v>0.56928124799999991</v>
      </c>
      <c r="Q337" s="322">
        <f t="shared" ref="Q337:Q379" si="81">+Q336</f>
        <v>60</v>
      </c>
      <c r="R337" s="322">
        <f t="shared" si="77"/>
        <v>0</v>
      </c>
      <c r="S337" s="322">
        <f t="shared" si="74"/>
        <v>8.2799999999999999E-2</v>
      </c>
      <c r="T337" s="322">
        <f t="shared" si="75"/>
        <v>61.470871844781279</v>
      </c>
      <c r="U337" s="354">
        <f t="shared" si="78"/>
        <v>141</v>
      </c>
      <c r="V337" s="354">
        <f t="shared" ref="V337:V379" si="82">+V336</f>
        <v>7</v>
      </c>
      <c r="W337" s="348">
        <v>39.199999999999953</v>
      </c>
      <c r="X337" s="346">
        <v>136.76799999999997</v>
      </c>
      <c r="Y337" s="566">
        <v>40.192</v>
      </c>
    </row>
    <row r="338" spans="1:25" x14ac:dyDescent="0.15">
      <c r="A338" s="201">
        <f t="shared" si="69"/>
        <v>47</v>
      </c>
      <c r="B338" s="260">
        <f t="shared" si="76"/>
        <v>40076</v>
      </c>
      <c r="C338" s="374">
        <f t="shared" si="70"/>
        <v>215.11302412381588</v>
      </c>
      <c r="D338" s="319">
        <f t="shared" si="79"/>
        <v>61.470871844781279</v>
      </c>
      <c r="E338" s="319">
        <f>VLOOKUP(MONTH(B338),[0]!Evap,3)</f>
        <v>3.9266666666666667</v>
      </c>
      <c r="F338" s="322">
        <f t="shared" si="80"/>
        <v>3.0628000000000002</v>
      </c>
      <c r="G338" s="319">
        <f t="shared" si="71"/>
        <v>10.674908011834557</v>
      </c>
      <c r="H338" s="322">
        <f t="shared" si="72"/>
        <v>3.2695108258646882E-2</v>
      </c>
      <c r="I338" s="322">
        <f>+fill_data!B382</f>
        <v>0.73134052111552317</v>
      </c>
      <c r="J338" s="322">
        <f t="shared" si="73"/>
        <v>62.169517257638148</v>
      </c>
      <c r="K338" s="322">
        <f>+fill_data!C382</f>
        <v>2E-3</v>
      </c>
      <c r="L338" s="322">
        <f>+fill_data!F382</f>
        <v>0</v>
      </c>
      <c r="M338" s="322">
        <f>+fill_data!D382</f>
        <v>3.85E-2</v>
      </c>
      <c r="N338" s="322">
        <f>++fill_data!E382</f>
        <v>4.2299999999999997E-2</v>
      </c>
      <c r="O338" s="322">
        <f>VLOOKUP($A338,[0]!ความต้องการน้ำ,3)/7</f>
        <v>0.51998805104146262</v>
      </c>
      <c r="P338" s="322">
        <f>VLOOKUP($A338,[0]!ฝนใช้การ,3)/7</f>
        <v>0.56928124799999991</v>
      </c>
      <c r="Q338" s="322">
        <f t="shared" si="81"/>
        <v>60</v>
      </c>
      <c r="R338" s="322">
        <f t="shared" si="77"/>
        <v>0</v>
      </c>
      <c r="S338" s="322">
        <f t="shared" si="74"/>
        <v>8.2799999999999999E-2</v>
      </c>
      <c r="T338" s="322">
        <f t="shared" si="75"/>
        <v>62.086717257638149</v>
      </c>
      <c r="U338" s="354">
        <f t="shared" si="78"/>
        <v>141</v>
      </c>
      <c r="V338" s="354">
        <f t="shared" si="82"/>
        <v>7</v>
      </c>
      <c r="W338" s="348">
        <v>39.266666666666616</v>
      </c>
      <c r="X338" s="346">
        <v>137.12066666666664</v>
      </c>
      <c r="Y338" s="566">
        <v>41.101999999999997</v>
      </c>
    </row>
    <row r="339" spans="1:25" x14ac:dyDescent="0.15">
      <c r="A339" s="201">
        <f t="shared" si="69"/>
        <v>47</v>
      </c>
      <c r="B339" s="260">
        <f t="shared" si="76"/>
        <v>40077</v>
      </c>
      <c r="C339" s="374">
        <f t="shared" si="70"/>
        <v>215.16936693023749</v>
      </c>
      <c r="D339" s="319">
        <f t="shared" si="79"/>
        <v>62.086717257638149</v>
      </c>
      <c r="E339" s="319">
        <f>VLOOKUP(MONTH(B339),[0]!Evap,3)</f>
        <v>3.9266666666666667</v>
      </c>
      <c r="F339" s="322">
        <f t="shared" si="80"/>
        <v>3.0628000000000002</v>
      </c>
      <c r="G339" s="319">
        <f t="shared" si="71"/>
        <v>10.709934497079317</v>
      </c>
      <c r="H339" s="322">
        <f t="shared" si="72"/>
        <v>3.2802387377654535E-2</v>
      </c>
      <c r="I339" s="322">
        <f>+fill_data!B383</f>
        <v>0.73134052111552317</v>
      </c>
      <c r="J339" s="322">
        <f t="shared" si="73"/>
        <v>62.785255391376012</v>
      </c>
      <c r="K339" s="322">
        <f>+fill_data!C383</f>
        <v>2E-3</v>
      </c>
      <c r="L339" s="322">
        <f>+fill_data!F383</f>
        <v>0</v>
      </c>
      <c r="M339" s="322">
        <f>+fill_data!D383</f>
        <v>3.85E-2</v>
      </c>
      <c r="N339" s="322">
        <f>++fill_data!E383</f>
        <v>4.2299999999999997E-2</v>
      </c>
      <c r="O339" s="322">
        <f>VLOOKUP($A339,[0]!ความต้องการน้ำ,3)/7</f>
        <v>0.51998805104146262</v>
      </c>
      <c r="P339" s="322">
        <f>VLOOKUP($A339,[0]!ฝนใช้การ,3)/7</f>
        <v>0.56928124799999991</v>
      </c>
      <c r="Q339" s="322">
        <f t="shared" si="81"/>
        <v>60</v>
      </c>
      <c r="R339" s="322">
        <f t="shared" si="77"/>
        <v>0</v>
      </c>
      <c r="S339" s="322">
        <f t="shared" si="74"/>
        <v>8.2799999999999999E-2</v>
      </c>
      <c r="T339" s="322">
        <f t="shared" si="75"/>
        <v>62.702455391376013</v>
      </c>
      <c r="U339" s="354">
        <f t="shared" si="78"/>
        <v>141</v>
      </c>
      <c r="V339" s="354">
        <f t="shared" si="82"/>
        <v>7</v>
      </c>
      <c r="W339" s="348">
        <v>39.333333333333286</v>
      </c>
      <c r="X339" s="346">
        <v>137.47333333333327</v>
      </c>
      <c r="Y339" s="566">
        <v>43.228000000000002</v>
      </c>
    </row>
    <row r="340" spans="1:25" x14ac:dyDescent="0.15">
      <c r="A340" s="201">
        <f t="shared" si="69"/>
        <v>47</v>
      </c>
      <c r="B340" s="260">
        <f t="shared" si="76"/>
        <v>40078</v>
      </c>
      <c r="C340" s="374">
        <f t="shared" si="70"/>
        <v>215.22569992184762</v>
      </c>
      <c r="D340" s="319">
        <f t="shared" si="79"/>
        <v>62.702455391376013</v>
      </c>
      <c r="E340" s="319">
        <f>VLOOKUP(MONTH(B340),[0]!Evap,3)</f>
        <v>3.9266666666666667</v>
      </c>
      <c r="F340" s="322">
        <f t="shared" si="80"/>
        <v>3.0628000000000002</v>
      </c>
      <c r="G340" s="319">
        <f t="shared" si="71"/>
        <v>10.744954880775865</v>
      </c>
      <c r="H340" s="322">
        <f t="shared" si="72"/>
        <v>3.2909647808840321E-2</v>
      </c>
      <c r="I340" s="322">
        <f>+fill_data!B384</f>
        <v>0.73134052111552317</v>
      </c>
      <c r="J340" s="322">
        <f t="shared" si="73"/>
        <v>63.40088626468269</v>
      </c>
      <c r="K340" s="322">
        <f>+fill_data!C384</f>
        <v>2E-3</v>
      </c>
      <c r="L340" s="322">
        <f>+fill_data!F384</f>
        <v>0</v>
      </c>
      <c r="M340" s="322">
        <f>+fill_data!D384</f>
        <v>3.85E-2</v>
      </c>
      <c r="N340" s="322">
        <f>++fill_data!E384</f>
        <v>4.2299999999999997E-2</v>
      </c>
      <c r="O340" s="322">
        <f>VLOOKUP($A340,[0]!ความต้องการน้ำ,3)/7</f>
        <v>0.51998805104146262</v>
      </c>
      <c r="P340" s="322">
        <f>VLOOKUP($A340,[0]!ฝนใช้การ,3)/7</f>
        <v>0.56928124799999991</v>
      </c>
      <c r="Q340" s="322">
        <f t="shared" si="81"/>
        <v>60</v>
      </c>
      <c r="R340" s="322">
        <f t="shared" si="77"/>
        <v>0</v>
      </c>
      <c r="S340" s="322">
        <f t="shared" si="74"/>
        <v>8.2799999999999999E-2</v>
      </c>
      <c r="T340" s="322">
        <f t="shared" si="75"/>
        <v>63.318086264682691</v>
      </c>
      <c r="U340" s="354">
        <f t="shared" si="78"/>
        <v>141</v>
      </c>
      <c r="V340" s="354">
        <f t="shared" si="82"/>
        <v>7</v>
      </c>
      <c r="W340" s="348">
        <v>39.399999999999949</v>
      </c>
      <c r="X340" s="346">
        <v>137.82599999999994</v>
      </c>
      <c r="Y340" s="566">
        <v>46.161999999999999</v>
      </c>
    </row>
    <row r="341" spans="1:25" x14ac:dyDescent="0.15">
      <c r="A341" s="201">
        <f t="shared" ref="A341:A379" si="83">+A340</f>
        <v>47</v>
      </c>
      <c r="B341" s="260">
        <f t="shared" si="76"/>
        <v>40079</v>
      </c>
      <c r="C341" s="374">
        <f t="shared" si="70"/>
        <v>215.28202310035599</v>
      </c>
      <c r="D341" s="319">
        <f t="shared" si="79"/>
        <v>63.318086264682691</v>
      </c>
      <c r="E341" s="319">
        <f>VLOOKUP(MONTH(B341),[0]!Evap,3)</f>
        <v>3.9266666666666667</v>
      </c>
      <c r="F341" s="322">
        <f t="shared" si="80"/>
        <v>3.0628000000000002</v>
      </c>
      <c r="G341" s="319">
        <f t="shared" si="71"/>
        <v>10.779969163987076</v>
      </c>
      <c r="H341" s="322">
        <f t="shared" si="72"/>
        <v>3.3016889555459616E-2</v>
      </c>
      <c r="I341" s="322">
        <f>+fill_data!B385</f>
        <v>0.73134052111552317</v>
      </c>
      <c r="J341" s="322">
        <f t="shared" si="73"/>
        <v>64.016409896242749</v>
      </c>
      <c r="K341" s="322">
        <f>+fill_data!C385</f>
        <v>2E-3</v>
      </c>
      <c r="L341" s="322">
        <f>+fill_data!F385</f>
        <v>0</v>
      </c>
      <c r="M341" s="322">
        <f>+fill_data!D385</f>
        <v>3.85E-2</v>
      </c>
      <c r="N341" s="322">
        <f>++fill_data!E385</f>
        <v>4.2299999999999997E-2</v>
      </c>
      <c r="O341" s="322">
        <f>VLOOKUP($A341,[0]!ความต้องการน้ำ,3)/7</f>
        <v>0.51998805104146262</v>
      </c>
      <c r="P341" s="322">
        <f>VLOOKUP($A341,[0]!ฝนใช้การ,3)/7</f>
        <v>0.56928124799999991</v>
      </c>
      <c r="Q341" s="322">
        <f t="shared" si="81"/>
        <v>60</v>
      </c>
      <c r="R341" s="322">
        <f t="shared" si="77"/>
        <v>0</v>
      </c>
      <c r="S341" s="322">
        <f t="shared" si="74"/>
        <v>8.2799999999999999E-2</v>
      </c>
      <c r="T341" s="322">
        <f t="shared" si="75"/>
        <v>63.93360989624275</v>
      </c>
      <c r="U341" s="354">
        <f t="shared" si="78"/>
        <v>141</v>
      </c>
      <c r="V341" s="354">
        <f t="shared" si="82"/>
        <v>7</v>
      </c>
      <c r="W341" s="348">
        <v>39.466666666666612</v>
      </c>
      <c r="X341" s="346">
        <v>138.1786666666666</v>
      </c>
      <c r="Y341" s="566"/>
    </row>
    <row r="342" spans="1:25" x14ac:dyDescent="0.15">
      <c r="A342" s="201">
        <f t="shared" si="83"/>
        <v>47</v>
      </c>
      <c r="B342" s="260">
        <f t="shared" si="76"/>
        <v>40080</v>
      </c>
      <c r="C342" s="374">
        <f t="shared" si="70"/>
        <v>215.338336467472</v>
      </c>
      <c r="D342" s="319">
        <f t="shared" si="79"/>
        <v>63.93360989624275</v>
      </c>
      <c r="E342" s="319">
        <f>VLOOKUP(MONTH(B342),[0]!Evap,3)</f>
        <v>3.9266666666666667</v>
      </c>
      <c r="F342" s="322">
        <f t="shared" si="80"/>
        <v>3.0628000000000002</v>
      </c>
      <c r="G342" s="319">
        <f t="shared" si="71"/>
        <v>10.814977347775644</v>
      </c>
      <c r="H342" s="322">
        <f t="shared" si="72"/>
        <v>3.312411262076724E-2</v>
      </c>
      <c r="I342" s="322">
        <f>+fill_data!B386</f>
        <v>0.73134052111552317</v>
      </c>
      <c r="J342" s="322">
        <f t="shared" si="73"/>
        <v>64.631826304737501</v>
      </c>
      <c r="K342" s="322">
        <f>+fill_data!C386</f>
        <v>2E-3</v>
      </c>
      <c r="L342" s="322">
        <f>+fill_data!F386</f>
        <v>0</v>
      </c>
      <c r="M342" s="322">
        <f>+fill_data!D386</f>
        <v>3.85E-2</v>
      </c>
      <c r="N342" s="322">
        <f>++fill_data!E386</f>
        <v>4.2299999999999997E-2</v>
      </c>
      <c r="O342" s="322">
        <f>VLOOKUP($A342,[0]!ความต้องการน้ำ,3)/7</f>
        <v>0.51998805104146262</v>
      </c>
      <c r="P342" s="322">
        <f>VLOOKUP($A342,[0]!ฝนใช้การ,3)/7</f>
        <v>0.56928124799999991</v>
      </c>
      <c r="Q342" s="322">
        <f t="shared" si="81"/>
        <v>60</v>
      </c>
      <c r="R342" s="322">
        <f t="shared" si="77"/>
        <v>0</v>
      </c>
      <c r="S342" s="322">
        <f t="shared" si="74"/>
        <v>8.2799999999999999E-2</v>
      </c>
      <c r="T342" s="322">
        <f t="shared" si="75"/>
        <v>64.549026304737495</v>
      </c>
      <c r="U342" s="354">
        <f t="shared" si="78"/>
        <v>141</v>
      </c>
      <c r="V342" s="354">
        <f t="shared" si="82"/>
        <v>7</v>
      </c>
      <c r="W342" s="348">
        <v>39.533333333333275</v>
      </c>
      <c r="X342" s="346">
        <v>138.53133333333327</v>
      </c>
      <c r="Y342" s="566"/>
    </row>
    <row r="343" spans="1:25" x14ac:dyDescent="0.15">
      <c r="A343" s="201">
        <f t="shared" si="83"/>
        <v>47</v>
      </c>
      <c r="B343" s="260">
        <f t="shared" si="76"/>
        <v>40081</v>
      </c>
      <c r="C343" s="374">
        <f t="shared" si="70"/>
        <v>215.39464002490479</v>
      </c>
      <c r="D343" s="319">
        <f t="shared" si="79"/>
        <v>64.549026304737495</v>
      </c>
      <c r="E343" s="319">
        <f>VLOOKUP(MONTH(B343),[0]!Evap,3)</f>
        <v>3.9266666666666667</v>
      </c>
      <c r="F343" s="322">
        <f t="shared" si="80"/>
        <v>3.0628000000000002</v>
      </c>
      <c r="G343" s="319">
        <f t="shared" si="71"/>
        <v>10.849979433204076</v>
      </c>
      <c r="H343" s="322">
        <f t="shared" si="72"/>
        <v>3.3231317008017444E-2</v>
      </c>
      <c r="I343" s="322">
        <f>+fill_data!B387</f>
        <v>0.73134052111552317</v>
      </c>
      <c r="J343" s="322">
        <f t="shared" si="73"/>
        <v>65.247135508845005</v>
      </c>
      <c r="K343" s="322">
        <f>+fill_data!C387</f>
        <v>2E-3</v>
      </c>
      <c r="L343" s="322">
        <f>+fill_data!F387</f>
        <v>0</v>
      </c>
      <c r="M343" s="322">
        <f>+fill_data!D387</f>
        <v>3.85E-2</v>
      </c>
      <c r="N343" s="322">
        <f>++fill_data!E387</f>
        <v>4.2299999999999997E-2</v>
      </c>
      <c r="O343" s="322">
        <f>VLOOKUP($A343,[0]!ความต้องการน้ำ,3)/7</f>
        <v>0.51998805104146262</v>
      </c>
      <c r="P343" s="322">
        <f>VLOOKUP($A343,[0]!ฝนใช้การ,3)/7</f>
        <v>0.56928124799999991</v>
      </c>
      <c r="Q343" s="322">
        <f t="shared" si="81"/>
        <v>60</v>
      </c>
      <c r="R343" s="322">
        <f t="shared" si="77"/>
        <v>0</v>
      </c>
      <c r="S343" s="322">
        <f t="shared" si="74"/>
        <v>8.2799999999999999E-2</v>
      </c>
      <c r="T343" s="322">
        <f t="shared" si="75"/>
        <v>65.164335508844999</v>
      </c>
      <c r="U343" s="354">
        <f t="shared" si="78"/>
        <v>141</v>
      </c>
      <c r="V343" s="354">
        <f t="shared" si="82"/>
        <v>7</v>
      </c>
      <c r="W343" s="348">
        <v>39.599999999999937</v>
      </c>
      <c r="X343" s="346">
        <v>138.8839999999999</v>
      </c>
      <c r="Y343" s="566"/>
    </row>
    <row r="344" spans="1:25" x14ac:dyDescent="0.15">
      <c r="A344" s="201">
        <v>48</v>
      </c>
      <c r="B344" s="260">
        <f t="shared" si="76"/>
        <v>40082</v>
      </c>
      <c r="C344" s="374">
        <f t="shared" si="70"/>
        <v>215.45093377436319</v>
      </c>
      <c r="D344" s="319">
        <f t="shared" si="79"/>
        <v>65.164335508844999</v>
      </c>
      <c r="E344" s="319">
        <f>VLOOKUP(MONTH(B344),[0]!Evap,3)</f>
        <v>3.9266666666666667</v>
      </c>
      <c r="F344" s="322">
        <f t="shared" si="80"/>
        <v>3.0628000000000002</v>
      </c>
      <c r="G344" s="319">
        <f t="shared" si="71"/>
        <v>10.884975421334698</v>
      </c>
      <c r="H344" s="322">
        <f t="shared" si="72"/>
        <v>3.333850272046391E-2</v>
      </c>
      <c r="I344" s="322">
        <f>+fill_data!B388</f>
        <v>0.73134052111552317</v>
      </c>
      <c r="J344" s="322">
        <f t="shared" si="73"/>
        <v>65.862337527240058</v>
      </c>
      <c r="K344" s="322">
        <f>+fill_data!C388</f>
        <v>2E-3</v>
      </c>
      <c r="L344" s="322">
        <f>+fill_data!F388</f>
        <v>0</v>
      </c>
      <c r="M344" s="322">
        <f>+fill_data!D388</f>
        <v>3.85E-2</v>
      </c>
      <c r="N344" s="322">
        <f>++fill_data!E388</f>
        <v>4.2299999999999997E-2</v>
      </c>
      <c r="O344" s="322">
        <f>VLOOKUP($A344,[0]!ความต้องการน้ำ,3)/7</f>
        <v>0.49004143789409477</v>
      </c>
      <c r="P344" s="322">
        <f>VLOOKUP($A344,[0]!ฝนใช้การ,3)/7</f>
        <v>0.35928597161290321</v>
      </c>
      <c r="Q344" s="322">
        <f t="shared" si="81"/>
        <v>60</v>
      </c>
      <c r="R344" s="322">
        <f t="shared" si="77"/>
        <v>0.21792577713531927</v>
      </c>
      <c r="S344" s="322">
        <f t="shared" si="74"/>
        <v>0.30072577713531928</v>
      </c>
      <c r="T344" s="322">
        <f t="shared" si="75"/>
        <v>65.561611750104746</v>
      </c>
      <c r="U344" s="354">
        <f t="shared" si="78"/>
        <v>141</v>
      </c>
      <c r="V344" s="354">
        <f t="shared" si="82"/>
        <v>7</v>
      </c>
      <c r="W344" s="348">
        <v>39.666666666666607</v>
      </c>
      <c r="X344" s="346">
        <v>139.23666666666657</v>
      </c>
      <c r="Y344" s="566"/>
    </row>
    <row r="345" spans="1:25" x14ac:dyDescent="0.15">
      <c r="A345" s="201">
        <f t="shared" si="83"/>
        <v>48</v>
      </c>
      <c r="B345" s="260">
        <f t="shared" si="76"/>
        <v>40083</v>
      </c>
      <c r="C345" s="374">
        <f t="shared" si="70"/>
        <v>215.48728000328674</v>
      </c>
      <c r="D345" s="319">
        <f t="shared" si="79"/>
        <v>65.561611750104746</v>
      </c>
      <c r="E345" s="319">
        <f>VLOOKUP(MONTH(B345),[0]!Evap,3)</f>
        <v>3.9266666666666667</v>
      </c>
      <c r="F345" s="322">
        <f t="shared" si="80"/>
        <v>3.0628000000000002</v>
      </c>
      <c r="G345" s="319">
        <f t="shared" si="71"/>
        <v>10.907570686497147</v>
      </c>
      <c r="H345" s="322">
        <f t="shared" si="72"/>
        <v>3.3407707498603459E-2</v>
      </c>
      <c r="I345" s="322">
        <f>+fill_data!B389</f>
        <v>0.73134052111552317</v>
      </c>
      <c r="J345" s="322">
        <f t="shared" si="73"/>
        <v>66.259544563721676</v>
      </c>
      <c r="K345" s="322">
        <f>+fill_data!C389</f>
        <v>2E-3</v>
      </c>
      <c r="L345" s="322">
        <f>+fill_data!F389</f>
        <v>0</v>
      </c>
      <c r="M345" s="322">
        <f>+fill_data!D389</f>
        <v>3.85E-2</v>
      </c>
      <c r="N345" s="322">
        <f>++fill_data!E389</f>
        <v>4.2299999999999997E-2</v>
      </c>
      <c r="O345" s="322">
        <f>VLOOKUP($A345,[0]!ความต้องการน้ำ,3)/7</f>
        <v>0.49004143789409477</v>
      </c>
      <c r="P345" s="322">
        <f>VLOOKUP($A345,[0]!ฝนใช้การ,3)/7</f>
        <v>0.35928597161290321</v>
      </c>
      <c r="Q345" s="322">
        <f t="shared" si="81"/>
        <v>60</v>
      </c>
      <c r="R345" s="322">
        <f t="shared" si="77"/>
        <v>0.21792577713531927</v>
      </c>
      <c r="S345" s="322">
        <f t="shared" si="74"/>
        <v>0.30072577713531928</v>
      </c>
      <c r="T345" s="322">
        <f t="shared" si="75"/>
        <v>65.958818786586363</v>
      </c>
      <c r="U345" s="354">
        <f t="shared" si="78"/>
        <v>141</v>
      </c>
      <c r="V345" s="354">
        <f t="shared" si="82"/>
        <v>7</v>
      </c>
      <c r="W345" s="348">
        <v>39.73333333333327</v>
      </c>
      <c r="X345" s="346">
        <v>139.58933333333323</v>
      </c>
      <c r="Y345" s="566"/>
    </row>
    <row r="346" spans="1:25" x14ac:dyDescent="0.15">
      <c r="A346" s="201">
        <f t="shared" si="83"/>
        <v>48</v>
      </c>
      <c r="B346" s="260">
        <f t="shared" si="76"/>
        <v>40084</v>
      </c>
      <c r="C346" s="374">
        <f t="shared" si="70"/>
        <v>215.52266032994774</v>
      </c>
      <c r="D346" s="319">
        <f t="shared" si="79"/>
        <v>65.958818786586363</v>
      </c>
      <c r="E346" s="319">
        <f>VLOOKUP(MONTH(B346),[0]!Evap,3)</f>
        <v>3.9266666666666667</v>
      </c>
      <c r="F346" s="322">
        <f t="shared" si="80"/>
        <v>3.0628000000000002</v>
      </c>
      <c r="G346" s="319">
        <f t="shared" si="71"/>
        <v>10.93559282393668</v>
      </c>
      <c r="H346" s="322">
        <f t="shared" si="72"/>
        <v>3.3493533701153266E-2</v>
      </c>
      <c r="I346" s="322">
        <f>+fill_data!B390</f>
        <v>0.73134052111552317</v>
      </c>
      <c r="J346" s="322">
        <f t="shared" si="73"/>
        <v>66.656665774000743</v>
      </c>
      <c r="K346" s="322">
        <f>+fill_data!C390</f>
        <v>2E-3</v>
      </c>
      <c r="L346" s="322">
        <f>+fill_data!F390</f>
        <v>0</v>
      </c>
      <c r="M346" s="322">
        <f>+fill_data!D390</f>
        <v>3.85E-2</v>
      </c>
      <c r="N346" s="322">
        <f>++fill_data!E390</f>
        <v>4.2299999999999997E-2</v>
      </c>
      <c r="O346" s="322">
        <f>VLOOKUP($A346,[0]!ความต้องการน้ำ,3)/7</f>
        <v>0.49004143789409477</v>
      </c>
      <c r="P346" s="322">
        <f>VLOOKUP($A346,[0]!ฝนใช้การ,3)/7</f>
        <v>0.35928597161290321</v>
      </c>
      <c r="Q346" s="322">
        <f t="shared" si="81"/>
        <v>60</v>
      </c>
      <c r="R346" s="322">
        <f t="shared" si="77"/>
        <v>0.21792577713531927</v>
      </c>
      <c r="S346" s="322">
        <f t="shared" si="74"/>
        <v>0.30072577713531928</v>
      </c>
      <c r="T346" s="322">
        <f t="shared" si="75"/>
        <v>66.35593999686543</v>
      </c>
      <c r="U346" s="354">
        <f t="shared" si="78"/>
        <v>141</v>
      </c>
      <c r="V346" s="354">
        <f t="shared" si="82"/>
        <v>7</v>
      </c>
      <c r="W346" s="348">
        <v>39.799999999999933</v>
      </c>
      <c r="X346" s="346">
        <v>139.94199999999989</v>
      </c>
      <c r="Y346" s="566"/>
    </row>
    <row r="347" spans="1:25" x14ac:dyDescent="0.15">
      <c r="A347" s="201">
        <f t="shared" si="83"/>
        <v>48</v>
      </c>
      <c r="B347" s="260">
        <f t="shared" si="76"/>
        <v>40085</v>
      </c>
      <c r="C347" s="374">
        <f t="shared" si="70"/>
        <v>215.5575163669732</v>
      </c>
      <c r="D347" s="319">
        <f t="shared" si="79"/>
        <v>66.35593999686543</v>
      </c>
      <c r="E347" s="319">
        <f>VLOOKUP(MONTH(B347),[0]!Evap,3)</f>
        <v>3.9266666666666667</v>
      </c>
      <c r="F347" s="322">
        <f t="shared" si="80"/>
        <v>3.0628000000000002</v>
      </c>
      <c r="G347" s="319">
        <f t="shared" si="71"/>
        <v>10.966532921243379</v>
      </c>
      <c r="H347" s="322">
        <f t="shared" si="72"/>
        <v>3.3588297031184225E-2</v>
      </c>
      <c r="I347" s="322">
        <f>+fill_data!B391</f>
        <v>0.73134052111552317</v>
      </c>
      <c r="J347" s="322">
        <f t="shared" si="73"/>
        <v>67.05369222094977</v>
      </c>
      <c r="K347" s="322">
        <f>+fill_data!C391</f>
        <v>2E-3</v>
      </c>
      <c r="L347" s="322">
        <f>+fill_data!F391</f>
        <v>0</v>
      </c>
      <c r="M347" s="322">
        <f>+fill_data!D391</f>
        <v>3.85E-2</v>
      </c>
      <c r="N347" s="322">
        <f>++fill_data!E391</f>
        <v>4.2299999999999997E-2</v>
      </c>
      <c r="O347" s="322">
        <f>VLOOKUP($A347,[0]!ความต้องการน้ำ,3)/7</f>
        <v>0.49004143789409477</v>
      </c>
      <c r="P347" s="322">
        <f>VLOOKUP($A347,[0]!ฝนใช้การ,3)/7</f>
        <v>0.35928597161290321</v>
      </c>
      <c r="Q347" s="322">
        <f t="shared" si="81"/>
        <v>60</v>
      </c>
      <c r="R347" s="322">
        <f>IF((O347-P347)&lt;=0,0,+(O347-P347)/(Q347/100))</f>
        <v>0.21792577713531927</v>
      </c>
      <c r="S347" s="322">
        <f t="shared" si="74"/>
        <v>0.30072577713531928</v>
      </c>
      <c r="T347" s="322">
        <f t="shared" si="75"/>
        <v>66.752966443814458</v>
      </c>
      <c r="U347" s="354">
        <f t="shared" si="78"/>
        <v>141</v>
      </c>
      <c r="V347" s="354">
        <f t="shared" si="82"/>
        <v>7</v>
      </c>
      <c r="W347" s="348">
        <v>39.866666666666596</v>
      </c>
      <c r="X347" s="346">
        <v>140.29466666666653</v>
      </c>
      <c r="Y347" s="566"/>
    </row>
    <row r="348" spans="1:25" x14ac:dyDescent="0.15">
      <c r="A348" s="201">
        <f t="shared" si="83"/>
        <v>48</v>
      </c>
      <c r="B348" s="260">
        <f t="shared" si="76"/>
        <v>40086</v>
      </c>
      <c r="C348" s="374">
        <f t="shared" si="70"/>
        <v>215.59236408645211</v>
      </c>
      <c r="D348" s="319">
        <f t="shared" si="79"/>
        <v>66.752966443814458</v>
      </c>
      <c r="E348" s="319">
        <f>VLOOKUP(MONTH(B348),[0]!Evap,3)</f>
        <v>3.9266666666666667</v>
      </c>
      <c r="F348" s="322">
        <f t="shared" si="80"/>
        <v>3.0628000000000002</v>
      </c>
      <c r="G348" s="319">
        <f t="shared" si="71"/>
        <v>10.997465635447449</v>
      </c>
      <c r="H348" s="322">
        <f t="shared" si="72"/>
        <v>3.3683037748248448E-2</v>
      </c>
      <c r="I348" s="322">
        <f>+fill_data!B392</f>
        <v>0.73134052111552317</v>
      </c>
      <c r="J348" s="322">
        <f t="shared" si="73"/>
        <v>67.450623927181738</v>
      </c>
      <c r="K348" s="322">
        <f>+fill_data!C392</f>
        <v>2E-3</v>
      </c>
      <c r="L348" s="322">
        <f>+fill_data!F392</f>
        <v>0</v>
      </c>
      <c r="M348" s="322">
        <f>+fill_data!D392</f>
        <v>3.85E-2</v>
      </c>
      <c r="N348" s="322">
        <f>++fill_data!E392</f>
        <v>4.2299999999999997E-2</v>
      </c>
      <c r="O348" s="322">
        <f>VLOOKUP($A348,[0]!ความต้องการน้ำ,3)/7</f>
        <v>0.49004143789409477</v>
      </c>
      <c r="P348" s="322">
        <f>VLOOKUP($A348,[0]!ฝนใช้การ,3)/7</f>
        <v>0.35928597161290321</v>
      </c>
      <c r="Q348" s="322">
        <f t="shared" si="81"/>
        <v>60</v>
      </c>
      <c r="R348" s="322">
        <f t="shared" si="77"/>
        <v>0.21792577713531927</v>
      </c>
      <c r="S348" s="322">
        <f t="shared" si="74"/>
        <v>0.30072577713531928</v>
      </c>
      <c r="T348" s="322">
        <f t="shared" si="75"/>
        <v>67.149898150046425</v>
      </c>
      <c r="U348" s="354">
        <f t="shared" si="78"/>
        <v>141</v>
      </c>
      <c r="V348" s="354">
        <f t="shared" si="82"/>
        <v>7</v>
      </c>
      <c r="W348" s="348">
        <v>39.933333333333259</v>
      </c>
      <c r="X348" s="346">
        <v>140.64733333333319</v>
      </c>
      <c r="Y348" s="566"/>
    </row>
    <row r="349" spans="1:25" x14ac:dyDescent="0.15">
      <c r="A349" s="201">
        <f t="shared" si="83"/>
        <v>48</v>
      </c>
      <c r="B349" s="260">
        <f t="shared" si="76"/>
        <v>40087</v>
      </c>
      <c r="C349" s="374">
        <f t="shared" si="70"/>
        <v>215.62720349036928</v>
      </c>
      <c r="D349" s="319">
        <f t="shared" si="79"/>
        <v>67.149898150046425</v>
      </c>
      <c r="E349" s="319">
        <f>VLOOKUP(MONTH(B349),[0]!Evap,3)</f>
        <v>3.6774193548387095</v>
      </c>
      <c r="F349" s="322">
        <f t="shared" si="80"/>
        <v>2.8683870967741933</v>
      </c>
      <c r="G349" s="319">
        <f t="shared" si="71"/>
        <v>11.028390968310685</v>
      </c>
      <c r="H349" s="322">
        <f t="shared" si="72"/>
        <v>3.1633694351683422E-2</v>
      </c>
      <c r="I349" s="322">
        <f>+fill_data!B393</f>
        <v>1.110335985720897</v>
      </c>
      <c r="J349" s="322">
        <f t="shared" si="73"/>
        <v>68.228600441415637</v>
      </c>
      <c r="K349" s="322">
        <f>+fill_data!C393</f>
        <v>1.9354838709677419E-3</v>
      </c>
      <c r="L349" s="322">
        <f>+fill_data!F393</f>
        <v>0</v>
      </c>
      <c r="M349" s="322">
        <f>+fill_data!D393</f>
        <v>3.7258064516129036E-2</v>
      </c>
      <c r="N349" s="322">
        <f>++fill_data!E393</f>
        <v>4.2299999999999997E-2</v>
      </c>
      <c r="O349" s="322">
        <f>VLOOKUP($A349,[0]!ความต้องการน้ำ,3)/7</f>
        <v>0.49004143789409477</v>
      </c>
      <c r="P349" s="322">
        <f>VLOOKUP($A349,[0]!ฝนใช้การ,3)/7</f>
        <v>0.35928597161290321</v>
      </c>
      <c r="Q349" s="322">
        <f t="shared" si="81"/>
        <v>60</v>
      </c>
      <c r="R349" s="322">
        <f t="shared" si="77"/>
        <v>0.21792577713531927</v>
      </c>
      <c r="S349" s="322">
        <f t="shared" si="74"/>
        <v>0.29941932552241601</v>
      </c>
      <c r="T349" s="322">
        <f t="shared" si="75"/>
        <v>67.929181115893215</v>
      </c>
      <c r="U349" s="354">
        <f t="shared" si="78"/>
        <v>141</v>
      </c>
      <c r="V349" s="354">
        <f t="shared" si="82"/>
        <v>7</v>
      </c>
      <c r="W349" s="348">
        <v>40</v>
      </c>
      <c r="X349" s="346">
        <v>141</v>
      </c>
      <c r="Y349" s="566"/>
    </row>
    <row r="350" spans="1:25" x14ac:dyDescent="0.15">
      <c r="A350" s="201">
        <f t="shared" si="83"/>
        <v>48</v>
      </c>
      <c r="B350" s="260">
        <f t="shared" si="76"/>
        <v>40088</v>
      </c>
      <c r="C350" s="374">
        <f t="shared" si="70"/>
        <v>215.69560254639495</v>
      </c>
      <c r="D350" s="319">
        <f t="shared" si="79"/>
        <v>67.929181115893215</v>
      </c>
      <c r="E350" s="319">
        <f>VLOOKUP(MONTH(B350),[0]!Evap,3)</f>
        <v>3.6774193548387095</v>
      </c>
      <c r="F350" s="322">
        <f t="shared" si="80"/>
        <v>2.8683870967741933</v>
      </c>
      <c r="G350" s="319">
        <f t="shared" si="71"/>
        <v>11.089105657349355</v>
      </c>
      <c r="H350" s="322">
        <f t="shared" si="72"/>
        <v>3.1807847582306599E-2</v>
      </c>
      <c r="I350" s="322">
        <f>+fill_data!B394</f>
        <v>1.110335985720897</v>
      </c>
      <c r="J350" s="322">
        <f t="shared" si="73"/>
        <v>69.007709254031809</v>
      </c>
      <c r="K350" s="322">
        <f>+fill_data!C394</f>
        <v>1.9354838709677419E-3</v>
      </c>
      <c r="L350" s="322">
        <f>+fill_data!F394</f>
        <v>0</v>
      </c>
      <c r="M350" s="322">
        <f>+fill_data!D394</f>
        <v>3.7258064516129036E-2</v>
      </c>
      <c r="N350" s="322">
        <f>++fill_data!E394</f>
        <v>4.2299999999999997E-2</v>
      </c>
      <c r="O350" s="322">
        <f>VLOOKUP($A350,[0]!ความต้องการน้ำ,3)/7</f>
        <v>0.49004143789409477</v>
      </c>
      <c r="P350" s="322">
        <f>VLOOKUP($A350,[0]!ฝนใช้การ,3)/7</f>
        <v>0.35928597161290321</v>
      </c>
      <c r="Q350" s="322">
        <f t="shared" si="81"/>
        <v>60</v>
      </c>
      <c r="R350" s="322">
        <f t="shared" si="77"/>
        <v>0.21792577713531927</v>
      </c>
      <c r="S350" s="322">
        <f t="shared" si="74"/>
        <v>0.29941932552241601</v>
      </c>
      <c r="T350" s="322">
        <f t="shared" si="75"/>
        <v>68.708289928509387</v>
      </c>
      <c r="U350" s="354">
        <f t="shared" si="78"/>
        <v>141</v>
      </c>
      <c r="V350" s="354">
        <f t="shared" si="82"/>
        <v>7</v>
      </c>
      <c r="W350" s="348">
        <v>39.964838709677423</v>
      </c>
      <c r="X350" s="346">
        <v>140.7483870967742</v>
      </c>
      <c r="Y350" s="566"/>
    </row>
    <row r="351" spans="1:25" x14ac:dyDescent="0.15">
      <c r="A351" s="201">
        <v>49</v>
      </c>
      <c r="B351" s="260">
        <f t="shared" si="76"/>
        <v>40089</v>
      </c>
      <c r="C351" s="374">
        <f t="shared" si="70"/>
        <v>215.76398631668087</v>
      </c>
      <c r="D351" s="319">
        <f t="shared" si="79"/>
        <v>68.708289928509387</v>
      </c>
      <c r="E351" s="319">
        <f>VLOOKUP(MONTH(B351),[0]!Evap,3)</f>
        <v>3.6774193548387095</v>
      </c>
      <c r="F351" s="322">
        <f t="shared" si="80"/>
        <v>2.8683870967741933</v>
      </c>
      <c r="G351" s="319">
        <f t="shared" si="71"/>
        <v>11.149806777941508</v>
      </c>
      <c r="H351" s="322">
        <f t="shared" si="72"/>
        <v>3.1981961893372865E-2</v>
      </c>
      <c r="I351" s="322">
        <f>+fill_data!B395</f>
        <v>1.110335985720897</v>
      </c>
      <c r="J351" s="322">
        <f t="shared" si="73"/>
        <v>69.786643952336902</v>
      </c>
      <c r="K351" s="322">
        <f>+fill_data!C395</f>
        <v>1.9354838709677419E-3</v>
      </c>
      <c r="L351" s="322">
        <f>+fill_data!F395</f>
        <v>0</v>
      </c>
      <c r="M351" s="322">
        <f>+fill_data!D395</f>
        <v>3.7258064516129036E-2</v>
      </c>
      <c r="N351" s="322">
        <f>++fill_data!E395</f>
        <v>4.2299999999999997E-2</v>
      </c>
      <c r="O351" s="322">
        <f>VLOOKUP($A351,[0]!ความต้องการน้ำ,3)/7</f>
        <v>0.36227229213577872</v>
      </c>
      <c r="P351" s="322">
        <f>VLOOKUP($A351,[0]!ฝนใช้การ,3)/7</f>
        <v>0.28219580387096782</v>
      </c>
      <c r="Q351" s="322">
        <f t="shared" si="81"/>
        <v>60</v>
      </c>
      <c r="R351" s="322">
        <f t="shared" si="77"/>
        <v>0.13346081377468483</v>
      </c>
      <c r="S351" s="322">
        <f t="shared" si="74"/>
        <v>0.2149543621617816</v>
      </c>
      <c r="T351" s="322">
        <f t="shared" si="75"/>
        <v>69.571689590175126</v>
      </c>
      <c r="U351" s="354">
        <f t="shared" si="78"/>
        <v>141</v>
      </c>
      <c r="V351" s="354">
        <f t="shared" si="82"/>
        <v>7</v>
      </c>
      <c r="W351" s="348">
        <v>39.929677419354839</v>
      </c>
      <c r="X351" s="346">
        <v>140.49677419354839</v>
      </c>
      <c r="Y351" s="566"/>
    </row>
    <row r="352" spans="1:25" x14ac:dyDescent="0.15">
      <c r="A352" s="201">
        <f t="shared" si="83"/>
        <v>49</v>
      </c>
      <c r="B352" s="260">
        <f t="shared" si="76"/>
        <v>40090</v>
      </c>
      <c r="C352" s="374">
        <f t="shared" si="70"/>
        <v>215.83976844514896</v>
      </c>
      <c r="D352" s="319">
        <f t="shared" si="79"/>
        <v>69.571689590175126</v>
      </c>
      <c r="E352" s="319">
        <f>VLOOKUP(MONTH(B352),[0]!Evap,3)</f>
        <v>3.6774193548387095</v>
      </c>
      <c r="F352" s="322">
        <f t="shared" si="80"/>
        <v>2.8683870967741933</v>
      </c>
      <c r="G352" s="319">
        <f t="shared" si="71"/>
        <v>11.217075080049415</v>
      </c>
      <c r="H352" s="322">
        <f t="shared" si="72"/>
        <v>3.2174913423161096E-2</v>
      </c>
      <c r="I352" s="322">
        <f>+fill_data!B396</f>
        <v>1.110335985720897</v>
      </c>
      <c r="J352" s="322">
        <f t="shared" si="73"/>
        <v>70.649850662472858</v>
      </c>
      <c r="K352" s="322">
        <f>+fill_data!C396</f>
        <v>1.9354838709677419E-3</v>
      </c>
      <c r="L352" s="322">
        <f>+fill_data!F396</f>
        <v>0</v>
      </c>
      <c r="M352" s="322">
        <f>+fill_data!D396</f>
        <v>3.7258064516129036E-2</v>
      </c>
      <c r="N352" s="322">
        <f>++fill_data!E396</f>
        <v>4.2299999999999997E-2</v>
      </c>
      <c r="O352" s="322">
        <f>VLOOKUP($A352,[0]!ความต้องการน้ำ,3)/7</f>
        <v>0.36227229213577872</v>
      </c>
      <c r="P352" s="322">
        <f>VLOOKUP($A352,[0]!ฝนใช้การ,3)/7</f>
        <v>0.28219580387096782</v>
      </c>
      <c r="Q352" s="322">
        <f t="shared" si="81"/>
        <v>60</v>
      </c>
      <c r="R352" s="322">
        <f t="shared" si="77"/>
        <v>0.13346081377468483</v>
      </c>
      <c r="S352" s="322">
        <f t="shared" si="74"/>
        <v>0.2149543621617816</v>
      </c>
      <c r="T352" s="322">
        <f t="shared" si="75"/>
        <v>70.434896300311081</v>
      </c>
      <c r="U352" s="354">
        <f t="shared" si="78"/>
        <v>141</v>
      </c>
      <c r="V352" s="354">
        <f t="shared" si="82"/>
        <v>7</v>
      </c>
      <c r="W352" s="348">
        <v>39.894516129032262</v>
      </c>
      <c r="X352" s="346">
        <v>140.24516129032259</v>
      </c>
      <c r="Y352" s="566"/>
    </row>
    <row r="353" spans="1:25" x14ac:dyDescent="0.15">
      <c r="A353" s="201">
        <f t="shared" si="83"/>
        <v>49</v>
      </c>
      <c r="B353" s="260">
        <f t="shared" si="76"/>
        <v>40091</v>
      </c>
      <c r="C353" s="374">
        <f t="shared" si="70"/>
        <v>215.91553363791709</v>
      </c>
      <c r="D353" s="319">
        <f t="shared" si="79"/>
        <v>70.434896300311081</v>
      </c>
      <c r="E353" s="319">
        <f>VLOOKUP(MONTH(B353),[0]!Evap,3)</f>
        <v>3.6774193548387095</v>
      </c>
      <c r="F353" s="322">
        <f t="shared" si="80"/>
        <v>2.8683870967741933</v>
      </c>
      <c r="G353" s="319">
        <f t="shared" si="71"/>
        <v>11.284328349117152</v>
      </c>
      <c r="H353" s="322">
        <f t="shared" si="72"/>
        <v>3.2367821832370872E-2</v>
      </c>
      <c r="I353" s="322">
        <f>+fill_data!B397</f>
        <v>1.110335985720897</v>
      </c>
      <c r="J353" s="322">
        <f t="shared" si="73"/>
        <v>71.512864464199609</v>
      </c>
      <c r="K353" s="322">
        <f>+fill_data!C397</f>
        <v>1.9354838709677419E-3</v>
      </c>
      <c r="L353" s="322">
        <f>+fill_data!F397</f>
        <v>0</v>
      </c>
      <c r="M353" s="322">
        <f>+fill_data!D397</f>
        <v>3.7258064516129036E-2</v>
      </c>
      <c r="N353" s="322">
        <f>++fill_data!E397</f>
        <v>4.2299999999999997E-2</v>
      </c>
      <c r="O353" s="322">
        <f>VLOOKUP($A353,[0]!ความต้องการน้ำ,3)/7</f>
        <v>0.36227229213577872</v>
      </c>
      <c r="P353" s="322">
        <f>VLOOKUP($A353,[0]!ฝนใช้การ,3)/7</f>
        <v>0.28219580387096782</v>
      </c>
      <c r="Q353" s="322">
        <f t="shared" si="81"/>
        <v>60</v>
      </c>
      <c r="R353" s="322">
        <f t="shared" si="77"/>
        <v>0.13346081377468483</v>
      </c>
      <c r="S353" s="322">
        <f t="shared" si="74"/>
        <v>0.2149543621617816</v>
      </c>
      <c r="T353" s="322">
        <f t="shared" si="75"/>
        <v>71.297910102037832</v>
      </c>
      <c r="U353" s="354">
        <f t="shared" si="78"/>
        <v>141</v>
      </c>
      <c r="V353" s="354">
        <f t="shared" si="82"/>
        <v>7</v>
      </c>
      <c r="W353" s="348">
        <v>39.859354838709685</v>
      </c>
      <c r="X353" s="346">
        <v>139.99354838709675</v>
      </c>
      <c r="Y353" s="566"/>
    </row>
    <row r="354" spans="1:25" x14ac:dyDescent="0.15">
      <c r="A354" s="201">
        <f t="shared" si="83"/>
        <v>49</v>
      </c>
      <c r="B354" s="260">
        <f t="shared" si="76"/>
        <v>40092</v>
      </c>
      <c r="C354" s="374">
        <f t="shared" si="70"/>
        <v>215.99128189877004</v>
      </c>
      <c r="D354" s="319">
        <f t="shared" si="79"/>
        <v>71.297910102037832</v>
      </c>
      <c r="E354" s="319">
        <f>VLOOKUP(MONTH(B354),[0]!Evap,3)</f>
        <v>3.6774193548387095</v>
      </c>
      <c r="F354" s="322">
        <f t="shared" si="80"/>
        <v>2.8683870967741933</v>
      </c>
      <c r="G354" s="319">
        <f t="shared" si="71"/>
        <v>11.351566588504282</v>
      </c>
      <c r="H354" s="322">
        <f t="shared" si="72"/>
        <v>3.2560687130638734E-2</v>
      </c>
      <c r="I354" s="322">
        <f>+fill_data!B398</f>
        <v>1.110335985720897</v>
      </c>
      <c r="J354" s="322">
        <f t="shared" si="73"/>
        <v>72.375685400628086</v>
      </c>
      <c r="K354" s="322">
        <f>+fill_data!C398</f>
        <v>1.9354838709677419E-3</v>
      </c>
      <c r="L354" s="322">
        <f>+fill_data!F398</f>
        <v>0</v>
      </c>
      <c r="M354" s="322">
        <f>+fill_data!D398</f>
        <v>3.7258064516129036E-2</v>
      </c>
      <c r="N354" s="322">
        <f>++fill_data!E398</f>
        <v>4.2299999999999997E-2</v>
      </c>
      <c r="O354" s="322">
        <f>VLOOKUP($A354,[0]!ความต้องการน้ำ,3)/7</f>
        <v>0.36227229213577872</v>
      </c>
      <c r="P354" s="322">
        <f>VLOOKUP($A354,[0]!ฝนใช้การ,3)/7</f>
        <v>0.28219580387096782</v>
      </c>
      <c r="Q354" s="322">
        <f t="shared" si="81"/>
        <v>60</v>
      </c>
      <c r="R354" s="322">
        <f t="shared" si="77"/>
        <v>0.13346081377468483</v>
      </c>
      <c r="S354" s="322">
        <f t="shared" si="74"/>
        <v>0.2149543621617816</v>
      </c>
      <c r="T354" s="322">
        <f t="shared" si="75"/>
        <v>72.160731038466309</v>
      </c>
      <c r="U354" s="354">
        <f t="shared" si="78"/>
        <v>141</v>
      </c>
      <c r="V354" s="354">
        <f t="shared" si="82"/>
        <v>7</v>
      </c>
      <c r="W354" s="348">
        <v>39.8241935483871</v>
      </c>
      <c r="X354" s="346">
        <v>139.74193548387095</v>
      </c>
      <c r="Y354" s="566"/>
    </row>
    <row r="355" spans="1:25" x14ac:dyDescent="0.15">
      <c r="A355" s="201">
        <f t="shared" si="83"/>
        <v>49</v>
      </c>
      <c r="B355" s="260">
        <f t="shared" si="76"/>
        <v>40093</v>
      </c>
      <c r="C355" s="374">
        <f t="shared" si="70"/>
        <v>216.06440201369375</v>
      </c>
      <c r="D355" s="319">
        <f t="shared" si="79"/>
        <v>72.160731038466309</v>
      </c>
      <c r="E355" s="319">
        <f>VLOOKUP(MONTH(B355),[0]!Evap,3)</f>
        <v>3.6774193548387095</v>
      </c>
      <c r="F355" s="322">
        <f t="shared" si="80"/>
        <v>2.8683870967741933</v>
      </c>
      <c r="G355" s="319">
        <f t="shared" si="71"/>
        <v>11.416318296674433</v>
      </c>
      <c r="H355" s="322">
        <f t="shared" si="72"/>
        <v>3.2746420094848079E-2</v>
      </c>
      <c r="I355" s="322">
        <f>+fill_data!B399</f>
        <v>1.110335985720897</v>
      </c>
      <c r="J355" s="322">
        <f t="shared" si="73"/>
        <v>73.238320604092351</v>
      </c>
      <c r="K355" s="322">
        <f>+fill_data!C399</f>
        <v>1.9354838709677419E-3</v>
      </c>
      <c r="L355" s="322">
        <f>+fill_data!F399</f>
        <v>0</v>
      </c>
      <c r="M355" s="322">
        <f>+fill_data!D399</f>
        <v>3.7258064516129036E-2</v>
      </c>
      <c r="N355" s="322">
        <f>++fill_data!E399</f>
        <v>4.2299999999999997E-2</v>
      </c>
      <c r="O355" s="322">
        <f>VLOOKUP($A355,[0]!ความต้องการน้ำ,3)/7</f>
        <v>0.36227229213577872</v>
      </c>
      <c r="P355" s="322">
        <f>VLOOKUP($A355,[0]!ฝนใช้การ,3)/7</f>
        <v>0.28219580387096782</v>
      </c>
      <c r="Q355" s="322">
        <f t="shared" si="81"/>
        <v>60</v>
      </c>
      <c r="R355" s="322">
        <f t="shared" si="77"/>
        <v>0.13346081377468483</v>
      </c>
      <c r="S355" s="322">
        <f t="shared" si="74"/>
        <v>0.2149543621617816</v>
      </c>
      <c r="T355" s="322">
        <f t="shared" si="75"/>
        <v>73.023366241930574</v>
      </c>
      <c r="U355" s="354">
        <f t="shared" si="78"/>
        <v>141</v>
      </c>
      <c r="V355" s="354">
        <f t="shared" si="82"/>
        <v>7</v>
      </c>
      <c r="W355" s="348">
        <v>39.789032258064523</v>
      </c>
      <c r="X355" s="346">
        <v>139.49032258064514</v>
      </c>
      <c r="Y355" s="566"/>
    </row>
    <row r="356" spans="1:25" x14ac:dyDescent="0.15">
      <c r="A356" s="201">
        <f t="shared" si="83"/>
        <v>49</v>
      </c>
      <c r="B356" s="260">
        <f t="shared" si="76"/>
        <v>40094</v>
      </c>
      <c r="C356" s="374">
        <f t="shared" si="70"/>
        <v>216.137166754768</v>
      </c>
      <c r="D356" s="319">
        <f t="shared" si="79"/>
        <v>73.023366241930574</v>
      </c>
      <c r="E356" s="319">
        <f>VLOOKUP(MONTH(B356),[0]!Evap,3)</f>
        <v>3.6774193548387095</v>
      </c>
      <c r="F356" s="322">
        <f t="shared" si="80"/>
        <v>2.8683870967741933</v>
      </c>
      <c r="G356" s="319">
        <f t="shared" si="71"/>
        <v>11.480734604467536</v>
      </c>
      <c r="H356" s="322">
        <f t="shared" si="72"/>
        <v>3.2931191000943653E-2</v>
      </c>
      <c r="I356" s="322">
        <f>+fill_data!B400</f>
        <v>1.110335985720897</v>
      </c>
      <c r="J356" s="322">
        <f t="shared" si="73"/>
        <v>74.100771036650528</v>
      </c>
      <c r="K356" s="322">
        <f>+fill_data!C400</f>
        <v>1.9354838709677419E-3</v>
      </c>
      <c r="L356" s="322">
        <f>+fill_data!F400</f>
        <v>0</v>
      </c>
      <c r="M356" s="322">
        <f>+fill_data!D400</f>
        <v>3.7258064516129036E-2</v>
      </c>
      <c r="N356" s="322">
        <f>++fill_data!E400</f>
        <v>4.2299999999999997E-2</v>
      </c>
      <c r="O356" s="322">
        <f>VLOOKUP($A356,[0]!ความต้องการน้ำ,3)/7</f>
        <v>0.36227229213577872</v>
      </c>
      <c r="P356" s="322">
        <f>VLOOKUP($A356,[0]!ฝนใช้การ,3)/7</f>
        <v>0.28219580387096782</v>
      </c>
      <c r="Q356" s="322">
        <f t="shared" si="81"/>
        <v>60</v>
      </c>
      <c r="R356" s="322">
        <f t="shared" si="77"/>
        <v>0.13346081377468483</v>
      </c>
      <c r="S356" s="322">
        <f t="shared" si="74"/>
        <v>0.2149543621617816</v>
      </c>
      <c r="T356" s="322">
        <f t="shared" si="75"/>
        <v>73.885816674488751</v>
      </c>
      <c r="U356" s="354">
        <f t="shared" si="78"/>
        <v>141</v>
      </c>
      <c r="V356" s="354">
        <f t="shared" si="82"/>
        <v>7</v>
      </c>
      <c r="W356" s="348">
        <v>39.753870967741946</v>
      </c>
      <c r="X356" s="346">
        <v>139.23870967741934</v>
      </c>
      <c r="Y356" s="566"/>
    </row>
    <row r="357" spans="1:25" x14ac:dyDescent="0.15">
      <c r="A357" s="201">
        <f t="shared" si="83"/>
        <v>49</v>
      </c>
      <c r="B357" s="260">
        <f t="shared" si="76"/>
        <v>40095</v>
      </c>
      <c r="C357" s="374">
        <f t="shared" si="70"/>
        <v>216.20991591010326</v>
      </c>
      <c r="D357" s="319">
        <f t="shared" si="79"/>
        <v>73.885816674488751</v>
      </c>
      <c r="E357" s="319">
        <f>VLOOKUP(MONTH(B357),[0]!Evap,3)</f>
        <v>3.6774193548387095</v>
      </c>
      <c r="F357" s="322">
        <f t="shared" si="80"/>
        <v>2.8683870967741933</v>
      </c>
      <c r="G357" s="319">
        <f t="shared" si="71"/>
        <v>11.545137114702284</v>
      </c>
      <c r="H357" s="322">
        <f t="shared" si="72"/>
        <v>3.3115922330300869E-2</v>
      </c>
      <c r="I357" s="322">
        <f>+fill_data!B401</f>
        <v>1.110335985720897</v>
      </c>
      <c r="J357" s="322">
        <f t="shared" si="73"/>
        <v>74.963036737879349</v>
      </c>
      <c r="K357" s="322">
        <f>+fill_data!C401</f>
        <v>1.9354838709677419E-3</v>
      </c>
      <c r="L357" s="322">
        <f>+fill_data!F401</f>
        <v>0</v>
      </c>
      <c r="M357" s="322">
        <f>+fill_data!D401</f>
        <v>3.7258064516129036E-2</v>
      </c>
      <c r="N357" s="322">
        <f>++fill_data!E401</f>
        <v>4.2299999999999997E-2</v>
      </c>
      <c r="O357" s="322">
        <f>VLOOKUP($A357,[0]!ความต้องการน้ำ,3)/7</f>
        <v>0.36227229213577872</v>
      </c>
      <c r="P357" s="322">
        <f>VLOOKUP($A357,[0]!ฝนใช้การ,3)/7</f>
        <v>0.28219580387096782</v>
      </c>
      <c r="Q357" s="322">
        <f t="shared" si="81"/>
        <v>60</v>
      </c>
      <c r="R357" s="322">
        <f t="shared" si="77"/>
        <v>0.13346081377468483</v>
      </c>
      <c r="S357" s="322">
        <f t="shared" si="74"/>
        <v>0.2149543621617816</v>
      </c>
      <c r="T357" s="322">
        <f t="shared" si="75"/>
        <v>74.748082375717573</v>
      </c>
      <c r="U357" s="354">
        <f t="shared" si="78"/>
        <v>141</v>
      </c>
      <c r="V357" s="354">
        <f t="shared" si="82"/>
        <v>7</v>
      </c>
      <c r="W357" s="348">
        <v>39.718709677419362</v>
      </c>
      <c r="X357" s="346">
        <v>138.98709677419353</v>
      </c>
      <c r="Y357" s="566"/>
    </row>
    <row r="358" spans="1:25" x14ac:dyDescent="0.15">
      <c r="A358" s="201">
        <v>50</v>
      </c>
      <c r="B358" s="260">
        <f t="shared" si="76"/>
        <v>40096</v>
      </c>
      <c r="C358" s="374">
        <f t="shared" si="70"/>
        <v>216.28264948303789</v>
      </c>
      <c r="D358" s="319">
        <f t="shared" si="79"/>
        <v>74.748082375717573</v>
      </c>
      <c r="E358" s="319">
        <f>VLOOKUP(MONTH(B358),[0]!Evap,3)</f>
        <v>3.6774193548387095</v>
      </c>
      <c r="F358" s="322">
        <f t="shared" si="80"/>
        <v>2.8683870967741933</v>
      </c>
      <c r="G358" s="319">
        <f t="shared" si="71"/>
        <v>11.609525830334027</v>
      </c>
      <c r="H358" s="322">
        <f t="shared" si="72"/>
        <v>3.3300614091396827E-2</v>
      </c>
      <c r="I358" s="322">
        <f>+fill_data!B402</f>
        <v>1.110335985720897</v>
      </c>
      <c r="J358" s="322">
        <f t="shared" si="73"/>
        <v>75.825117747347065</v>
      </c>
      <c r="K358" s="322">
        <f>+fill_data!C402</f>
        <v>1.9354838709677419E-3</v>
      </c>
      <c r="L358" s="322">
        <f>+fill_data!F402</f>
        <v>0</v>
      </c>
      <c r="M358" s="322">
        <f>+fill_data!D402</f>
        <v>3.7258064516129036E-2</v>
      </c>
      <c r="N358" s="322">
        <f>++fill_data!E402</f>
        <v>4.2299999999999997E-2</v>
      </c>
      <c r="O358" s="322">
        <f>VLOOKUP($A358,[0]!ความต้องการน้ำ,3)/7</f>
        <v>0.23664262599441704</v>
      </c>
      <c r="P358" s="322">
        <f>VLOOKUP($A358,[0]!ฝนใช้การ,3)/7</f>
        <v>0.20030123870967739</v>
      </c>
      <c r="Q358" s="322">
        <f t="shared" si="81"/>
        <v>60</v>
      </c>
      <c r="R358" s="322">
        <f t="shared" si="77"/>
        <v>6.0568978807899423E-2</v>
      </c>
      <c r="S358" s="322">
        <f t="shared" si="74"/>
        <v>0.14206252719499618</v>
      </c>
      <c r="T358" s="322">
        <f t="shared" si="75"/>
        <v>75.68305522015207</v>
      </c>
      <c r="U358" s="354">
        <f t="shared" si="78"/>
        <v>141</v>
      </c>
      <c r="V358" s="354">
        <f t="shared" si="82"/>
        <v>7</v>
      </c>
      <c r="W358" s="348">
        <v>39.683548387096785</v>
      </c>
      <c r="X358" s="346">
        <v>138.73548387096773</v>
      </c>
      <c r="Y358" s="566"/>
    </row>
    <row r="359" spans="1:25" x14ac:dyDescent="0.15">
      <c r="A359" s="201">
        <f t="shared" si="83"/>
        <v>50</v>
      </c>
      <c r="B359" s="260">
        <f t="shared" si="76"/>
        <v>40097</v>
      </c>
      <c r="C359" s="374">
        <f t="shared" si="70"/>
        <v>216.36151602669798</v>
      </c>
      <c r="D359" s="319">
        <f t="shared" si="79"/>
        <v>75.68305522015207</v>
      </c>
      <c r="E359" s="319">
        <f>VLOOKUP(MONTH(B359),[0]!Evap,3)</f>
        <v>3.6774193548387095</v>
      </c>
      <c r="F359" s="322">
        <f t="shared" si="80"/>
        <v>2.8683870967741933</v>
      </c>
      <c r="G359" s="319">
        <f t="shared" si="71"/>
        <v>11.679343869620409</v>
      </c>
      <c r="H359" s="322">
        <f t="shared" si="72"/>
        <v>3.3500879254407957E-2</v>
      </c>
      <c r="I359" s="322">
        <f>+fill_data!B403</f>
        <v>1.110335985720897</v>
      </c>
      <c r="J359" s="322">
        <f t="shared" si="73"/>
        <v>76.75989032661856</v>
      </c>
      <c r="K359" s="322">
        <f>+fill_data!C403</f>
        <v>1.9354838709677419E-3</v>
      </c>
      <c r="L359" s="322">
        <f>+fill_data!F403</f>
        <v>0</v>
      </c>
      <c r="M359" s="322">
        <f>+fill_data!D403</f>
        <v>3.7258064516129036E-2</v>
      </c>
      <c r="N359" s="322">
        <f>++fill_data!E403</f>
        <v>4.2299999999999997E-2</v>
      </c>
      <c r="O359" s="322">
        <f>VLOOKUP($A359,[0]!ความต้องการน้ำ,3)/7</f>
        <v>0.23664262599441704</v>
      </c>
      <c r="P359" s="322">
        <f>VLOOKUP($A359,[0]!ฝนใช้การ,3)/7</f>
        <v>0.20030123870967739</v>
      </c>
      <c r="Q359" s="322">
        <f t="shared" si="81"/>
        <v>60</v>
      </c>
      <c r="R359" s="322">
        <f t="shared" si="77"/>
        <v>6.0568978807899423E-2</v>
      </c>
      <c r="S359" s="322">
        <f t="shared" si="74"/>
        <v>0.14206252719499618</v>
      </c>
      <c r="T359" s="322">
        <f t="shared" si="75"/>
        <v>76.617827799423566</v>
      </c>
      <c r="U359" s="354">
        <f t="shared" si="78"/>
        <v>141</v>
      </c>
      <c r="V359" s="354">
        <f t="shared" si="82"/>
        <v>7</v>
      </c>
      <c r="W359" s="348">
        <v>39.648387096774208</v>
      </c>
      <c r="X359" s="346">
        <v>138.48387096774189</v>
      </c>
      <c r="Y359" s="566"/>
    </row>
    <row r="360" spans="1:25" x14ac:dyDescent="0.15">
      <c r="A360" s="201">
        <f t="shared" si="83"/>
        <v>50</v>
      </c>
      <c r="B360" s="260">
        <f t="shared" si="76"/>
        <v>40098</v>
      </c>
      <c r="C360" s="374">
        <f t="shared" si="70"/>
        <v>216.44036567765224</v>
      </c>
      <c r="D360" s="319">
        <f t="shared" si="79"/>
        <v>76.617827799423566</v>
      </c>
      <c r="E360" s="319">
        <f>VLOOKUP(MONTH(B360),[0]!Evap,3)</f>
        <v>3.6774193548387095</v>
      </c>
      <c r="F360" s="322">
        <f t="shared" si="80"/>
        <v>2.8683870967741933</v>
      </c>
      <c r="G360" s="319">
        <f t="shared" si="71"/>
        <v>11.749146954332335</v>
      </c>
      <c r="H360" s="322">
        <f t="shared" si="72"/>
        <v>3.3701101521910685E-2</v>
      </c>
      <c r="I360" s="322">
        <f>+fill_data!B404</f>
        <v>1.110335985720897</v>
      </c>
      <c r="J360" s="322">
        <f t="shared" si="73"/>
        <v>77.694462683622547</v>
      </c>
      <c r="K360" s="322">
        <f>+fill_data!C404</f>
        <v>1.9354838709677419E-3</v>
      </c>
      <c r="L360" s="322">
        <f>+fill_data!F404</f>
        <v>0</v>
      </c>
      <c r="M360" s="322">
        <f>+fill_data!D404</f>
        <v>3.7258064516129036E-2</v>
      </c>
      <c r="N360" s="322">
        <f>++fill_data!E404</f>
        <v>4.2299999999999997E-2</v>
      </c>
      <c r="O360" s="322">
        <f>VLOOKUP($A360,[0]!ความต้องการน้ำ,3)/7</f>
        <v>0.23664262599441704</v>
      </c>
      <c r="P360" s="322">
        <f>VLOOKUP($A360,[0]!ฝนใช้การ,3)/7</f>
        <v>0.20030123870967739</v>
      </c>
      <c r="Q360" s="322">
        <f t="shared" si="81"/>
        <v>60</v>
      </c>
      <c r="R360" s="322">
        <f t="shared" si="77"/>
        <v>6.0568978807899423E-2</v>
      </c>
      <c r="S360" s="322">
        <f t="shared" si="74"/>
        <v>0.14206252719499618</v>
      </c>
      <c r="T360" s="322">
        <f t="shared" si="75"/>
        <v>77.552400156427552</v>
      </c>
      <c r="U360" s="354">
        <f t="shared" si="78"/>
        <v>141</v>
      </c>
      <c r="V360" s="354">
        <f t="shared" si="82"/>
        <v>7</v>
      </c>
      <c r="W360" s="348">
        <v>39.613225806451624</v>
      </c>
      <c r="X360" s="346">
        <v>138.23225806451609</v>
      </c>
      <c r="Y360" s="566"/>
    </row>
    <row r="361" spans="1:25" x14ac:dyDescent="0.15">
      <c r="A361" s="201">
        <f t="shared" si="83"/>
        <v>50</v>
      </c>
      <c r="B361" s="260">
        <f t="shared" si="76"/>
        <v>40099</v>
      </c>
      <c r="C361" s="374">
        <f t="shared" si="70"/>
        <v>216.51847972300749</v>
      </c>
      <c r="D361" s="319">
        <f t="shared" si="79"/>
        <v>77.552400156427552</v>
      </c>
      <c r="E361" s="319">
        <f>VLOOKUP(MONTH(B361),[0]!Evap,3)</f>
        <v>3.6774193548387095</v>
      </c>
      <c r="F361" s="322">
        <f t="shared" si="80"/>
        <v>2.8683870967741933</v>
      </c>
      <c r="G361" s="319">
        <f t="shared" si="71"/>
        <v>11.81825726806991</v>
      </c>
      <c r="H361" s="322">
        <f t="shared" si="72"/>
        <v>3.3899336654089555E-2</v>
      </c>
      <c r="I361" s="322">
        <f>+fill_data!B405</f>
        <v>1.110335985720897</v>
      </c>
      <c r="J361" s="322">
        <f t="shared" si="73"/>
        <v>78.628836805494359</v>
      </c>
      <c r="K361" s="322">
        <f>+fill_data!C405</f>
        <v>1.9354838709677419E-3</v>
      </c>
      <c r="L361" s="322">
        <f>+fill_data!F405</f>
        <v>0</v>
      </c>
      <c r="M361" s="322">
        <f>+fill_data!D405</f>
        <v>3.7258064516129036E-2</v>
      </c>
      <c r="N361" s="322">
        <f>++fill_data!E405</f>
        <v>4.2299999999999997E-2</v>
      </c>
      <c r="O361" s="322">
        <f>VLOOKUP($A361,[0]!ความต้องการน้ำ,3)/7</f>
        <v>0.23664262599441704</v>
      </c>
      <c r="P361" s="322">
        <f>VLOOKUP($A361,[0]!ฝนใช้การ,3)/7</f>
        <v>0.20030123870967739</v>
      </c>
      <c r="Q361" s="322">
        <f t="shared" si="81"/>
        <v>60</v>
      </c>
      <c r="R361" s="322">
        <f t="shared" si="77"/>
        <v>6.0568978807899423E-2</v>
      </c>
      <c r="S361" s="322">
        <f t="shared" si="74"/>
        <v>0.14206252719499618</v>
      </c>
      <c r="T361" s="322">
        <f t="shared" si="75"/>
        <v>78.486774278299364</v>
      </c>
      <c r="U361" s="354">
        <f t="shared" si="78"/>
        <v>141</v>
      </c>
      <c r="V361" s="354">
        <f t="shared" si="82"/>
        <v>7</v>
      </c>
      <c r="W361" s="348">
        <v>39.578064516129047</v>
      </c>
      <c r="X361" s="346">
        <v>137.98064516129028</v>
      </c>
      <c r="Y361" s="566"/>
    </row>
    <row r="362" spans="1:25" x14ac:dyDescent="0.15">
      <c r="A362" s="201">
        <f t="shared" si="83"/>
        <v>50</v>
      </c>
      <c r="B362" s="260">
        <f t="shared" si="76"/>
        <v>40100</v>
      </c>
      <c r="C362" s="374">
        <f t="shared" si="70"/>
        <v>216.59434519080514</v>
      </c>
      <c r="D362" s="319">
        <f t="shared" si="79"/>
        <v>78.486774278299364</v>
      </c>
      <c r="E362" s="319">
        <f>VLOOKUP(MONTH(B362),[0]!Evap,3)</f>
        <v>3.6774193548387095</v>
      </c>
      <c r="F362" s="322">
        <f t="shared" si="80"/>
        <v>2.8683870967741933</v>
      </c>
      <c r="G362" s="319">
        <f t="shared" si="71"/>
        <v>11.885247921367389</v>
      </c>
      <c r="H362" s="322">
        <f t="shared" si="72"/>
        <v>3.4091491779612522E-2</v>
      </c>
      <c r="I362" s="322">
        <f>+fill_data!B406</f>
        <v>1.110335985720897</v>
      </c>
      <c r="J362" s="322">
        <f t="shared" si="73"/>
        <v>79.563018772240653</v>
      </c>
      <c r="K362" s="322">
        <f>+fill_data!C406</f>
        <v>1.9354838709677419E-3</v>
      </c>
      <c r="L362" s="322">
        <f>+fill_data!F406</f>
        <v>0</v>
      </c>
      <c r="M362" s="322">
        <f>+fill_data!D406</f>
        <v>3.7258064516129036E-2</v>
      </c>
      <c r="N362" s="322">
        <f>++fill_data!E406</f>
        <v>4.2299999999999997E-2</v>
      </c>
      <c r="O362" s="322">
        <f>VLOOKUP($A362,[0]!ความต้องการน้ำ,3)/7</f>
        <v>0.23664262599441704</v>
      </c>
      <c r="P362" s="322">
        <f>VLOOKUP($A362,[0]!ฝนใช้การ,3)/7</f>
        <v>0.20030123870967739</v>
      </c>
      <c r="Q362" s="322">
        <f t="shared" si="81"/>
        <v>60</v>
      </c>
      <c r="R362" s="322">
        <f t="shared" si="77"/>
        <v>6.0568978807899423E-2</v>
      </c>
      <c r="S362" s="322">
        <f t="shared" si="74"/>
        <v>0.14206252719499618</v>
      </c>
      <c r="T362" s="322">
        <f t="shared" si="75"/>
        <v>79.420956245045659</v>
      </c>
      <c r="U362" s="354">
        <f t="shared" si="78"/>
        <v>141</v>
      </c>
      <c r="V362" s="354">
        <f t="shared" si="82"/>
        <v>7</v>
      </c>
      <c r="W362" s="348">
        <v>39.542903225806469</v>
      </c>
      <c r="X362" s="346">
        <v>137.72903225806448</v>
      </c>
      <c r="Y362" s="566"/>
    </row>
    <row r="363" spans="1:25" x14ac:dyDescent="0.15">
      <c r="A363" s="201">
        <f t="shared" si="83"/>
        <v>50</v>
      </c>
      <c r="B363" s="260">
        <f t="shared" si="76"/>
        <v>40101</v>
      </c>
      <c r="C363" s="374">
        <f t="shared" si="70"/>
        <v>216.67019505678104</v>
      </c>
      <c r="D363" s="319">
        <f t="shared" si="79"/>
        <v>79.420956245045659</v>
      </c>
      <c r="E363" s="319">
        <f>VLOOKUP(MONTH(B363),[0]!Evap,3)</f>
        <v>3.6774193548387095</v>
      </c>
      <c r="F363" s="322">
        <f t="shared" si="80"/>
        <v>2.8683870967741933</v>
      </c>
      <c r="G363" s="319">
        <f t="shared" si="71"/>
        <v>11.95222479795906</v>
      </c>
      <c r="H363" s="322">
        <f t="shared" si="72"/>
        <v>3.4283607388210305E-2</v>
      </c>
      <c r="I363" s="322">
        <f>+fill_data!B407</f>
        <v>1.110335985720897</v>
      </c>
      <c r="J363" s="322">
        <f t="shared" si="73"/>
        <v>80.497008623378349</v>
      </c>
      <c r="K363" s="322">
        <f>+fill_data!C407</f>
        <v>1.9354838709677419E-3</v>
      </c>
      <c r="L363" s="322">
        <f>+fill_data!F407</f>
        <v>0</v>
      </c>
      <c r="M363" s="322">
        <f>+fill_data!D407</f>
        <v>3.7258064516129036E-2</v>
      </c>
      <c r="N363" s="322">
        <f>++fill_data!E407</f>
        <v>4.2299999999999997E-2</v>
      </c>
      <c r="O363" s="322">
        <f>VLOOKUP($A363,[0]!ความต้องการน้ำ,3)/7</f>
        <v>0.23664262599441704</v>
      </c>
      <c r="P363" s="322">
        <f>VLOOKUP($A363,[0]!ฝนใช้การ,3)/7</f>
        <v>0.20030123870967739</v>
      </c>
      <c r="Q363" s="322">
        <f t="shared" si="81"/>
        <v>60</v>
      </c>
      <c r="R363" s="322">
        <f t="shared" si="77"/>
        <v>6.0568978807899423E-2</v>
      </c>
      <c r="S363" s="322">
        <f t="shared" si="74"/>
        <v>0.14206252719499618</v>
      </c>
      <c r="T363" s="322">
        <f t="shared" si="75"/>
        <v>80.354946096183355</v>
      </c>
      <c r="U363" s="354">
        <f t="shared" si="78"/>
        <v>141</v>
      </c>
      <c r="V363" s="354">
        <f t="shared" si="82"/>
        <v>7</v>
      </c>
      <c r="W363" s="348">
        <v>39.507741935483885</v>
      </c>
      <c r="X363" s="346">
        <v>137.47741935483867</v>
      </c>
      <c r="Y363" s="566"/>
    </row>
    <row r="364" spans="1:25" x14ac:dyDescent="0.15">
      <c r="A364" s="201">
        <f t="shared" si="83"/>
        <v>50</v>
      </c>
      <c r="B364" s="260">
        <f t="shared" si="76"/>
        <v>40102</v>
      </c>
      <c r="C364" s="374">
        <f t="shared" si="70"/>
        <v>216.74602932414373</v>
      </c>
      <c r="D364" s="319">
        <f t="shared" si="79"/>
        <v>80.354946096183355</v>
      </c>
      <c r="E364" s="319">
        <f>VLOOKUP(MONTH(B364),[0]!Evap,3)</f>
        <v>3.6774193548387095</v>
      </c>
      <c r="F364" s="322">
        <f t="shared" si="80"/>
        <v>2.8683870967741933</v>
      </c>
      <c r="G364" s="319">
        <f t="shared" si="71"/>
        <v>12.019187900678116</v>
      </c>
      <c r="H364" s="322">
        <f t="shared" si="72"/>
        <v>3.4475683488009612E-2</v>
      </c>
      <c r="I364" s="322">
        <f>+fill_data!B408</f>
        <v>1.110335985720897</v>
      </c>
      <c r="J364" s="322">
        <f t="shared" si="73"/>
        <v>81.430806398416237</v>
      </c>
      <c r="K364" s="322">
        <f>+fill_data!C408</f>
        <v>1.9354838709677419E-3</v>
      </c>
      <c r="L364" s="322">
        <f>+fill_data!F408</f>
        <v>0</v>
      </c>
      <c r="M364" s="322">
        <f>+fill_data!D408</f>
        <v>3.7258064516129036E-2</v>
      </c>
      <c r="N364" s="322">
        <f>++fill_data!E408</f>
        <v>4.2299999999999997E-2</v>
      </c>
      <c r="O364" s="322">
        <f>VLOOKUP($A364,[0]!ความต้องการน้ำ,3)/7</f>
        <v>0.23664262599441704</v>
      </c>
      <c r="P364" s="322">
        <f>VLOOKUP($A364,[0]!ฝนใช้การ,3)/7</f>
        <v>0.20030123870967739</v>
      </c>
      <c r="Q364" s="322">
        <f t="shared" si="81"/>
        <v>60</v>
      </c>
      <c r="R364" s="322">
        <f t="shared" si="77"/>
        <v>6.0568978807899423E-2</v>
      </c>
      <c r="S364" s="322">
        <f t="shared" si="74"/>
        <v>0.14206252719499618</v>
      </c>
      <c r="T364" s="322">
        <f t="shared" si="75"/>
        <v>81.288743871221243</v>
      </c>
      <c r="U364" s="354">
        <f t="shared" si="78"/>
        <v>141</v>
      </c>
      <c r="V364" s="354">
        <f t="shared" si="82"/>
        <v>7</v>
      </c>
      <c r="W364" s="348">
        <v>39.472580645161308</v>
      </c>
      <c r="X364" s="346">
        <v>137.22580645161287</v>
      </c>
      <c r="Y364" s="566"/>
    </row>
    <row r="365" spans="1:25" x14ac:dyDescent="0.15">
      <c r="A365" s="201">
        <v>51</v>
      </c>
      <c r="B365" s="260">
        <f t="shared" si="76"/>
        <v>40103</v>
      </c>
      <c r="C365" s="374">
        <f t="shared" si="70"/>
        <v>216.8218479961011</v>
      </c>
      <c r="D365" s="319">
        <f t="shared" si="79"/>
        <v>81.288743871221243</v>
      </c>
      <c r="E365" s="319">
        <f>VLOOKUP(MONTH(B365),[0]!Evap,3)</f>
        <v>3.6774193548387095</v>
      </c>
      <c r="F365" s="322">
        <f t="shared" si="80"/>
        <v>2.8683870967741933</v>
      </c>
      <c r="G365" s="319">
        <f t="shared" si="71"/>
        <v>12.086137232357169</v>
      </c>
      <c r="H365" s="322">
        <f t="shared" si="72"/>
        <v>3.4667720087135465E-2</v>
      </c>
      <c r="I365" s="322">
        <f>+fill_data!B409</f>
        <v>1.110335985720897</v>
      </c>
      <c r="J365" s="322">
        <f t="shared" si="73"/>
        <v>82.364412136855009</v>
      </c>
      <c r="K365" s="322">
        <f>+fill_data!C409</f>
        <v>1.9354838709677419E-3</v>
      </c>
      <c r="L365" s="322">
        <f>+fill_data!F409</f>
        <v>0</v>
      </c>
      <c r="M365" s="322">
        <f>+fill_data!D409</f>
        <v>3.7258064516129036E-2</v>
      </c>
      <c r="N365" s="322">
        <f>++fill_data!E409</f>
        <v>4.2299999999999997E-2</v>
      </c>
      <c r="O365" s="322">
        <f>VLOOKUP($A365,[0]!ความต้องการน้ำ,3)/7</f>
        <v>0.11739346882180797</v>
      </c>
      <c r="P365" s="322">
        <f>VLOOKUP($A365,[0]!ฝนใช้การ,3)/7</f>
        <v>0.10217220645161289</v>
      </c>
      <c r="Q365" s="322">
        <f t="shared" si="81"/>
        <v>60</v>
      </c>
      <c r="R365" s="322">
        <f t="shared" si="77"/>
        <v>2.5368770616991804E-2</v>
      </c>
      <c r="S365" s="322">
        <f t="shared" si="74"/>
        <v>0.10686231900408857</v>
      </c>
      <c r="T365" s="322">
        <f t="shared" si="75"/>
        <v>82.257549817850915</v>
      </c>
      <c r="U365" s="354">
        <f t="shared" si="78"/>
        <v>141</v>
      </c>
      <c r="V365" s="354">
        <f t="shared" si="82"/>
        <v>7</v>
      </c>
      <c r="W365" s="348">
        <v>39.437419354838731</v>
      </c>
      <c r="X365" s="346">
        <v>136.97419354838706</v>
      </c>
      <c r="Y365" s="566"/>
    </row>
    <row r="366" spans="1:25" x14ac:dyDescent="0.15">
      <c r="A366" s="201">
        <f t="shared" si="83"/>
        <v>51</v>
      </c>
      <c r="B366" s="260">
        <f t="shared" si="76"/>
        <v>40104</v>
      </c>
      <c r="C366" s="374">
        <f t="shared" si="70"/>
        <v>216.90050911762162</v>
      </c>
      <c r="D366" s="319">
        <f t="shared" si="79"/>
        <v>82.257549817850915</v>
      </c>
      <c r="E366" s="319">
        <f>VLOOKUP(MONTH(B366),[0]!Evap,3)</f>
        <v>3.6774193548387095</v>
      </c>
      <c r="F366" s="322">
        <f t="shared" si="80"/>
        <v>2.8683870967741933</v>
      </c>
      <c r="G366" s="319">
        <f t="shared" si="71"/>
        <v>12.155596501148977</v>
      </c>
      <c r="H366" s="322">
        <f t="shared" si="72"/>
        <v>3.4866956157489255E-2</v>
      </c>
      <c r="I366" s="322">
        <f>+fill_data!B410</f>
        <v>1.110335985720897</v>
      </c>
      <c r="J366" s="322">
        <f t="shared" si="73"/>
        <v>83.333018847414323</v>
      </c>
      <c r="K366" s="322">
        <f>+fill_data!C410</f>
        <v>1.9354838709677419E-3</v>
      </c>
      <c r="L366" s="322">
        <f>+fill_data!F410</f>
        <v>0</v>
      </c>
      <c r="M366" s="322">
        <f>+fill_data!D410</f>
        <v>3.7258064516129036E-2</v>
      </c>
      <c r="N366" s="322">
        <f>++fill_data!E410</f>
        <v>4.2299999999999997E-2</v>
      </c>
      <c r="O366" s="322">
        <f>VLOOKUP($A366,[0]!ความต้องการน้ำ,3)/7</f>
        <v>0.11739346882180797</v>
      </c>
      <c r="P366" s="322">
        <f>VLOOKUP($A366,[0]!ฝนใช้การ,3)/7</f>
        <v>0.10217220645161289</v>
      </c>
      <c r="Q366" s="322">
        <f t="shared" si="81"/>
        <v>60</v>
      </c>
      <c r="R366" s="322">
        <f t="shared" si="77"/>
        <v>2.5368770616991804E-2</v>
      </c>
      <c r="S366" s="322">
        <f t="shared" si="74"/>
        <v>0.10686231900408857</v>
      </c>
      <c r="T366" s="322">
        <f t="shared" si="75"/>
        <v>83.226156528410229</v>
      </c>
      <c r="U366" s="354">
        <f t="shared" si="78"/>
        <v>141</v>
      </c>
      <c r="V366" s="354">
        <f t="shared" si="82"/>
        <v>7</v>
      </c>
      <c r="W366" s="348">
        <v>39.402258064516147</v>
      </c>
      <c r="X366" s="346">
        <v>136.72258064516123</v>
      </c>
      <c r="Y366" s="566"/>
    </row>
    <row r="367" spans="1:25" x14ac:dyDescent="0.15">
      <c r="A367" s="201">
        <f t="shared" si="83"/>
        <v>51</v>
      </c>
      <c r="B367" s="260">
        <f t="shared" si="76"/>
        <v>40105</v>
      </c>
      <c r="C367" s="374">
        <f t="shared" si="70"/>
        <v>216.97915406239099</v>
      </c>
      <c r="D367" s="319">
        <f t="shared" si="79"/>
        <v>83.226156528410229</v>
      </c>
      <c r="E367" s="319">
        <f>VLOOKUP(MONTH(B367),[0]!Evap,3)</f>
        <v>3.6774193548387095</v>
      </c>
      <c r="F367" s="322">
        <f t="shared" si="80"/>
        <v>2.8683870967741933</v>
      </c>
      <c r="G367" s="319">
        <f t="shared" si="71"/>
        <v>12.225041485561327</v>
      </c>
      <c r="H367" s="322">
        <f t="shared" si="72"/>
        <v>3.5066151254713324E-2</v>
      </c>
      <c r="I367" s="322">
        <f>+fill_data!B411</f>
        <v>1.110335985720897</v>
      </c>
      <c r="J367" s="322">
        <f t="shared" si="73"/>
        <v>84.301426362876413</v>
      </c>
      <c r="K367" s="322">
        <f>+fill_data!C411</f>
        <v>1.9354838709677419E-3</v>
      </c>
      <c r="L367" s="322">
        <f>+fill_data!F411</f>
        <v>0</v>
      </c>
      <c r="M367" s="322">
        <f>+fill_data!D411</f>
        <v>3.7258064516129036E-2</v>
      </c>
      <c r="N367" s="322">
        <f>++fill_data!E411</f>
        <v>4.2299999999999997E-2</v>
      </c>
      <c r="O367" s="322">
        <f>VLOOKUP($A367,[0]!ความต้องการน้ำ,3)/7</f>
        <v>0.11739346882180797</v>
      </c>
      <c r="P367" s="322">
        <f>VLOOKUP($A367,[0]!ฝนใช้การ,3)/7</f>
        <v>0.10217220645161289</v>
      </c>
      <c r="Q367" s="322">
        <f t="shared" si="81"/>
        <v>60</v>
      </c>
      <c r="R367" s="322">
        <f t="shared" si="77"/>
        <v>2.5368770616991804E-2</v>
      </c>
      <c r="S367" s="322">
        <f t="shared" si="74"/>
        <v>0.10686231900408857</v>
      </c>
      <c r="T367" s="322">
        <f t="shared" si="75"/>
        <v>84.194564043872319</v>
      </c>
      <c r="U367" s="354">
        <f t="shared" si="78"/>
        <v>141</v>
      </c>
      <c r="V367" s="354">
        <f t="shared" si="82"/>
        <v>7</v>
      </c>
      <c r="W367" s="348">
        <v>39.36709677419357</v>
      </c>
      <c r="X367" s="346">
        <v>136.47096774193543</v>
      </c>
      <c r="Y367" s="566"/>
    </row>
    <row r="368" spans="1:25" x14ac:dyDescent="0.15">
      <c r="A368" s="201">
        <f t="shared" si="83"/>
        <v>51</v>
      </c>
      <c r="B368" s="260">
        <f t="shared" si="76"/>
        <v>40106</v>
      </c>
      <c r="C368" s="374">
        <f t="shared" si="70"/>
        <v>217.05570136747451</v>
      </c>
      <c r="D368" s="319">
        <f t="shared" si="79"/>
        <v>84.194564043872319</v>
      </c>
      <c r="E368" s="319">
        <f>VLOOKUP(MONTH(B368),[0]!Evap,3)</f>
        <v>3.6774193548387095</v>
      </c>
      <c r="F368" s="322">
        <f t="shared" si="80"/>
        <v>2.8683870967741933</v>
      </c>
      <c r="G368" s="319">
        <f t="shared" si="71"/>
        <v>12.292514057204379</v>
      </c>
      <c r="H368" s="322">
        <f t="shared" si="72"/>
        <v>3.5259688708600426E-2</v>
      </c>
      <c r="I368" s="322">
        <f>+fill_data!B412</f>
        <v>1.110335985720897</v>
      </c>
      <c r="J368" s="322">
        <f t="shared" si="73"/>
        <v>85.269640340884607</v>
      </c>
      <c r="K368" s="322">
        <f>+fill_data!C412</f>
        <v>1.9354838709677419E-3</v>
      </c>
      <c r="L368" s="322">
        <f>+fill_data!F412</f>
        <v>0</v>
      </c>
      <c r="M368" s="322">
        <f>+fill_data!D412</f>
        <v>3.7258064516129036E-2</v>
      </c>
      <c r="N368" s="322">
        <f>++fill_data!E412</f>
        <v>4.2299999999999997E-2</v>
      </c>
      <c r="O368" s="322">
        <f>VLOOKUP($A368,[0]!ความต้องการน้ำ,3)/7</f>
        <v>0.11739346882180797</v>
      </c>
      <c r="P368" s="322">
        <f>VLOOKUP($A368,[0]!ฝนใช้การ,3)/7</f>
        <v>0.10217220645161289</v>
      </c>
      <c r="Q368" s="322">
        <f t="shared" si="81"/>
        <v>60</v>
      </c>
      <c r="R368" s="322">
        <f t="shared" si="77"/>
        <v>2.5368770616991804E-2</v>
      </c>
      <c r="S368" s="322">
        <f t="shared" si="74"/>
        <v>0.10686231900408857</v>
      </c>
      <c r="T368" s="322">
        <f t="shared" si="75"/>
        <v>85.162778021880513</v>
      </c>
      <c r="U368" s="354">
        <f t="shared" si="78"/>
        <v>141</v>
      </c>
      <c r="V368" s="354">
        <f t="shared" si="82"/>
        <v>7</v>
      </c>
      <c r="W368" s="348">
        <v>39.331935483870993</v>
      </c>
      <c r="X368" s="346">
        <v>136.21935483870962</v>
      </c>
      <c r="Y368" s="566"/>
    </row>
    <row r="369" spans="1:25" x14ac:dyDescent="0.15">
      <c r="A369" s="201">
        <f t="shared" si="83"/>
        <v>51</v>
      </c>
      <c r="B369" s="260">
        <f t="shared" si="76"/>
        <v>40107</v>
      </c>
      <c r="C369" s="374">
        <f t="shared" si="70"/>
        <v>217.13148260749168</v>
      </c>
      <c r="D369" s="319">
        <f t="shared" si="79"/>
        <v>85.162778021880513</v>
      </c>
      <c r="E369" s="319">
        <f>VLOOKUP(MONTH(B369),[0]!Evap,3)</f>
        <v>3.6774193548387095</v>
      </c>
      <c r="F369" s="322">
        <f t="shared" si="80"/>
        <v>2.8683870967741933</v>
      </c>
      <c r="G369" s="319">
        <f t="shared" si="71"/>
        <v>12.359266863228619</v>
      </c>
      <c r="H369" s="322">
        <f t="shared" si="72"/>
        <v>3.5451161596073831E-2</v>
      </c>
      <c r="I369" s="322">
        <f>+fill_data!B413</f>
        <v>1.110335985720897</v>
      </c>
      <c r="J369" s="322">
        <f t="shared" si="73"/>
        <v>86.237662846005335</v>
      </c>
      <c r="K369" s="322">
        <f>+fill_data!C413</f>
        <v>1.9354838709677419E-3</v>
      </c>
      <c r="L369" s="322">
        <f>+fill_data!F413</f>
        <v>0</v>
      </c>
      <c r="M369" s="322">
        <f>+fill_data!D413</f>
        <v>3.7258064516129036E-2</v>
      </c>
      <c r="N369" s="322">
        <f>++fill_data!E413</f>
        <v>4.2299999999999997E-2</v>
      </c>
      <c r="O369" s="322">
        <f>VLOOKUP($A369,[0]!ความต้องการน้ำ,3)/7</f>
        <v>0.11739346882180797</v>
      </c>
      <c r="P369" s="322">
        <f>VLOOKUP($A369,[0]!ฝนใช้การ,3)/7</f>
        <v>0.10217220645161289</v>
      </c>
      <c r="Q369" s="322">
        <f t="shared" si="81"/>
        <v>60</v>
      </c>
      <c r="R369" s="322">
        <f t="shared" si="77"/>
        <v>2.5368770616991804E-2</v>
      </c>
      <c r="S369" s="322">
        <f t="shared" si="74"/>
        <v>0.10686231900408857</v>
      </c>
      <c r="T369" s="322">
        <f t="shared" si="75"/>
        <v>86.130800527001242</v>
      </c>
      <c r="U369" s="354">
        <f t="shared" si="78"/>
        <v>141</v>
      </c>
      <c r="V369" s="354">
        <f t="shared" si="82"/>
        <v>7</v>
      </c>
      <c r="W369" s="348">
        <v>39.296774193548409</v>
      </c>
      <c r="X369" s="346">
        <v>135.96774193548382</v>
      </c>
      <c r="Y369" s="566"/>
    </row>
    <row r="370" spans="1:25" x14ac:dyDescent="0.15">
      <c r="A370" s="201">
        <f t="shared" si="83"/>
        <v>51</v>
      </c>
      <c r="B370" s="260">
        <f t="shared" si="76"/>
        <v>40108</v>
      </c>
      <c r="C370" s="374">
        <f t="shared" si="70"/>
        <v>217.20724886109761</v>
      </c>
      <c r="D370" s="319">
        <f t="shared" si="79"/>
        <v>86.130800527001242</v>
      </c>
      <c r="E370" s="319">
        <f>VLOOKUP(MONTH(B370),[0]!Evap,3)</f>
        <v>3.6774193548387095</v>
      </c>
      <c r="F370" s="322">
        <f t="shared" si="80"/>
        <v>2.8683870967741933</v>
      </c>
      <c r="G370" s="319">
        <f t="shared" si="71"/>
        <v>12.426006468294386</v>
      </c>
      <c r="H370" s="322">
        <f t="shared" si="72"/>
        <v>3.5642596618088281E-2</v>
      </c>
      <c r="I370" s="322">
        <f>+fill_data!B414</f>
        <v>1.110335985720897</v>
      </c>
      <c r="J370" s="322">
        <f t="shared" si="73"/>
        <v>87.205493916104047</v>
      </c>
      <c r="K370" s="322">
        <f>+fill_data!C414</f>
        <v>1.9354838709677419E-3</v>
      </c>
      <c r="L370" s="322">
        <f>+fill_data!F414</f>
        <v>0</v>
      </c>
      <c r="M370" s="322">
        <f>+fill_data!D414</f>
        <v>3.7258064516129036E-2</v>
      </c>
      <c r="N370" s="322">
        <f>++fill_data!E414</f>
        <v>4.2299999999999997E-2</v>
      </c>
      <c r="O370" s="322">
        <f>VLOOKUP($A370,[0]!ความต้องการน้ำ,3)/7</f>
        <v>0.11739346882180797</v>
      </c>
      <c r="P370" s="322">
        <f>VLOOKUP($A370,[0]!ฝนใช้การ,3)/7</f>
        <v>0.10217220645161289</v>
      </c>
      <c r="Q370" s="322">
        <f t="shared" si="81"/>
        <v>60</v>
      </c>
      <c r="R370" s="322">
        <f t="shared" si="77"/>
        <v>2.5368770616991804E-2</v>
      </c>
      <c r="S370" s="322">
        <f t="shared" si="74"/>
        <v>0.10686231900408857</v>
      </c>
      <c r="T370" s="322">
        <f t="shared" si="75"/>
        <v>87.098631597099953</v>
      </c>
      <c r="U370" s="354">
        <f t="shared" si="78"/>
        <v>141</v>
      </c>
      <c r="V370" s="354">
        <f t="shared" si="82"/>
        <v>7</v>
      </c>
      <c r="W370" s="348">
        <v>39.261612903225831</v>
      </c>
      <c r="X370" s="346">
        <v>135.71612903225801</v>
      </c>
      <c r="Y370" s="566"/>
    </row>
    <row r="371" spans="1:25" x14ac:dyDescent="0.15">
      <c r="A371" s="201">
        <f t="shared" si="83"/>
        <v>51</v>
      </c>
      <c r="B371" s="260">
        <f t="shared" si="76"/>
        <v>40109</v>
      </c>
      <c r="C371" s="374">
        <f t="shared" si="70"/>
        <v>217.28300013125599</v>
      </c>
      <c r="D371" s="319">
        <f t="shared" si="79"/>
        <v>87.098631597099953</v>
      </c>
      <c r="E371" s="319">
        <f>VLOOKUP(MONTH(B371),[0]!Evap,3)</f>
        <v>3.6774193548387095</v>
      </c>
      <c r="F371" s="322">
        <f t="shared" si="80"/>
        <v>2.8683870967741933</v>
      </c>
      <c r="G371" s="319">
        <f t="shared" si="71"/>
        <v>12.492732875012287</v>
      </c>
      <c r="H371" s="322">
        <f t="shared" si="72"/>
        <v>3.5833993782132013E-2</v>
      </c>
      <c r="I371" s="322">
        <f>+fill_data!B415</f>
        <v>1.110335985720897</v>
      </c>
      <c r="J371" s="322">
        <f t="shared" si="73"/>
        <v>88.173133589038713</v>
      </c>
      <c r="K371" s="322">
        <f>+fill_data!C415</f>
        <v>1.9354838709677419E-3</v>
      </c>
      <c r="L371" s="322">
        <f>+fill_data!F415</f>
        <v>0</v>
      </c>
      <c r="M371" s="322">
        <f>+fill_data!D415</f>
        <v>3.7258064516129036E-2</v>
      </c>
      <c r="N371" s="322">
        <f>++fill_data!E415</f>
        <v>4.2299999999999997E-2</v>
      </c>
      <c r="O371" s="322">
        <f>VLOOKUP($A371,[0]!ความต้องการน้ำ,3)/7</f>
        <v>0.11739346882180797</v>
      </c>
      <c r="P371" s="322">
        <f>VLOOKUP($A371,[0]!ฝนใช้การ,3)/7</f>
        <v>0.10217220645161289</v>
      </c>
      <c r="Q371" s="322">
        <f t="shared" si="81"/>
        <v>60</v>
      </c>
      <c r="R371" s="322">
        <f t="shared" si="77"/>
        <v>2.5368770616991804E-2</v>
      </c>
      <c r="S371" s="322">
        <f t="shared" si="74"/>
        <v>0.10686231900408857</v>
      </c>
      <c r="T371" s="322">
        <f t="shared" si="75"/>
        <v>88.066271270034619</v>
      </c>
      <c r="U371" s="354">
        <f t="shared" si="78"/>
        <v>141</v>
      </c>
      <c r="V371" s="354">
        <f t="shared" si="82"/>
        <v>7</v>
      </c>
      <c r="W371" s="348">
        <v>39.226451612903254</v>
      </c>
      <c r="X371" s="346">
        <v>135.46451612903221</v>
      </c>
      <c r="Y371" s="566"/>
    </row>
    <row r="372" spans="1:25" x14ac:dyDescent="0.15">
      <c r="A372" s="201">
        <v>52</v>
      </c>
      <c r="B372" s="260">
        <f t="shared" si="76"/>
        <v>40110</v>
      </c>
      <c r="C372" s="374">
        <f t="shared" si="70"/>
        <v>217.35873642092994</v>
      </c>
      <c r="D372" s="319">
        <f t="shared" si="79"/>
        <v>88.066271270034619</v>
      </c>
      <c r="E372" s="319">
        <f>VLOOKUP(MONTH(B372),[0]!Evap,3)</f>
        <v>3.6774193548387095</v>
      </c>
      <c r="F372" s="322">
        <f t="shared" si="80"/>
        <v>2.8683870967741933</v>
      </c>
      <c r="G372" s="319">
        <f t="shared" si="71"/>
        <v>12.559446085992413</v>
      </c>
      <c r="H372" s="322">
        <f t="shared" si="72"/>
        <v>3.6025353095691784E-2</v>
      </c>
      <c r="I372" s="322">
        <f>+fill_data!B416</f>
        <v>1.110335985720897</v>
      </c>
      <c r="J372" s="322">
        <f t="shared" si="73"/>
        <v>89.140581902659818</v>
      </c>
      <c r="K372" s="322">
        <f>+fill_data!C416</f>
        <v>1.9354838709677419E-3</v>
      </c>
      <c r="L372" s="322">
        <f>+fill_data!F416</f>
        <v>0</v>
      </c>
      <c r="M372" s="322">
        <f>+fill_data!D416</f>
        <v>3.7258064516129036E-2</v>
      </c>
      <c r="N372" s="322">
        <f>++fill_data!E416</f>
        <v>4.2299999999999997E-2</v>
      </c>
      <c r="O372" s="322">
        <f>VLOOKUP($A372,[0]!ความต้องการน้ำ,3)/7</f>
        <v>8.2246682090938289E-4</v>
      </c>
      <c r="P372" s="322">
        <f>VLOOKUP($A372,[0]!ฝนใช้การ,3)/7</f>
        <v>2.8286967741935481E-4</v>
      </c>
      <c r="Q372" s="322">
        <f t="shared" si="81"/>
        <v>60</v>
      </c>
      <c r="R372" s="322">
        <f t="shared" si="77"/>
        <v>8.9932857248338017E-4</v>
      </c>
      <c r="S372" s="322">
        <f t="shared" si="74"/>
        <v>8.2392876959580155E-2</v>
      </c>
      <c r="T372" s="322">
        <f t="shared" si="75"/>
        <v>89.058189025700244</v>
      </c>
      <c r="U372" s="354">
        <f t="shared" si="78"/>
        <v>141</v>
      </c>
      <c r="V372" s="354">
        <f t="shared" si="82"/>
        <v>7</v>
      </c>
      <c r="W372" s="348">
        <v>39.19129032258067</v>
      </c>
      <c r="X372" s="346">
        <v>135.21290322580637</v>
      </c>
      <c r="Y372" s="566"/>
    </row>
    <row r="373" spans="1:25" x14ac:dyDescent="0.15">
      <c r="A373" s="201">
        <f t="shared" si="83"/>
        <v>52</v>
      </c>
      <c r="B373" s="260">
        <f t="shared" si="76"/>
        <v>40111</v>
      </c>
      <c r="C373" s="374">
        <f t="shared" si="70"/>
        <v>217.436372934373</v>
      </c>
      <c r="D373" s="319">
        <f t="shared" si="79"/>
        <v>89.058189025700244</v>
      </c>
      <c r="E373" s="319">
        <f>VLOOKUP(MONTH(B373),[0]!Evap,3)</f>
        <v>3.6774193548387095</v>
      </c>
      <c r="F373" s="322">
        <f t="shared" si="80"/>
        <v>2.8683870967741933</v>
      </c>
      <c r="G373" s="319">
        <f t="shared" si="71"/>
        <v>12.627833131666097</v>
      </c>
      <c r="H373" s="322">
        <f t="shared" si="72"/>
        <v>3.6221513615088685E-2</v>
      </c>
      <c r="I373" s="322">
        <f>+fill_data!B417</f>
        <v>1.110335985720897</v>
      </c>
      <c r="J373" s="322">
        <f t="shared" si="73"/>
        <v>90.132303497806049</v>
      </c>
      <c r="K373" s="322">
        <f>+fill_data!C417</f>
        <v>1.9354838709677419E-3</v>
      </c>
      <c r="L373" s="322">
        <f>+fill_data!F417</f>
        <v>0</v>
      </c>
      <c r="M373" s="322">
        <f>+fill_data!D417</f>
        <v>3.7258064516129036E-2</v>
      </c>
      <c r="N373" s="322">
        <f>++fill_data!E417</f>
        <v>4.2299999999999997E-2</v>
      </c>
      <c r="O373" s="322">
        <f>VLOOKUP($A373,[0]!ความต้องการน้ำ,3)/7</f>
        <v>8.2246682090938289E-4</v>
      </c>
      <c r="P373" s="322">
        <f>VLOOKUP($A373,[0]!ฝนใช้การ,3)/7</f>
        <v>2.8286967741935481E-4</v>
      </c>
      <c r="Q373" s="322">
        <f t="shared" si="81"/>
        <v>60</v>
      </c>
      <c r="R373" s="322">
        <f t="shared" si="77"/>
        <v>8.9932857248338017E-4</v>
      </c>
      <c r="S373" s="322">
        <f t="shared" si="74"/>
        <v>8.2392876959580155E-2</v>
      </c>
      <c r="T373" s="322">
        <f t="shared" si="75"/>
        <v>90.049910620846475</v>
      </c>
      <c r="U373" s="354">
        <f t="shared" si="78"/>
        <v>141</v>
      </c>
      <c r="V373" s="354">
        <f t="shared" si="82"/>
        <v>7</v>
      </c>
      <c r="W373" s="348">
        <v>39.156129032258093</v>
      </c>
      <c r="X373" s="346">
        <v>134.96129032258057</v>
      </c>
      <c r="Y373" s="566"/>
    </row>
    <row r="374" spans="1:25" x14ac:dyDescent="0.15">
      <c r="A374" s="201">
        <f t="shared" si="83"/>
        <v>52</v>
      </c>
      <c r="B374" s="260">
        <f t="shared" si="76"/>
        <v>40112</v>
      </c>
      <c r="C374" s="374">
        <f t="shared" si="70"/>
        <v>217.5135083429436</v>
      </c>
      <c r="D374" s="319">
        <f t="shared" si="79"/>
        <v>90.049910620846475</v>
      </c>
      <c r="E374" s="319">
        <f>VLOOKUP(MONTH(B374),[0]!Evap,3)</f>
        <v>3.6774193548387095</v>
      </c>
      <c r="F374" s="322">
        <f t="shared" si="80"/>
        <v>2.8683870967741933</v>
      </c>
      <c r="G374" s="319">
        <f t="shared" si="71"/>
        <v>12.695750780498409</v>
      </c>
      <c r="H374" s="322">
        <f t="shared" si="72"/>
        <v>3.6416327722642527E-2</v>
      </c>
      <c r="I374" s="322">
        <f>+fill_data!B418</f>
        <v>1.110335985720897</v>
      </c>
      <c r="J374" s="322">
        <f t="shared" si="73"/>
        <v>91.123830278844721</v>
      </c>
      <c r="K374" s="322">
        <f>+fill_data!C418</f>
        <v>1.9354838709677419E-3</v>
      </c>
      <c r="L374" s="322">
        <f>+fill_data!F418</f>
        <v>0</v>
      </c>
      <c r="M374" s="322">
        <f>+fill_data!D418</f>
        <v>3.7258064516129036E-2</v>
      </c>
      <c r="N374" s="322">
        <f>++fill_data!E418</f>
        <v>4.2299999999999997E-2</v>
      </c>
      <c r="O374" s="322">
        <f>VLOOKUP($A374,[0]!ความต้องการน้ำ,3)/7</f>
        <v>8.2246682090938289E-4</v>
      </c>
      <c r="P374" s="322">
        <f>VLOOKUP($A374,[0]!ฝนใช้การ,3)/7</f>
        <v>2.8286967741935481E-4</v>
      </c>
      <c r="Q374" s="322">
        <f t="shared" si="81"/>
        <v>60</v>
      </c>
      <c r="R374" s="322">
        <f t="shared" si="77"/>
        <v>8.9932857248338017E-4</v>
      </c>
      <c r="S374" s="322">
        <f t="shared" si="74"/>
        <v>8.2392876959580155E-2</v>
      </c>
      <c r="T374" s="322">
        <f t="shared" si="75"/>
        <v>91.041437401885148</v>
      </c>
      <c r="U374" s="354">
        <f t="shared" si="78"/>
        <v>141</v>
      </c>
      <c r="V374" s="354">
        <f t="shared" si="82"/>
        <v>7</v>
      </c>
      <c r="W374" s="348">
        <v>39.120967741935516</v>
      </c>
      <c r="X374" s="346">
        <v>134.70967741935476</v>
      </c>
      <c r="Y374" s="566"/>
    </row>
    <row r="375" spans="1:25" x14ac:dyDescent="0.15">
      <c r="A375" s="201">
        <f t="shared" si="83"/>
        <v>52</v>
      </c>
      <c r="B375" s="260">
        <f t="shared" si="76"/>
        <v>40113</v>
      </c>
      <c r="C375" s="374">
        <f t="shared" si="70"/>
        <v>217.588420462193</v>
      </c>
      <c r="D375" s="319">
        <f t="shared" si="79"/>
        <v>91.041437401885148</v>
      </c>
      <c r="E375" s="319">
        <f>VLOOKUP(MONTH(B375),[0]!Evap,3)</f>
        <v>3.6774193548387095</v>
      </c>
      <c r="F375" s="322">
        <f t="shared" si="80"/>
        <v>2.8683870967741933</v>
      </c>
      <c r="G375" s="319">
        <f t="shared" si="71"/>
        <v>12.761582774555002</v>
      </c>
      <c r="H375" s="322">
        <f t="shared" si="72"/>
        <v>3.6605159364949375E-2</v>
      </c>
      <c r="I375" s="322">
        <f>+fill_data!B419</f>
        <v>1.110335985720897</v>
      </c>
      <c r="J375" s="322">
        <f t="shared" si="73"/>
        <v>92.115168228241089</v>
      </c>
      <c r="K375" s="322">
        <f>+fill_data!C419</f>
        <v>1.9354838709677419E-3</v>
      </c>
      <c r="L375" s="322">
        <f>+fill_data!F419</f>
        <v>0</v>
      </c>
      <c r="M375" s="322">
        <f>+fill_data!D419</f>
        <v>3.7258064516129036E-2</v>
      </c>
      <c r="N375" s="322">
        <f>++fill_data!E419</f>
        <v>4.2299999999999997E-2</v>
      </c>
      <c r="O375" s="322">
        <f>VLOOKUP($A375,[0]!ความต้องการน้ำ,3)/7</f>
        <v>8.2246682090938289E-4</v>
      </c>
      <c r="P375" s="322">
        <f>VLOOKUP($A375,[0]!ฝนใช้การ,3)/7</f>
        <v>2.8286967741935481E-4</v>
      </c>
      <c r="Q375" s="322">
        <f t="shared" si="81"/>
        <v>60</v>
      </c>
      <c r="R375" s="322">
        <f t="shared" si="77"/>
        <v>8.9932857248338017E-4</v>
      </c>
      <c r="S375" s="322">
        <f t="shared" si="74"/>
        <v>8.2392876959580155E-2</v>
      </c>
      <c r="T375" s="322">
        <f t="shared" si="75"/>
        <v>92.032775351281515</v>
      </c>
      <c r="U375" s="354">
        <f t="shared" si="78"/>
        <v>141</v>
      </c>
      <c r="V375" s="354">
        <f t="shared" si="82"/>
        <v>7</v>
      </c>
      <c r="W375" s="348">
        <v>39.085806451612932</v>
      </c>
      <c r="X375" s="346">
        <v>134.45806451612896</v>
      </c>
      <c r="Y375" s="566"/>
    </row>
    <row r="376" spans="1:25" x14ac:dyDescent="0.15">
      <c r="A376" s="201">
        <f t="shared" si="83"/>
        <v>52</v>
      </c>
      <c r="B376" s="260">
        <f t="shared" si="76"/>
        <v>40114</v>
      </c>
      <c r="C376" s="374">
        <f t="shared" si="70"/>
        <v>217.66331831477936</v>
      </c>
      <c r="D376" s="319">
        <f t="shared" si="79"/>
        <v>92.032775351281515</v>
      </c>
      <c r="E376" s="319">
        <f>VLOOKUP(MONTH(B376),[0]!Evap,3)</f>
        <v>3.6774193548387095</v>
      </c>
      <c r="F376" s="322">
        <f t="shared" si="80"/>
        <v>2.8683870967741933</v>
      </c>
      <c r="G376" s="319">
        <f t="shared" si="71"/>
        <v>12.82740223121594</v>
      </c>
      <c r="H376" s="322">
        <f t="shared" si="72"/>
        <v>3.6793955045152302E-2</v>
      </c>
      <c r="I376" s="322">
        <f>+fill_data!B420</f>
        <v>1.110335985720897</v>
      </c>
      <c r="J376" s="322">
        <f t="shared" si="73"/>
        <v>93.106317381957254</v>
      </c>
      <c r="K376" s="322">
        <f>+fill_data!C420</f>
        <v>1.9354838709677419E-3</v>
      </c>
      <c r="L376" s="322">
        <f>+fill_data!F420</f>
        <v>0</v>
      </c>
      <c r="M376" s="322">
        <f>+fill_data!D420</f>
        <v>3.7258064516129036E-2</v>
      </c>
      <c r="N376" s="322">
        <f>++fill_data!E420</f>
        <v>4.2299999999999997E-2</v>
      </c>
      <c r="O376" s="322">
        <f>VLOOKUP($A376,[0]!ความต้องการน้ำ,3)/7</f>
        <v>8.2246682090938289E-4</v>
      </c>
      <c r="P376" s="322">
        <f>VLOOKUP($A376,[0]!ฝนใช้การ,3)/7</f>
        <v>2.8286967741935481E-4</v>
      </c>
      <c r="Q376" s="322">
        <f t="shared" si="81"/>
        <v>60</v>
      </c>
      <c r="R376" s="322">
        <f t="shared" si="77"/>
        <v>8.9932857248338017E-4</v>
      </c>
      <c r="S376" s="322">
        <f t="shared" si="74"/>
        <v>8.2392876959580155E-2</v>
      </c>
      <c r="T376" s="322">
        <f t="shared" si="75"/>
        <v>93.02392450499768</v>
      </c>
      <c r="U376" s="354">
        <f t="shared" si="78"/>
        <v>141</v>
      </c>
      <c r="V376" s="354">
        <f t="shared" si="82"/>
        <v>7</v>
      </c>
      <c r="W376" s="348">
        <v>39.050645161290355</v>
      </c>
      <c r="X376" s="346">
        <v>134.20645161290315</v>
      </c>
      <c r="Y376" s="566"/>
    </row>
    <row r="377" spans="1:25" x14ac:dyDescent="0.15">
      <c r="A377" s="201">
        <f t="shared" si="83"/>
        <v>52</v>
      </c>
      <c r="B377" s="260">
        <f t="shared" si="76"/>
        <v>40115</v>
      </c>
      <c r="C377" s="374">
        <f t="shared" si="70"/>
        <v>217.73820190341968</v>
      </c>
      <c r="D377" s="319">
        <f t="shared" si="79"/>
        <v>93.02392450499768</v>
      </c>
      <c r="E377" s="319">
        <f>VLOOKUP(MONTH(B377),[0]!Evap,3)</f>
        <v>3.6774193548387095</v>
      </c>
      <c r="F377" s="322">
        <f t="shared" si="80"/>
        <v>2.8683870967741933</v>
      </c>
      <c r="G377" s="319">
        <f t="shared" si="71"/>
        <v>12.893209152868915</v>
      </c>
      <c r="H377" s="322">
        <f t="shared" si="72"/>
        <v>3.6982714770100122E-2</v>
      </c>
      <c r="I377" s="322">
        <f>+fill_data!B421</f>
        <v>1.110335985720897</v>
      </c>
      <c r="J377" s="322">
        <f t="shared" si="73"/>
        <v>94.09727777594847</v>
      </c>
      <c r="K377" s="322">
        <f>+fill_data!C421</f>
        <v>1.9354838709677419E-3</v>
      </c>
      <c r="L377" s="322">
        <f>+fill_data!F421</f>
        <v>0</v>
      </c>
      <c r="M377" s="322">
        <f>+fill_data!D421</f>
        <v>3.7258064516129036E-2</v>
      </c>
      <c r="N377" s="322">
        <f>++fill_data!E421</f>
        <v>4.2299999999999997E-2</v>
      </c>
      <c r="O377" s="322">
        <f>VLOOKUP($A377,[0]!ความต้องการน้ำ,3)/7</f>
        <v>8.2246682090938289E-4</v>
      </c>
      <c r="P377" s="322">
        <f>VLOOKUP($A377,[0]!ฝนใช้การ,3)/7</f>
        <v>2.8286967741935481E-4</v>
      </c>
      <c r="Q377" s="322">
        <f t="shared" si="81"/>
        <v>60</v>
      </c>
      <c r="R377" s="322">
        <f t="shared" si="77"/>
        <v>8.9932857248338017E-4</v>
      </c>
      <c r="S377" s="322">
        <f t="shared" si="74"/>
        <v>8.2392876959580155E-2</v>
      </c>
      <c r="T377" s="322">
        <f t="shared" si="75"/>
        <v>94.014884898988896</v>
      </c>
      <c r="U377" s="354">
        <f t="shared" si="78"/>
        <v>141</v>
      </c>
      <c r="V377" s="354">
        <f t="shared" si="82"/>
        <v>7</v>
      </c>
      <c r="W377" s="348">
        <v>39.015483870967778</v>
      </c>
      <c r="X377" s="346">
        <v>133.95483870967735</v>
      </c>
      <c r="Y377" s="566"/>
    </row>
    <row r="378" spans="1:25" x14ac:dyDescent="0.15">
      <c r="A378" s="201">
        <f t="shared" si="83"/>
        <v>52</v>
      </c>
      <c r="B378" s="260">
        <f t="shared" si="76"/>
        <v>40116</v>
      </c>
      <c r="C378" s="374">
        <f t="shared" si="70"/>
        <v>217.81307123083042</v>
      </c>
      <c r="D378" s="319">
        <f t="shared" si="79"/>
        <v>94.014884898988896</v>
      </c>
      <c r="E378" s="319">
        <f>VLOOKUP(MONTH(B378),[0]!Evap,3)</f>
        <v>3.6774193548387095</v>
      </c>
      <c r="F378" s="322">
        <f t="shared" si="80"/>
        <v>2.8683870967741933</v>
      </c>
      <c r="G378" s="319">
        <f t="shared" si="71"/>
        <v>12.959003541901158</v>
      </c>
      <c r="H378" s="322">
        <f t="shared" si="72"/>
        <v>3.7171438546640352E-2</v>
      </c>
      <c r="I378" s="322">
        <f>+fill_data!B422</f>
        <v>1.110335985720897</v>
      </c>
      <c r="J378" s="322">
        <f t="shared" si="73"/>
        <v>95.088049446163154</v>
      </c>
      <c r="K378" s="322">
        <f>+fill_data!C422</f>
        <v>1.9354838709677419E-3</v>
      </c>
      <c r="L378" s="322">
        <f>+fill_data!F422</f>
        <v>0</v>
      </c>
      <c r="M378" s="322">
        <f>+fill_data!D422</f>
        <v>3.7258064516129036E-2</v>
      </c>
      <c r="N378" s="322">
        <f>++fill_data!E422</f>
        <v>4.2299999999999997E-2</v>
      </c>
      <c r="O378" s="322">
        <f>VLOOKUP($A378,[0]!ความต้องการน้ำ,3)/7</f>
        <v>8.2246682090938289E-4</v>
      </c>
      <c r="P378" s="322">
        <f>VLOOKUP($A378,[0]!ฝนใช้การ,3)/7</f>
        <v>2.8286967741935481E-4</v>
      </c>
      <c r="Q378" s="322">
        <f t="shared" si="81"/>
        <v>60</v>
      </c>
      <c r="R378" s="322">
        <f t="shared" si="77"/>
        <v>8.9932857248338017E-4</v>
      </c>
      <c r="S378" s="322">
        <f t="shared" si="74"/>
        <v>8.2392876959580155E-2</v>
      </c>
      <c r="T378" s="322">
        <f t="shared" si="75"/>
        <v>95.00565656920358</v>
      </c>
      <c r="U378" s="354">
        <f t="shared" si="78"/>
        <v>141</v>
      </c>
      <c r="V378" s="354">
        <f t="shared" si="82"/>
        <v>7</v>
      </c>
      <c r="W378" s="348">
        <v>38.980322580645193</v>
      </c>
      <c r="X378" s="346">
        <v>133.70322580645154</v>
      </c>
      <c r="Y378" s="566"/>
    </row>
    <row r="379" spans="1:25" x14ac:dyDescent="0.15">
      <c r="A379" s="201">
        <f t="shared" si="83"/>
        <v>52</v>
      </c>
      <c r="B379" s="260">
        <f t="shared" si="76"/>
        <v>40117</v>
      </c>
      <c r="C379" s="375">
        <f t="shared" si="70"/>
        <v>217.88792629972764</v>
      </c>
      <c r="D379" s="328">
        <f t="shared" si="79"/>
        <v>95.00565656920358</v>
      </c>
      <c r="E379" s="328">
        <f>VLOOKUP(MONTH(B379),[0]!Evap,3)</f>
        <v>3.6774193548387095</v>
      </c>
      <c r="F379" s="322">
        <f t="shared" si="80"/>
        <v>2.8683870967741933</v>
      </c>
      <c r="G379" s="328">
        <f t="shared" si="71"/>
        <v>13.024785400699452</v>
      </c>
      <c r="H379" s="323">
        <f t="shared" si="72"/>
        <v>3.7360126381619202E-2</v>
      </c>
      <c r="I379" s="323">
        <f>+fill_data!B423</f>
        <v>1.110335985720897</v>
      </c>
      <c r="J379" s="323">
        <f t="shared" si="73"/>
        <v>96.078632428542861</v>
      </c>
      <c r="K379" s="323">
        <f>+fill_data!C423</f>
        <v>1.9354838709677419E-3</v>
      </c>
      <c r="L379" s="323">
        <f>+fill_data!F423</f>
        <v>0</v>
      </c>
      <c r="M379" s="323">
        <f>+fill_data!D423</f>
        <v>3.7258064516129036E-2</v>
      </c>
      <c r="N379" s="323">
        <f>++fill_data!E423</f>
        <v>4.2299999999999997E-2</v>
      </c>
      <c r="O379" s="323">
        <f>VLOOKUP($A379,[0]!ความต้องการน้ำ,3)/7</f>
        <v>8.2246682090938289E-4</v>
      </c>
      <c r="P379" s="323">
        <f>VLOOKUP($A379,[0]!ฝนใช้การ,3)/7</f>
        <v>2.8286967741935481E-4</v>
      </c>
      <c r="Q379" s="323">
        <f t="shared" si="81"/>
        <v>60</v>
      </c>
      <c r="R379" s="323">
        <f t="shared" si="77"/>
        <v>8.9932857248338017E-4</v>
      </c>
      <c r="S379" s="323">
        <f t="shared" si="74"/>
        <v>8.2392876959580155E-2</v>
      </c>
      <c r="T379" s="323">
        <f t="shared" si="75"/>
        <v>95.996239551583287</v>
      </c>
      <c r="U379" s="355">
        <f t="shared" si="78"/>
        <v>141</v>
      </c>
      <c r="V379" s="355">
        <f t="shared" si="82"/>
        <v>7</v>
      </c>
      <c r="W379" s="350">
        <v>38.945161290322616</v>
      </c>
      <c r="X379" s="349">
        <v>133.45161290322571</v>
      </c>
      <c r="Y379" s="567"/>
    </row>
    <row r="380" spans="1:25" x14ac:dyDescent="0.15">
      <c r="A380" s="647" t="s">
        <v>462</v>
      </c>
      <c r="B380" s="648"/>
      <c r="C380" s="324"/>
      <c r="D380" s="325"/>
      <c r="E380" s="325"/>
      <c r="F380" s="325"/>
      <c r="G380" s="325"/>
      <c r="H380" s="326">
        <f>SUM(H15:H379)</f>
        <v>16.00353067780609</v>
      </c>
      <c r="I380" s="326">
        <f>SUM(I15:I379)</f>
        <v>99.047010777159954</v>
      </c>
      <c r="J380" s="325"/>
      <c r="K380" s="326">
        <f t="shared" ref="K380:P380" si="84">SUM(K15:K379)</f>
        <v>1.1399999999999992</v>
      </c>
      <c r="L380" s="326">
        <f t="shared" si="84"/>
        <v>0</v>
      </c>
      <c r="M380" s="326">
        <f t="shared" si="84"/>
        <v>13.850000000000042</v>
      </c>
      <c r="N380" s="326">
        <f t="shared" si="84"/>
        <v>23.095800000000072</v>
      </c>
      <c r="O380" s="326">
        <f t="shared" si="84"/>
        <v>56.433073701728084</v>
      </c>
      <c r="P380" s="326">
        <f t="shared" si="84"/>
        <v>35.832582937524606</v>
      </c>
      <c r="Q380" s="325"/>
      <c r="R380" s="326">
        <f>SUM(R15:R379)</f>
        <v>35.04544054777093</v>
      </c>
      <c r="S380" s="326">
        <f>SUM(S15:S379)</f>
        <v>73.131240547770759</v>
      </c>
      <c r="T380" s="415"/>
      <c r="U380" s="320"/>
      <c r="V380" s="320"/>
      <c r="W380" s="321"/>
      <c r="X380" s="321"/>
    </row>
    <row r="383" spans="1:25" x14ac:dyDescent="0.15">
      <c r="S383" s="185" t="s">
        <v>463</v>
      </c>
    </row>
    <row r="384" spans="1:25" x14ac:dyDescent="0.15">
      <c r="A384" s="202" t="s">
        <v>464</v>
      </c>
      <c r="B384" s="202"/>
      <c r="C384" s="202"/>
      <c r="D384" s="202"/>
    </row>
    <row r="385" spans="2:17" x14ac:dyDescent="0.15">
      <c r="B385" s="197" t="s">
        <v>465</v>
      </c>
      <c r="C385" s="197"/>
      <c r="D385" s="197"/>
      <c r="E385" s="187" t="s">
        <v>466</v>
      </c>
    </row>
    <row r="386" spans="2:17" x14ac:dyDescent="0.15">
      <c r="B386" s="197"/>
      <c r="C386" s="197"/>
      <c r="D386" s="197"/>
      <c r="E386" s="187" t="s">
        <v>467</v>
      </c>
    </row>
    <row r="387" spans="2:17" x14ac:dyDescent="0.15">
      <c r="B387" s="203" t="s">
        <v>353</v>
      </c>
      <c r="C387" s="203"/>
      <c r="D387" s="203"/>
      <c r="E387" s="185" t="s">
        <v>468</v>
      </c>
    </row>
    <row r="388" spans="2:17" x14ac:dyDescent="0.15">
      <c r="B388" s="204" t="s">
        <v>354</v>
      </c>
      <c r="C388" s="203"/>
      <c r="D388" s="203"/>
      <c r="E388" s="185" t="s">
        <v>469</v>
      </c>
    </row>
    <row r="389" spans="2:17" x14ac:dyDescent="0.15">
      <c r="B389" s="204" t="s">
        <v>355</v>
      </c>
      <c r="C389" s="204"/>
      <c r="D389" s="204"/>
      <c r="E389" s="187" t="s">
        <v>470</v>
      </c>
      <c r="K389" s="205"/>
      <c r="L389" s="205"/>
      <c r="M389" s="205"/>
      <c r="N389" s="205"/>
      <c r="O389" s="205"/>
      <c r="P389" s="205"/>
      <c r="Q389" s="205"/>
    </row>
    <row r="390" spans="2:17" x14ac:dyDescent="0.15">
      <c r="B390" s="203" t="s">
        <v>356</v>
      </c>
      <c r="C390" s="204"/>
      <c r="D390" s="204"/>
      <c r="E390" s="205" t="s">
        <v>471</v>
      </c>
      <c r="F390" s="205"/>
      <c r="G390" s="205"/>
      <c r="H390" s="205"/>
      <c r="I390" s="205"/>
      <c r="J390" s="205"/>
      <c r="K390" s="205"/>
      <c r="L390" s="205"/>
      <c r="M390" s="205"/>
      <c r="N390" s="205"/>
      <c r="O390" s="205"/>
      <c r="P390" s="205"/>
      <c r="Q390" s="205"/>
    </row>
    <row r="391" spans="2:17" x14ac:dyDescent="0.15">
      <c r="B391" s="204" t="s">
        <v>357</v>
      </c>
      <c r="C391" s="203"/>
      <c r="D391" s="203"/>
      <c r="E391" s="185" t="s">
        <v>472</v>
      </c>
    </row>
    <row r="392" spans="2:17" x14ac:dyDescent="0.15">
      <c r="B392" s="203" t="s">
        <v>423</v>
      </c>
      <c r="C392" s="204"/>
      <c r="D392" s="204"/>
      <c r="E392" s="185" t="s">
        <v>473</v>
      </c>
    </row>
    <row r="393" spans="2:17" x14ac:dyDescent="0.15">
      <c r="B393" s="203" t="s">
        <v>358</v>
      </c>
      <c r="C393" s="203"/>
      <c r="D393" s="203"/>
      <c r="E393" s="185" t="s">
        <v>474</v>
      </c>
    </row>
    <row r="394" spans="2:17" x14ac:dyDescent="0.15">
      <c r="B394" s="203" t="s">
        <v>359</v>
      </c>
      <c r="C394" s="203"/>
      <c r="D394" s="203"/>
      <c r="E394" s="205" t="s">
        <v>475</v>
      </c>
      <c r="G394" s="205"/>
      <c r="H394" s="205"/>
      <c r="I394" s="205"/>
    </row>
    <row r="395" spans="2:17" x14ac:dyDescent="0.15">
      <c r="B395" s="203" t="s">
        <v>360</v>
      </c>
      <c r="C395" s="203"/>
      <c r="D395" s="203"/>
      <c r="E395" s="185" t="s">
        <v>476</v>
      </c>
    </row>
    <row r="396" spans="2:17" x14ac:dyDescent="0.15">
      <c r="B396" s="206" t="s">
        <v>361</v>
      </c>
      <c r="C396" s="206"/>
      <c r="D396" s="206"/>
      <c r="E396" s="207" t="s">
        <v>477</v>
      </c>
      <c r="F396" s="207"/>
      <c r="G396" s="207"/>
      <c r="H396" s="207"/>
      <c r="I396" s="207"/>
      <c r="J396" s="207"/>
    </row>
    <row r="397" spans="2:17" x14ac:dyDescent="0.15">
      <c r="B397" s="203" t="s">
        <v>362</v>
      </c>
      <c r="C397" s="203"/>
      <c r="D397" s="203"/>
      <c r="E397" s="185" t="s">
        <v>478</v>
      </c>
    </row>
    <row r="398" spans="2:17" x14ac:dyDescent="0.15">
      <c r="B398" s="206" t="s">
        <v>363</v>
      </c>
      <c r="C398" s="206"/>
      <c r="D398" s="206"/>
      <c r="E398" s="207" t="s">
        <v>479</v>
      </c>
      <c r="F398" s="207"/>
      <c r="G398" s="207"/>
      <c r="H398" s="207"/>
      <c r="I398" s="207"/>
      <c r="J398" s="207"/>
      <c r="K398" s="207"/>
    </row>
    <row r="399" spans="2:17" x14ac:dyDescent="0.15">
      <c r="B399" s="206" t="s">
        <v>364</v>
      </c>
      <c r="C399" s="206"/>
      <c r="D399" s="206"/>
      <c r="E399" s="207" t="s">
        <v>480</v>
      </c>
      <c r="F399" s="207"/>
      <c r="G399" s="207"/>
      <c r="H399" s="207"/>
      <c r="I399" s="207"/>
      <c r="J399" s="207"/>
      <c r="K399" s="207"/>
    </row>
    <row r="400" spans="2:17" x14ac:dyDescent="0.15">
      <c r="B400" s="206" t="s">
        <v>365</v>
      </c>
      <c r="C400" s="206"/>
      <c r="D400" s="206"/>
      <c r="E400" s="207" t="s">
        <v>481</v>
      </c>
      <c r="F400" s="207"/>
      <c r="G400" s="207"/>
      <c r="H400" s="207"/>
      <c r="I400" s="207"/>
      <c r="J400" s="207"/>
      <c r="K400" s="207"/>
    </row>
    <row r="401" spans="1:18" x14ac:dyDescent="0.15">
      <c r="B401" s="204" t="s">
        <v>425</v>
      </c>
      <c r="C401" s="204"/>
      <c r="D401" s="204"/>
      <c r="E401" s="205" t="s">
        <v>482</v>
      </c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</row>
    <row r="402" spans="1:18" x14ac:dyDescent="0.15">
      <c r="B402" s="204"/>
      <c r="C402" s="204"/>
      <c r="D402" s="204"/>
      <c r="E402" s="205" t="s">
        <v>483</v>
      </c>
      <c r="F402" s="20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</row>
    <row r="403" spans="1:18" x14ac:dyDescent="0.15">
      <c r="B403" s="203" t="s">
        <v>426</v>
      </c>
      <c r="C403" s="203"/>
      <c r="D403" s="203"/>
      <c r="E403" s="185" t="s">
        <v>484</v>
      </c>
    </row>
    <row r="404" spans="1:18" x14ac:dyDescent="0.15">
      <c r="B404" s="203" t="s">
        <v>427</v>
      </c>
      <c r="C404" s="203"/>
      <c r="D404" s="203"/>
      <c r="E404" s="185" t="s">
        <v>678</v>
      </c>
    </row>
    <row r="405" spans="1:18" x14ac:dyDescent="0.15">
      <c r="B405" s="203" t="s">
        <v>428</v>
      </c>
      <c r="C405" s="203"/>
      <c r="D405" s="203"/>
      <c r="E405" s="185" t="s">
        <v>485</v>
      </c>
    </row>
    <row r="406" spans="1:18" x14ac:dyDescent="0.15">
      <c r="B406" s="203" t="s">
        <v>454</v>
      </c>
      <c r="C406" s="203"/>
      <c r="D406" s="203"/>
      <c r="E406" s="185" t="s">
        <v>486</v>
      </c>
    </row>
    <row r="409" spans="1:18" x14ac:dyDescent="0.15">
      <c r="B409" s="202"/>
      <c r="C409" s="202"/>
      <c r="D409" s="202"/>
    </row>
    <row r="413" spans="1:18" x14ac:dyDescent="0.15">
      <c r="A413" s="208" t="s">
        <v>487</v>
      </c>
      <c r="B413" s="209" t="s">
        <v>488</v>
      </c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</row>
  </sheetData>
  <sheetProtection formatCells="0" formatColumns="0" formatRows="0"/>
  <mergeCells count="7">
    <mergeCell ref="X11:X14"/>
    <mergeCell ref="A380:B380"/>
    <mergeCell ref="A2:U2"/>
    <mergeCell ref="V11:V14"/>
    <mergeCell ref="A1:T1"/>
    <mergeCell ref="U11:U14"/>
    <mergeCell ref="W11:W14"/>
  </mergeCells>
  <phoneticPr fontId="30" type="noConversion"/>
  <printOptions headings="1"/>
  <pageMargins left="0.39370078740157483" right="0.19685039370078741" top="0.31496062992125984" bottom="0.39370078740157483" header="0.15748031496062992" footer="0.15748031496062992"/>
  <pageSetup paperSize="9" scale="66" orientation="landscape"/>
  <headerFooter alignWithMargins="0">
    <oddHeader>&amp;Rจ.น.02.1-51</oddHeader>
  </headerFooter>
  <rowBreaks count="1" manualBreakCount="1">
    <brk id="382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A3E42-FE25-E548-B17C-AB6661E343B4}">
  <sheetPr codeName="Sheet12">
    <tabColor indexed="34"/>
  </sheetPr>
  <dimension ref="A1:T41"/>
  <sheetViews>
    <sheetView zoomScaleNormal="50" workbookViewId="0">
      <selection activeCell="D9" sqref="D9"/>
    </sheetView>
  </sheetViews>
  <sheetFormatPr baseColWidth="10" defaultColWidth="9.1640625" defaultRowHeight="13" x14ac:dyDescent="0.15"/>
  <cols>
    <col min="1" max="1" width="5.5" style="177" customWidth="1"/>
    <col min="2" max="2" width="20.33203125" style="177" customWidth="1"/>
    <col min="3" max="3" width="13.1640625" style="177" customWidth="1"/>
    <col min="4" max="5" width="10.33203125" style="177" customWidth="1"/>
    <col min="6" max="6" width="11.33203125" style="177" bestFit="1" customWidth="1"/>
    <col min="7" max="7" width="9" style="177" customWidth="1"/>
    <col min="8" max="8" width="8.33203125" style="177" customWidth="1"/>
    <col min="9" max="9" width="10.5" style="177" customWidth="1"/>
    <col min="10" max="10" width="8.83203125" style="177" customWidth="1"/>
    <col min="11" max="11" width="7.5" style="177" customWidth="1"/>
    <col min="12" max="12" width="9.5" style="177" customWidth="1"/>
    <col min="13" max="13" width="7.1640625" style="177" customWidth="1"/>
    <col min="14" max="14" width="7.33203125" style="177" customWidth="1"/>
    <col min="15" max="15" width="6.33203125" style="177" customWidth="1"/>
    <col min="16" max="16" width="6.6640625" style="177" customWidth="1"/>
    <col min="17" max="18" width="7" style="177" customWidth="1"/>
    <col min="19" max="19" width="8.5" style="177" customWidth="1"/>
    <col min="20" max="20" width="9.6640625" style="177" customWidth="1"/>
    <col min="21" max="16384" width="9.1640625" style="177"/>
  </cols>
  <sheetData>
    <row r="1" spans="1:20" ht="24" x14ac:dyDescent="0.4">
      <c r="A1" s="656" t="str">
        <f>fill_data!J1&amp;fill_data!K1&amp;" "&amp;fill_data!A4&amp;fill_data!C4&amp;" "&amp;fill_data!H1&amp;fill_data!I1</f>
        <v>โครงการส่งน้ำและบำรุงรักษามูลบน จังหวัดนครราชสีมา สำนักชลประทานที่ 8</v>
      </c>
      <c r="B1" s="657"/>
      <c r="C1" s="657"/>
      <c r="D1" s="657"/>
      <c r="E1" s="657"/>
      <c r="F1" s="657"/>
      <c r="G1" s="657"/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</row>
    <row r="2" spans="1:20" ht="24" x14ac:dyDescent="0.4">
      <c r="A2" s="656" t="s">
        <v>399</v>
      </c>
      <c r="B2" s="657"/>
      <c r="C2" s="657"/>
      <c r="D2" s="657"/>
      <c r="E2" s="657"/>
      <c r="F2" s="657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</row>
    <row r="4" spans="1:20" ht="9" customHeight="1" x14ac:dyDescent="0.15"/>
    <row r="5" spans="1:20" ht="24" x14ac:dyDescent="0.4">
      <c r="A5" s="611" t="s">
        <v>400</v>
      </c>
      <c r="B5" s="611"/>
      <c r="C5" s="612"/>
      <c r="D5" s="612"/>
      <c r="E5" s="613"/>
      <c r="F5" s="658" t="s">
        <v>401</v>
      </c>
      <c r="G5" s="659"/>
      <c r="H5" s="659"/>
      <c r="I5" s="659"/>
      <c r="J5" s="659"/>
      <c r="K5" s="660"/>
      <c r="L5" s="661" t="str">
        <f>"พื้นที่คาดการณ์ฤดูแล้ง ปี"&amp;" "&amp; Conclusion!K1&amp;Conclusion!L1&amp;" "&amp;" ไร่"</f>
        <v>พื้นที่คาดการณ์ฤดูแล้ง ปี 2566/ 2567  ไร่</v>
      </c>
      <c r="M5" s="659"/>
      <c r="N5" s="659"/>
      <c r="O5" s="659"/>
      <c r="P5" s="659"/>
      <c r="Q5" s="659"/>
      <c r="R5" s="659"/>
      <c r="S5" s="659"/>
      <c r="T5" s="660"/>
    </row>
    <row r="6" spans="1:20" ht="24" x14ac:dyDescent="0.4">
      <c r="A6" s="614" t="s">
        <v>402</v>
      </c>
      <c r="B6" s="614" t="s">
        <v>403</v>
      </c>
      <c r="C6" s="614" t="s">
        <v>404</v>
      </c>
      <c r="D6" s="615" t="s">
        <v>396</v>
      </c>
      <c r="E6" s="616" t="s">
        <v>396</v>
      </c>
      <c r="F6" s="617" t="s">
        <v>405</v>
      </c>
      <c r="G6" s="617" t="s">
        <v>406</v>
      </c>
      <c r="H6" s="617" t="s">
        <v>407</v>
      </c>
      <c r="I6" s="617" t="s">
        <v>408</v>
      </c>
      <c r="J6" s="617" t="s">
        <v>409</v>
      </c>
      <c r="K6" s="618" t="s">
        <v>410</v>
      </c>
      <c r="L6" s="617" t="s">
        <v>387</v>
      </c>
      <c r="M6" s="618" t="s">
        <v>388</v>
      </c>
      <c r="N6" s="618" t="s">
        <v>411</v>
      </c>
      <c r="O6" s="618" t="s">
        <v>177</v>
      </c>
      <c r="P6" s="618" t="s">
        <v>391</v>
      </c>
      <c r="Q6" s="618" t="s">
        <v>412</v>
      </c>
      <c r="R6" s="618" t="s">
        <v>413</v>
      </c>
      <c r="S6" s="618" t="s">
        <v>414</v>
      </c>
      <c r="T6" s="618" t="s">
        <v>415</v>
      </c>
    </row>
    <row r="7" spans="1:20" ht="24" x14ac:dyDescent="0.4">
      <c r="A7" s="619"/>
      <c r="B7" s="619"/>
      <c r="C7" s="619"/>
      <c r="D7" s="620" t="s">
        <v>416</v>
      </c>
      <c r="E7" s="620" t="s">
        <v>417</v>
      </c>
      <c r="F7" s="621"/>
      <c r="G7" s="620" t="s">
        <v>418</v>
      </c>
      <c r="H7" s="620" t="s">
        <v>419</v>
      </c>
      <c r="I7" s="620" t="s">
        <v>420</v>
      </c>
      <c r="J7" s="620" t="s">
        <v>421</v>
      </c>
      <c r="K7" s="621"/>
      <c r="L7" s="621"/>
      <c r="M7" s="621"/>
      <c r="N7" s="621"/>
      <c r="O7" s="621"/>
      <c r="P7" s="620" t="s">
        <v>422</v>
      </c>
      <c r="Q7" s="621"/>
      <c r="R7" s="621"/>
      <c r="S7" s="621"/>
      <c r="T7" s="621"/>
    </row>
    <row r="8" spans="1:20" ht="24" x14ac:dyDescent="0.4">
      <c r="A8" s="622"/>
      <c r="B8" s="617" t="s">
        <v>352</v>
      </c>
      <c r="C8" s="617" t="s">
        <v>353</v>
      </c>
      <c r="D8" s="617" t="s">
        <v>354</v>
      </c>
      <c r="E8" s="617" t="s">
        <v>355</v>
      </c>
      <c r="F8" s="617" t="s">
        <v>356</v>
      </c>
      <c r="G8" s="617" t="s">
        <v>357</v>
      </c>
      <c r="H8" s="617" t="s">
        <v>423</v>
      </c>
      <c r="I8" s="617" t="s">
        <v>358</v>
      </c>
      <c r="J8" s="617" t="s">
        <v>359</v>
      </c>
      <c r="K8" s="617" t="s">
        <v>360</v>
      </c>
      <c r="L8" s="617" t="s">
        <v>361</v>
      </c>
      <c r="M8" s="617" t="s">
        <v>424</v>
      </c>
      <c r="N8" s="617" t="s">
        <v>363</v>
      </c>
      <c r="O8" s="617" t="s">
        <v>364</v>
      </c>
      <c r="P8" s="617" t="s">
        <v>365</v>
      </c>
      <c r="Q8" s="617" t="s">
        <v>425</v>
      </c>
      <c r="R8" s="617" t="s">
        <v>426</v>
      </c>
      <c r="S8" s="617" t="s">
        <v>427</v>
      </c>
      <c r="T8" s="617" t="s">
        <v>428</v>
      </c>
    </row>
    <row r="9" spans="1:20" ht="24" x14ac:dyDescent="0.4">
      <c r="A9" s="623">
        <v>1</v>
      </c>
      <c r="B9" s="623" t="str">
        <f>fill_data!A1&amp;fill_data!D1</f>
        <v>อ่างเก็บน้ำมูลบน</v>
      </c>
      <c r="C9" s="623" t="str">
        <f>fill_data!C3</f>
        <v>ครบุรี</v>
      </c>
      <c r="D9" s="626">
        <v>57390</v>
      </c>
      <c r="E9" s="624">
        <f>fill_data!R15</f>
        <v>45798</v>
      </c>
      <c r="F9" s="626">
        <v>0</v>
      </c>
      <c r="G9" s="626">
        <v>0</v>
      </c>
      <c r="H9" s="626">
        <v>0</v>
      </c>
      <c r="I9" s="626">
        <v>0</v>
      </c>
      <c r="J9" s="626">
        <v>0</v>
      </c>
      <c r="K9" s="626">
        <v>0</v>
      </c>
      <c r="L9" s="624"/>
      <c r="M9" s="624"/>
      <c r="N9" s="624"/>
      <c r="O9" s="624"/>
      <c r="P9" s="624"/>
      <c r="Q9" s="624"/>
      <c r="R9" s="624"/>
      <c r="S9" s="624"/>
      <c r="T9" s="624"/>
    </row>
    <row r="10" spans="1:20" ht="24" x14ac:dyDescent="0.4">
      <c r="A10" s="623"/>
      <c r="B10" s="623" t="s">
        <v>429</v>
      </c>
      <c r="C10" s="623"/>
      <c r="D10" s="623"/>
      <c r="E10" s="623"/>
      <c r="F10" s="623"/>
      <c r="G10" s="623"/>
      <c r="H10" s="623"/>
      <c r="I10" s="623"/>
      <c r="J10" s="623"/>
      <c r="K10" s="623"/>
      <c r="L10" s="626">
        <f>fill_data!D12</f>
        <v>45731</v>
      </c>
      <c r="M10" s="626">
        <f>fill_data!D34</f>
        <v>67</v>
      </c>
      <c r="N10" s="626">
        <v>0</v>
      </c>
      <c r="O10" s="626">
        <v>0</v>
      </c>
      <c r="P10" s="626">
        <v>0</v>
      </c>
      <c r="Q10" s="626">
        <v>0</v>
      </c>
      <c r="R10" s="626">
        <v>0</v>
      </c>
      <c r="S10" s="626">
        <v>0</v>
      </c>
      <c r="T10" s="624">
        <f>SUM(L10:S10)</f>
        <v>45798</v>
      </c>
    </row>
    <row r="11" spans="1:20" ht="24" x14ac:dyDescent="0.4">
      <c r="A11" s="623"/>
      <c r="B11" s="623" t="s">
        <v>430</v>
      </c>
      <c r="C11" s="623"/>
      <c r="D11" s="623"/>
      <c r="E11" s="623"/>
      <c r="F11" s="623"/>
      <c r="G11" s="623"/>
      <c r="H11" s="623"/>
      <c r="I11" s="623"/>
      <c r="J11" s="623"/>
      <c r="K11" s="623"/>
      <c r="L11" s="626">
        <f>fill_data!K12</f>
        <v>0</v>
      </c>
      <c r="M11" s="626">
        <f>fill_data!K34</f>
        <v>0</v>
      </c>
      <c r="N11" s="626">
        <v>0</v>
      </c>
      <c r="O11" s="626">
        <v>0</v>
      </c>
      <c r="P11" s="626">
        <v>0</v>
      </c>
      <c r="Q11" s="626">
        <v>0</v>
      </c>
      <c r="R11" s="626">
        <v>0</v>
      </c>
      <c r="S11" s="626">
        <v>0</v>
      </c>
      <c r="T11" s="624">
        <f>SUM(L11:S11)</f>
        <v>0</v>
      </c>
    </row>
    <row r="12" spans="1:20" ht="24" x14ac:dyDescent="0.4">
      <c r="A12" s="623"/>
      <c r="B12" s="623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  <c r="O12" s="623"/>
      <c r="P12" s="623"/>
      <c r="Q12" s="623"/>
      <c r="R12" s="623"/>
      <c r="S12" s="623"/>
      <c r="T12" s="623"/>
    </row>
    <row r="13" spans="1:20" ht="24" x14ac:dyDescent="0.4">
      <c r="A13" s="623"/>
      <c r="B13" s="623"/>
      <c r="C13" s="623"/>
      <c r="D13" s="623"/>
      <c r="E13" s="623"/>
      <c r="F13" s="623"/>
      <c r="G13" s="623"/>
      <c r="H13" s="623"/>
      <c r="I13" s="623"/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</row>
    <row r="14" spans="1:20" ht="24" x14ac:dyDescent="0.4">
      <c r="A14" s="623"/>
      <c r="B14" s="623"/>
      <c r="C14" s="623"/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</row>
    <row r="15" spans="1:20" ht="24" x14ac:dyDescent="0.4">
      <c r="A15" s="623"/>
      <c r="B15" s="623"/>
      <c r="C15" s="623"/>
      <c r="D15" s="623"/>
      <c r="E15" s="623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</row>
    <row r="16" spans="1:20" ht="24" x14ac:dyDescent="0.4">
      <c r="A16" s="623"/>
      <c r="B16" s="623"/>
      <c r="C16" s="623"/>
      <c r="D16" s="623"/>
      <c r="E16" s="623"/>
      <c r="F16" s="623"/>
      <c r="G16" s="623"/>
      <c r="H16" s="623"/>
      <c r="I16" s="623"/>
      <c r="J16" s="623"/>
      <c r="K16" s="623"/>
      <c r="L16" s="623"/>
      <c r="M16" s="623"/>
      <c r="N16" s="623"/>
      <c r="O16" s="623"/>
      <c r="P16" s="623"/>
      <c r="Q16" s="623"/>
      <c r="R16" s="623"/>
      <c r="S16" s="623"/>
      <c r="T16" s="623"/>
    </row>
    <row r="17" spans="1:20" ht="24" x14ac:dyDescent="0.4">
      <c r="A17" s="623"/>
      <c r="B17" s="623"/>
      <c r="C17" s="623"/>
      <c r="D17" s="623"/>
      <c r="E17" s="623"/>
      <c r="F17" s="623"/>
      <c r="G17" s="623"/>
      <c r="H17" s="623"/>
      <c r="I17" s="623"/>
      <c r="J17" s="623"/>
      <c r="K17" s="623"/>
      <c r="L17" s="623"/>
      <c r="M17" s="623"/>
      <c r="N17" s="623"/>
      <c r="O17" s="623"/>
      <c r="P17" s="623"/>
      <c r="Q17" s="623"/>
      <c r="R17" s="623"/>
      <c r="S17" s="623"/>
      <c r="T17" s="623"/>
    </row>
    <row r="18" spans="1:20" ht="24" x14ac:dyDescent="0.4">
      <c r="A18" s="623"/>
      <c r="B18" s="623"/>
      <c r="C18" s="623"/>
      <c r="D18" s="623"/>
      <c r="E18" s="623"/>
      <c r="F18" s="623"/>
      <c r="G18" s="623"/>
      <c r="H18" s="623"/>
      <c r="I18" s="623"/>
      <c r="J18" s="623"/>
      <c r="K18" s="623"/>
      <c r="L18" s="623"/>
      <c r="M18" s="623"/>
      <c r="N18" s="623"/>
      <c r="O18" s="623"/>
      <c r="P18" s="623"/>
      <c r="Q18" s="623"/>
      <c r="R18" s="623"/>
      <c r="S18" s="623"/>
      <c r="T18" s="623"/>
    </row>
    <row r="19" spans="1:20" ht="24" x14ac:dyDescent="0.4">
      <c r="A19" s="623"/>
      <c r="B19" s="623"/>
      <c r="C19" s="623"/>
      <c r="D19" s="623"/>
      <c r="E19" s="623"/>
      <c r="F19" s="623"/>
      <c r="G19" s="623"/>
      <c r="H19" s="623"/>
      <c r="I19" s="623"/>
      <c r="J19" s="623"/>
      <c r="K19" s="623"/>
      <c r="L19" s="623"/>
      <c r="M19" s="623"/>
      <c r="N19" s="623"/>
      <c r="O19" s="623"/>
      <c r="P19" s="623"/>
      <c r="Q19" s="623"/>
      <c r="R19" s="623"/>
      <c r="S19" s="623"/>
      <c r="T19" s="623"/>
    </row>
    <row r="20" spans="1:20" ht="24" x14ac:dyDescent="0.4">
      <c r="A20" s="623"/>
      <c r="B20" s="623"/>
      <c r="C20" s="623"/>
      <c r="D20" s="623"/>
      <c r="E20" s="623"/>
      <c r="F20" s="623"/>
      <c r="G20" s="623"/>
      <c r="H20" s="623"/>
      <c r="I20" s="623"/>
      <c r="J20" s="623"/>
      <c r="K20" s="623"/>
      <c r="L20" s="623"/>
      <c r="M20" s="623"/>
      <c r="N20" s="623"/>
      <c r="O20" s="623"/>
      <c r="P20" s="623"/>
      <c r="Q20" s="623"/>
      <c r="R20" s="623"/>
      <c r="S20" s="623"/>
      <c r="T20" s="623"/>
    </row>
    <row r="21" spans="1:20" ht="24" x14ac:dyDescent="0.4">
      <c r="A21" s="623"/>
      <c r="B21" s="623"/>
      <c r="C21" s="623"/>
      <c r="D21" s="623"/>
      <c r="E21" s="623"/>
      <c r="F21" s="623"/>
      <c r="G21" s="623"/>
      <c r="H21" s="623"/>
      <c r="I21" s="623"/>
      <c r="J21" s="623"/>
      <c r="K21" s="623"/>
      <c r="L21" s="623"/>
      <c r="M21" s="623"/>
      <c r="N21" s="623"/>
      <c r="O21" s="623"/>
      <c r="P21" s="623"/>
      <c r="Q21" s="623"/>
      <c r="R21" s="623"/>
      <c r="S21" s="623"/>
      <c r="T21" s="623"/>
    </row>
    <row r="22" spans="1:20" ht="24" x14ac:dyDescent="0.4">
      <c r="A22" s="623"/>
      <c r="B22" s="623"/>
      <c r="C22" s="623"/>
      <c r="D22" s="623"/>
      <c r="E22" s="623"/>
      <c r="F22" s="623"/>
      <c r="G22" s="623"/>
      <c r="H22" s="623"/>
      <c r="I22" s="623"/>
      <c r="J22" s="623"/>
      <c r="K22" s="623"/>
      <c r="L22" s="623"/>
      <c r="M22" s="623"/>
      <c r="N22" s="623"/>
      <c r="O22" s="623"/>
      <c r="P22" s="623"/>
      <c r="Q22" s="623"/>
      <c r="R22" s="623"/>
      <c r="S22" s="623"/>
      <c r="T22" s="623"/>
    </row>
    <row r="23" spans="1:20" ht="24" x14ac:dyDescent="0.4">
      <c r="A23" s="623"/>
      <c r="B23" s="623"/>
      <c r="C23" s="623"/>
      <c r="D23" s="623"/>
      <c r="E23" s="623"/>
      <c r="F23" s="623"/>
      <c r="G23" s="623"/>
      <c r="H23" s="623"/>
      <c r="I23" s="623"/>
      <c r="J23" s="623"/>
      <c r="K23" s="623"/>
      <c r="L23" s="623"/>
      <c r="M23" s="623"/>
      <c r="N23" s="623"/>
      <c r="O23" s="623"/>
      <c r="P23" s="623"/>
      <c r="Q23" s="623"/>
      <c r="R23" s="623"/>
      <c r="S23" s="623"/>
      <c r="T23" s="623"/>
    </row>
    <row r="24" spans="1:20" ht="24" x14ac:dyDescent="0.4">
      <c r="A24" s="623"/>
      <c r="B24" s="623"/>
      <c r="C24" s="623"/>
      <c r="D24" s="623"/>
      <c r="E24" s="623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23"/>
      <c r="R24" s="623"/>
      <c r="S24" s="623"/>
      <c r="T24" s="623"/>
    </row>
    <row r="25" spans="1:20" ht="24" x14ac:dyDescent="0.4">
      <c r="A25" s="623"/>
      <c r="B25" s="623"/>
      <c r="C25" s="623"/>
      <c r="D25" s="623"/>
      <c r="E25" s="623"/>
      <c r="F25" s="623"/>
      <c r="G25" s="623"/>
      <c r="H25" s="623"/>
      <c r="I25" s="623"/>
      <c r="J25" s="623"/>
      <c r="K25" s="623"/>
      <c r="L25" s="623"/>
      <c r="M25" s="623"/>
      <c r="N25" s="623"/>
      <c r="O25" s="623"/>
      <c r="P25" s="623"/>
      <c r="Q25" s="623"/>
      <c r="R25" s="623"/>
      <c r="S25" s="623"/>
      <c r="T25" s="623"/>
    </row>
    <row r="26" spans="1:20" ht="24" x14ac:dyDescent="0.4">
      <c r="A26" s="623"/>
      <c r="B26" s="623"/>
      <c r="C26" s="623"/>
      <c r="D26" s="623"/>
      <c r="E26" s="623"/>
      <c r="F26" s="623"/>
      <c r="G26" s="623"/>
      <c r="H26" s="623"/>
      <c r="I26" s="623"/>
      <c r="J26" s="623"/>
      <c r="K26" s="623"/>
      <c r="L26" s="623"/>
      <c r="M26" s="623"/>
      <c r="N26" s="623"/>
      <c r="O26" s="623"/>
      <c r="P26" s="623"/>
      <c r="Q26" s="623"/>
      <c r="R26" s="623"/>
      <c r="S26" s="623"/>
      <c r="T26" s="623"/>
    </row>
    <row r="27" spans="1:20" ht="24" x14ac:dyDescent="0.4">
      <c r="A27" s="623"/>
      <c r="B27" s="623"/>
      <c r="C27" s="623"/>
      <c r="D27" s="623"/>
      <c r="E27" s="623"/>
      <c r="F27" s="623"/>
      <c r="G27" s="623"/>
      <c r="H27" s="623"/>
      <c r="I27" s="623"/>
      <c r="J27" s="623"/>
      <c r="K27" s="623"/>
      <c r="L27" s="623"/>
      <c r="M27" s="623"/>
      <c r="N27" s="623"/>
      <c r="O27" s="623"/>
      <c r="P27" s="623"/>
      <c r="Q27" s="623"/>
      <c r="R27" s="623"/>
      <c r="S27" s="623"/>
      <c r="T27" s="623"/>
    </row>
    <row r="28" spans="1:20" ht="24" x14ac:dyDescent="0.4">
      <c r="A28" s="623"/>
      <c r="B28" s="623"/>
      <c r="C28" s="623"/>
      <c r="D28" s="623"/>
      <c r="E28" s="623"/>
      <c r="F28" s="623"/>
      <c r="G28" s="623"/>
      <c r="H28" s="623"/>
      <c r="I28" s="623"/>
      <c r="J28" s="623"/>
      <c r="K28" s="623"/>
      <c r="L28" s="623"/>
      <c r="M28" s="623"/>
      <c r="N28" s="623"/>
      <c r="O28" s="623"/>
      <c r="P28" s="623"/>
      <c r="Q28" s="623"/>
      <c r="R28" s="623"/>
      <c r="S28" s="623"/>
      <c r="T28" s="623"/>
    </row>
    <row r="29" spans="1:20" ht="24" x14ac:dyDescent="0.4">
      <c r="A29" s="623"/>
      <c r="B29" s="623"/>
      <c r="C29" s="623"/>
      <c r="D29" s="623"/>
      <c r="E29" s="623"/>
      <c r="F29" s="623"/>
      <c r="G29" s="623"/>
      <c r="H29" s="623"/>
      <c r="I29" s="623"/>
      <c r="J29" s="623"/>
      <c r="K29" s="623"/>
      <c r="L29" s="623"/>
      <c r="M29" s="623"/>
      <c r="N29" s="623"/>
      <c r="O29" s="623"/>
      <c r="P29" s="623"/>
      <c r="Q29" s="623"/>
      <c r="R29" s="623"/>
      <c r="S29" s="623"/>
      <c r="T29" s="623"/>
    </row>
    <row r="30" spans="1:20" ht="24" x14ac:dyDescent="0.4">
      <c r="A30" s="623"/>
      <c r="B30" s="623"/>
      <c r="C30" s="623"/>
      <c r="D30" s="623"/>
      <c r="E30" s="623"/>
      <c r="F30" s="623"/>
      <c r="G30" s="623"/>
      <c r="H30" s="623"/>
      <c r="I30" s="623"/>
      <c r="J30" s="623"/>
      <c r="K30" s="623"/>
      <c r="L30" s="623"/>
      <c r="M30" s="623"/>
      <c r="N30" s="623"/>
      <c r="O30" s="623"/>
      <c r="P30" s="623"/>
      <c r="Q30" s="623"/>
      <c r="R30" s="623"/>
      <c r="S30" s="623"/>
      <c r="T30" s="623"/>
    </row>
    <row r="31" spans="1:20" ht="24" x14ac:dyDescent="0.4">
      <c r="A31" s="623"/>
      <c r="B31" s="623"/>
      <c r="C31" s="623"/>
      <c r="D31" s="623"/>
      <c r="E31" s="623"/>
      <c r="F31" s="623"/>
      <c r="G31" s="623"/>
      <c r="H31" s="623"/>
      <c r="I31" s="623"/>
      <c r="J31" s="623"/>
      <c r="K31" s="623"/>
      <c r="L31" s="623"/>
      <c r="M31" s="623"/>
      <c r="N31" s="623"/>
      <c r="O31" s="623"/>
      <c r="P31" s="623"/>
      <c r="Q31" s="623"/>
      <c r="R31" s="623"/>
      <c r="S31" s="623"/>
      <c r="T31" s="623"/>
    </row>
    <row r="32" spans="1:20" ht="24" x14ac:dyDescent="0.4">
      <c r="A32" s="623"/>
      <c r="B32" s="623"/>
      <c r="C32" s="623"/>
      <c r="D32" s="623"/>
      <c r="E32" s="623"/>
      <c r="F32" s="623"/>
      <c r="G32" s="623"/>
      <c r="H32" s="623"/>
      <c r="I32" s="623"/>
      <c r="J32" s="623"/>
      <c r="K32" s="623"/>
      <c r="L32" s="623"/>
      <c r="M32" s="623"/>
      <c r="N32" s="623"/>
      <c r="O32" s="623"/>
      <c r="P32" s="623"/>
      <c r="Q32" s="623"/>
      <c r="R32" s="623"/>
      <c r="S32" s="623"/>
      <c r="T32" s="623"/>
    </row>
    <row r="33" spans="1:20" ht="24" x14ac:dyDescent="0.4">
      <c r="A33" s="623"/>
      <c r="B33" s="623"/>
      <c r="C33" s="623"/>
      <c r="D33" s="623"/>
      <c r="E33" s="623"/>
      <c r="F33" s="623"/>
      <c r="G33" s="623"/>
      <c r="H33" s="623"/>
      <c r="I33" s="623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</row>
    <row r="34" spans="1:20" ht="24" x14ac:dyDescent="0.4">
      <c r="A34" s="623"/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</row>
    <row r="35" spans="1:20" ht="24" x14ac:dyDescent="0.4">
      <c r="A35" s="623"/>
      <c r="B35" s="623"/>
      <c r="C35" s="623"/>
      <c r="D35" s="623"/>
      <c r="E35" s="623"/>
      <c r="F35" s="623"/>
      <c r="G35" s="623"/>
      <c r="H35" s="623"/>
      <c r="I35" s="623"/>
      <c r="J35" s="623"/>
      <c r="K35" s="623"/>
      <c r="L35" s="623"/>
      <c r="M35" s="623"/>
      <c r="N35" s="623"/>
      <c r="O35" s="623"/>
      <c r="P35" s="623"/>
      <c r="Q35" s="623"/>
      <c r="R35" s="623"/>
      <c r="S35" s="623"/>
      <c r="T35" s="623"/>
    </row>
    <row r="36" spans="1:20" ht="24" x14ac:dyDescent="0.4">
      <c r="A36" s="621"/>
      <c r="B36" s="621"/>
      <c r="C36" s="621"/>
      <c r="D36" s="621"/>
      <c r="E36" s="621"/>
      <c r="F36" s="621"/>
      <c r="G36" s="621"/>
      <c r="H36" s="621"/>
      <c r="I36" s="621"/>
      <c r="J36" s="621"/>
      <c r="K36" s="621"/>
      <c r="L36" s="621"/>
      <c r="M36" s="621"/>
      <c r="N36" s="621"/>
      <c r="O36" s="621"/>
      <c r="P36" s="621"/>
      <c r="Q36" s="621"/>
      <c r="R36" s="621"/>
      <c r="S36" s="621"/>
      <c r="T36" s="621"/>
    </row>
    <row r="37" spans="1:20" ht="24" x14ac:dyDescent="0.4">
      <c r="A37" s="625"/>
      <c r="B37" s="625" t="s">
        <v>431</v>
      </c>
      <c r="C37" s="625"/>
      <c r="D37" s="625"/>
      <c r="E37" s="625"/>
      <c r="F37" s="625"/>
      <c r="G37" s="625"/>
      <c r="H37" s="625"/>
      <c r="I37" s="625"/>
      <c r="J37" s="625"/>
      <c r="K37" s="625"/>
      <c r="L37" s="625"/>
      <c r="M37" s="625"/>
      <c r="N37" s="625"/>
      <c r="O37" s="625"/>
      <c r="P37" s="625"/>
      <c r="Q37" s="625"/>
      <c r="R37" s="625"/>
      <c r="S37" s="625"/>
      <c r="T37" s="625"/>
    </row>
    <row r="38" spans="1:20" ht="24" x14ac:dyDescent="0.4">
      <c r="A38" s="625"/>
      <c r="B38" s="625" t="s">
        <v>432</v>
      </c>
      <c r="C38" s="625"/>
      <c r="D38" s="625"/>
      <c r="E38" s="625"/>
      <c r="F38" s="625"/>
      <c r="G38" s="625"/>
      <c r="H38" s="625"/>
      <c r="I38" s="625"/>
      <c r="J38" s="625"/>
      <c r="K38" s="625"/>
      <c r="L38" s="625"/>
      <c r="M38" s="625"/>
      <c r="N38" s="625"/>
      <c r="O38" s="625"/>
      <c r="P38" s="625"/>
      <c r="Q38" s="625"/>
      <c r="R38" s="625"/>
      <c r="S38" s="625"/>
      <c r="T38" s="625"/>
    </row>
    <row r="39" spans="1:20" ht="24" x14ac:dyDescent="0.4">
      <c r="A39" s="625"/>
      <c r="B39" s="625" t="s">
        <v>433</v>
      </c>
      <c r="C39" s="625"/>
      <c r="D39" s="625"/>
      <c r="E39" s="625"/>
      <c r="F39" s="625"/>
      <c r="G39" s="625"/>
      <c r="H39" s="625"/>
      <c r="I39" s="625"/>
      <c r="J39" s="625"/>
      <c r="K39" s="625"/>
      <c r="L39" s="625"/>
      <c r="M39" s="625"/>
      <c r="N39" s="625"/>
      <c r="O39" s="625"/>
      <c r="P39" s="625"/>
      <c r="Q39" s="625"/>
      <c r="R39" s="625"/>
      <c r="S39" s="625"/>
      <c r="T39" s="625"/>
    </row>
    <row r="40" spans="1:20" ht="24" x14ac:dyDescent="0.4">
      <c r="A40" s="625"/>
      <c r="B40" s="625" t="s">
        <v>434</v>
      </c>
      <c r="C40" s="625"/>
      <c r="D40" s="625"/>
      <c r="E40" s="625"/>
      <c r="F40" s="625"/>
      <c r="G40" s="625"/>
      <c r="H40" s="625"/>
      <c r="I40" s="625"/>
      <c r="J40" s="625"/>
      <c r="K40" s="625"/>
      <c r="L40" s="625"/>
      <c r="M40" s="625"/>
      <c r="N40" s="625"/>
      <c r="O40" s="625"/>
      <c r="P40" s="625"/>
      <c r="Q40" s="625"/>
      <c r="R40" s="625"/>
      <c r="S40" s="625"/>
      <c r="T40" s="625"/>
    </row>
    <row r="41" spans="1:20" ht="24" x14ac:dyDescent="0.4">
      <c r="A41" s="625"/>
      <c r="B41" s="625" t="s">
        <v>435</v>
      </c>
      <c r="C41" s="625"/>
      <c r="D41" s="625"/>
      <c r="E41" s="625"/>
      <c r="F41" s="625"/>
      <c r="G41" s="625"/>
      <c r="H41" s="625"/>
      <c r="I41" s="625"/>
      <c r="J41" s="625"/>
      <c r="K41" s="625"/>
      <c r="L41" s="625"/>
      <c r="M41" s="625"/>
      <c r="N41" s="625"/>
      <c r="O41" s="625"/>
      <c r="P41" s="625"/>
      <c r="Q41" s="625"/>
      <c r="R41" s="625"/>
      <c r="S41" s="625"/>
      <c r="T41" s="625"/>
    </row>
  </sheetData>
  <mergeCells count="4">
    <mergeCell ref="A1:T1"/>
    <mergeCell ref="A2:T2"/>
    <mergeCell ref="F5:K5"/>
    <mergeCell ref="L5:T5"/>
  </mergeCells>
  <phoneticPr fontId="30" type="noConversion"/>
  <pageMargins left="0.16" right="0.57999999999999996" top="1" bottom="1" header="0.5" footer="0.5"/>
  <pageSetup paperSize="9" scale="75" orientation="landscape"/>
  <headerFooter alignWithMargins="0">
    <oddHeader>&amp;Rจ.น.01.2-51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414F-DADC-8148-8656-9F4C39D99322}">
  <sheetPr codeName="Sheet23">
    <tabColor rgb="FF00B0F0"/>
  </sheetPr>
  <dimension ref="A1:R29"/>
  <sheetViews>
    <sheetView showGridLines="0" topLeftCell="A4" zoomScaleNormal="100" workbookViewId="0">
      <selection activeCell="B7" sqref="B7:C7"/>
    </sheetView>
  </sheetViews>
  <sheetFormatPr baseColWidth="10" defaultColWidth="9.1640625" defaultRowHeight="15" x14ac:dyDescent="0.25"/>
  <cols>
    <col min="1" max="1" width="9.5" style="569" customWidth="1"/>
    <col min="2" max="2" width="12" style="569" customWidth="1"/>
    <col min="3" max="3" width="11.1640625" style="569" customWidth="1"/>
    <col min="4" max="4" width="13.5" style="569" customWidth="1"/>
    <col min="5" max="5" width="12.1640625" style="569" customWidth="1"/>
    <col min="6" max="6" width="12.33203125" style="569" customWidth="1"/>
    <col min="7" max="7" width="11.6640625" style="569" customWidth="1"/>
    <col min="8" max="8" width="12" style="569" customWidth="1"/>
    <col min="9" max="9" width="11.6640625" style="569" customWidth="1"/>
    <col min="10" max="10" width="11.5" style="569" customWidth="1"/>
    <col min="11" max="11" width="11.1640625" style="569" customWidth="1"/>
    <col min="12" max="12" width="11" style="569" customWidth="1"/>
    <col min="13" max="14" width="10.5" style="569" customWidth="1"/>
    <col min="15" max="15" width="10" style="569" customWidth="1"/>
    <col min="16" max="16" width="9.83203125" style="569" customWidth="1"/>
    <col min="17" max="17" width="12.83203125" style="569" customWidth="1"/>
    <col min="18" max="18" width="12.33203125" style="569" customWidth="1"/>
    <col min="19" max="16384" width="9.1640625" style="569"/>
  </cols>
  <sheetData>
    <row r="1" spans="1:18" ht="16" x14ac:dyDescent="0.3">
      <c r="A1" s="700" t="s">
        <v>697</v>
      </c>
      <c r="B1" s="700"/>
      <c r="C1" s="700"/>
      <c r="D1" s="700"/>
      <c r="E1" s="700"/>
      <c r="F1" s="700"/>
      <c r="G1" s="700"/>
      <c r="H1" s="700"/>
      <c r="I1" s="700"/>
      <c r="J1" s="700"/>
      <c r="K1" s="568">
        <f>fill_data!E2</f>
        <v>2566</v>
      </c>
      <c r="L1" s="568" t="str">
        <f>"/ "&amp;fill_data!$E$2+1</f>
        <v>/ 2567</v>
      </c>
      <c r="O1" s="568"/>
      <c r="P1" s="568"/>
      <c r="Q1" s="568"/>
      <c r="R1" s="568"/>
    </row>
    <row r="2" spans="1:18" ht="16" x14ac:dyDescent="0.25">
      <c r="A2" s="711" t="s">
        <v>696</v>
      </c>
      <c r="B2" s="711"/>
      <c r="C2" s="711"/>
      <c r="D2" s="711"/>
      <c r="E2" s="711"/>
      <c r="F2" s="711"/>
      <c r="G2" s="711"/>
      <c r="H2" s="711"/>
      <c r="I2" s="711"/>
      <c r="J2" s="711"/>
      <c r="K2" s="711"/>
      <c r="L2" s="711"/>
      <c r="M2" s="711"/>
      <c r="N2" s="711"/>
      <c r="O2" s="711"/>
      <c r="P2" s="711"/>
      <c r="Q2" s="711"/>
      <c r="R2" s="711"/>
    </row>
    <row r="3" spans="1:18" ht="16" x14ac:dyDescent="0.3">
      <c r="A3" s="570"/>
      <c r="B3" s="571"/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</row>
    <row r="4" spans="1:18" ht="16" x14ac:dyDescent="0.3">
      <c r="A4" s="570"/>
      <c r="B4" s="705" t="s">
        <v>707</v>
      </c>
      <c r="C4" s="706"/>
      <c r="D4" s="681" t="s">
        <v>108</v>
      </c>
      <c r="E4" s="681" t="s">
        <v>404</v>
      </c>
      <c r="F4" s="688" t="s">
        <v>708</v>
      </c>
      <c r="G4" s="688" t="s">
        <v>884</v>
      </c>
      <c r="H4" s="688" t="s">
        <v>885</v>
      </c>
      <c r="I4" s="701" t="s">
        <v>699</v>
      </c>
      <c r="J4" s="702"/>
      <c r="K4" s="719" t="s">
        <v>689</v>
      </c>
      <c r="L4" s="720"/>
      <c r="M4" s="688" t="s">
        <v>706</v>
      </c>
      <c r="N4" s="719" t="s">
        <v>703</v>
      </c>
      <c r="O4" s="720"/>
      <c r="P4" s="571"/>
      <c r="Q4" s="712" t="s">
        <v>715</v>
      </c>
      <c r="R4" s="713"/>
    </row>
    <row r="5" spans="1:18" ht="16" x14ac:dyDescent="0.3">
      <c r="A5" s="570"/>
      <c r="B5" s="707"/>
      <c r="C5" s="708"/>
      <c r="D5" s="685"/>
      <c r="E5" s="685"/>
      <c r="F5" s="689"/>
      <c r="G5" s="689"/>
      <c r="H5" s="689"/>
      <c r="I5" s="697" t="s">
        <v>693</v>
      </c>
      <c r="J5" s="686" t="s">
        <v>165</v>
      </c>
      <c r="K5" s="681" t="s">
        <v>704</v>
      </c>
      <c r="L5" s="679" t="s">
        <v>694</v>
      </c>
      <c r="M5" s="689"/>
      <c r="N5" s="681" t="s">
        <v>705</v>
      </c>
      <c r="O5" s="679" t="s">
        <v>694</v>
      </c>
      <c r="P5" s="571"/>
      <c r="Q5" s="714"/>
      <c r="R5" s="715"/>
    </row>
    <row r="6" spans="1:18" ht="16" x14ac:dyDescent="0.3">
      <c r="A6" s="570"/>
      <c r="B6" s="709"/>
      <c r="C6" s="710"/>
      <c r="D6" s="680"/>
      <c r="E6" s="680"/>
      <c r="F6" s="690"/>
      <c r="G6" s="690"/>
      <c r="H6" s="690"/>
      <c r="I6" s="698"/>
      <c r="J6" s="687"/>
      <c r="K6" s="680"/>
      <c r="L6" s="680"/>
      <c r="M6" s="690"/>
      <c r="N6" s="680"/>
      <c r="O6" s="680"/>
      <c r="P6" s="571"/>
      <c r="Q6" s="572" t="s">
        <v>701</v>
      </c>
      <c r="R6" s="572" t="s">
        <v>702</v>
      </c>
    </row>
    <row r="7" spans="1:18" ht="31.5" customHeight="1" x14ac:dyDescent="0.3">
      <c r="A7" s="570"/>
      <c r="B7" s="703" t="str">
        <f>fill_data!D1</f>
        <v>มูลบน</v>
      </c>
      <c r="C7" s="704"/>
      <c r="D7" s="573" t="str">
        <f>fill_data!C4</f>
        <v>นครราชสีมา</v>
      </c>
      <c r="E7" s="573" t="str">
        <f>fill_data!C3</f>
        <v>ครบุรี</v>
      </c>
      <c r="F7" s="574">
        <f>fill_data!R15</f>
        <v>45798</v>
      </c>
      <c r="G7" s="573">
        <f>fill_data!R13</f>
        <v>141</v>
      </c>
      <c r="H7" s="573">
        <f>fill_data!G2</f>
        <v>86.084000000000003</v>
      </c>
      <c r="I7" s="575">
        <f>299+fill_data!K11*7</f>
        <v>397</v>
      </c>
      <c r="J7" s="575">
        <f>299+(fill_data!K11+fill_data!K13+13-2)*7+6</f>
        <v>501</v>
      </c>
      <c r="K7" s="576">
        <f>ROS!D227</f>
        <v>73.050662588248073</v>
      </c>
      <c r="L7" s="577">
        <f>K7/G7</f>
        <v>0.51808980559041184</v>
      </c>
      <c r="M7" s="575">
        <f>299+fill_data!D11*7</f>
        <v>551</v>
      </c>
      <c r="N7" s="576">
        <f>ROS!D379</f>
        <v>95.00565656920358</v>
      </c>
      <c r="O7" s="577">
        <f>N7/G7</f>
        <v>0.67379898276030903</v>
      </c>
      <c r="P7" s="571"/>
      <c r="Q7" s="578" t="e">
        <f>IF(B13=0,0,(B13/(H13+I13+L13)*1000000))</f>
        <v>#DIV/0!</v>
      </c>
      <c r="R7" s="578">
        <f>IF(B19=0,0,(B19/(H19+I19+L19)*1000000))</f>
        <v>762.21356228953721</v>
      </c>
    </row>
    <row r="8" spans="1:18" ht="16" x14ac:dyDescent="0.3">
      <c r="A8" s="570"/>
      <c r="B8" s="571"/>
      <c r="C8" s="571"/>
      <c r="D8" s="571"/>
      <c r="E8" s="571"/>
      <c r="F8" s="579"/>
      <c r="G8" s="571"/>
      <c r="H8" s="571"/>
      <c r="I8" s="571"/>
      <c r="J8" s="571"/>
      <c r="K8" s="571"/>
      <c r="L8" s="571"/>
      <c r="M8" s="571"/>
      <c r="N8" s="571"/>
      <c r="O8" s="571"/>
      <c r="P8" s="571"/>
      <c r="Q8" s="571"/>
      <c r="R8" s="580"/>
    </row>
    <row r="9" spans="1:18" ht="24" customHeight="1" x14ac:dyDescent="0.3">
      <c r="A9" s="581"/>
      <c r="B9" s="691" t="s">
        <v>712</v>
      </c>
      <c r="C9" s="692"/>
      <c r="D9" s="692"/>
      <c r="E9" s="692"/>
      <c r="F9" s="692"/>
      <c r="G9" s="692"/>
      <c r="H9" s="692"/>
      <c r="I9" s="692"/>
      <c r="J9" s="692"/>
      <c r="K9" s="692"/>
      <c r="L9" s="692"/>
      <c r="M9" s="692"/>
      <c r="N9" s="692"/>
      <c r="O9" s="692"/>
      <c r="P9" s="692"/>
      <c r="Q9" s="692"/>
      <c r="R9" s="693"/>
    </row>
    <row r="10" spans="1:18" ht="26.25" customHeight="1" x14ac:dyDescent="0.25">
      <c r="A10" s="699"/>
      <c r="B10" s="716" t="s">
        <v>886</v>
      </c>
      <c r="C10" s="717"/>
      <c r="D10" s="717"/>
      <c r="E10" s="717"/>
      <c r="F10" s="717"/>
      <c r="G10" s="718"/>
      <c r="H10" s="694" t="s">
        <v>688</v>
      </c>
      <c r="I10" s="695"/>
      <c r="J10" s="695"/>
      <c r="K10" s="695"/>
      <c r="L10" s="695"/>
      <c r="M10" s="695"/>
      <c r="N10" s="695"/>
      <c r="O10" s="695"/>
      <c r="P10" s="695"/>
      <c r="Q10" s="695"/>
      <c r="R10" s="696"/>
    </row>
    <row r="11" spans="1:18" ht="22.5" customHeight="1" x14ac:dyDescent="0.3">
      <c r="A11" s="699"/>
      <c r="B11" s="662" t="s">
        <v>690</v>
      </c>
      <c r="C11" s="582" t="s">
        <v>691</v>
      </c>
      <c r="D11" s="673" t="s">
        <v>420</v>
      </c>
      <c r="E11" s="662" t="s">
        <v>695</v>
      </c>
      <c r="F11" s="662" t="s">
        <v>598</v>
      </c>
      <c r="G11" s="664" t="s">
        <v>415</v>
      </c>
      <c r="H11" s="673" t="s">
        <v>561</v>
      </c>
      <c r="I11" s="665" t="s">
        <v>388</v>
      </c>
      <c r="J11" s="677" t="s">
        <v>411</v>
      </c>
      <c r="K11" s="662" t="s">
        <v>177</v>
      </c>
      <c r="L11" s="662" t="s">
        <v>391</v>
      </c>
      <c r="M11" s="662" t="s">
        <v>692</v>
      </c>
      <c r="N11" s="662" t="s">
        <v>412</v>
      </c>
      <c r="O11" s="662" t="s">
        <v>413</v>
      </c>
      <c r="P11" s="677" t="s">
        <v>598</v>
      </c>
      <c r="Q11" s="662" t="s">
        <v>415</v>
      </c>
      <c r="R11" s="675" t="s">
        <v>698</v>
      </c>
    </row>
    <row r="12" spans="1:18" ht="22.5" customHeight="1" x14ac:dyDescent="0.3">
      <c r="A12" s="699"/>
      <c r="B12" s="663"/>
      <c r="C12" s="583" t="s">
        <v>596</v>
      </c>
      <c r="D12" s="674"/>
      <c r="E12" s="663"/>
      <c r="F12" s="663"/>
      <c r="G12" s="663"/>
      <c r="H12" s="674"/>
      <c r="I12" s="666"/>
      <c r="J12" s="678"/>
      <c r="K12" s="663"/>
      <c r="L12" s="663"/>
      <c r="M12" s="663"/>
      <c r="N12" s="663"/>
      <c r="O12" s="663"/>
      <c r="P12" s="678"/>
      <c r="Q12" s="663"/>
      <c r="R12" s="676"/>
    </row>
    <row r="13" spans="1:18" ht="34.5" customHeight="1" x14ac:dyDescent="0.3">
      <c r="A13" s="584"/>
      <c r="B13" s="585">
        <f>SUM(ROS!R45:R226)</f>
        <v>0.10101448981314309</v>
      </c>
      <c r="C13" s="585">
        <f>SUM(ROS!K45:K226)</f>
        <v>0.70999999999999919</v>
      </c>
      <c r="D13" s="585">
        <f>SUM(ROS!M45:M226)</f>
        <v>7.1299999999999866</v>
      </c>
      <c r="E13" s="585">
        <f>SUM(ROS!N45:N226)</f>
        <v>14.085899999999995</v>
      </c>
      <c r="F13" s="585">
        <f>SUM(ROS!L45:L226)</f>
        <v>0</v>
      </c>
      <c r="G13" s="585">
        <f>SUM(B13:F13)</f>
        <v>22.026914489813123</v>
      </c>
      <c r="H13" s="578">
        <f>fill_data!K12</f>
        <v>0</v>
      </c>
      <c r="I13" s="578">
        <f>fill_data!K34</f>
        <v>0</v>
      </c>
      <c r="J13" s="586"/>
      <c r="K13" s="586"/>
      <c r="L13" s="578">
        <f>fill_data!D54</f>
        <v>0</v>
      </c>
      <c r="M13" s="586"/>
      <c r="N13" s="578">
        <f>fill_data!K53</f>
        <v>0</v>
      </c>
      <c r="O13" s="578">
        <f>fill_data!K54</f>
        <v>0</v>
      </c>
      <c r="P13" s="586"/>
      <c r="Q13" s="578">
        <f>SUM(H13:P13)</f>
        <v>0</v>
      </c>
      <c r="R13" s="577">
        <f>Q13/F7</f>
        <v>0</v>
      </c>
    </row>
    <row r="15" spans="1:18" ht="24" customHeight="1" x14ac:dyDescent="0.3">
      <c r="A15" s="581"/>
      <c r="B15" s="682" t="s">
        <v>713</v>
      </c>
      <c r="C15" s="683"/>
      <c r="D15" s="683"/>
      <c r="E15" s="683"/>
      <c r="F15" s="683"/>
      <c r="G15" s="683"/>
      <c r="H15" s="683"/>
      <c r="I15" s="683"/>
      <c r="J15" s="683"/>
      <c r="K15" s="683"/>
      <c r="L15" s="683"/>
      <c r="M15" s="683"/>
      <c r="N15" s="683"/>
      <c r="O15" s="683"/>
      <c r="P15" s="683"/>
      <c r="Q15" s="683"/>
      <c r="R15" s="684"/>
    </row>
    <row r="16" spans="1:18" ht="26.25" customHeight="1" x14ac:dyDescent="0.25">
      <c r="A16" s="699"/>
      <c r="B16" s="716" t="s">
        <v>886</v>
      </c>
      <c r="C16" s="717"/>
      <c r="D16" s="717"/>
      <c r="E16" s="717"/>
      <c r="F16" s="717"/>
      <c r="G16" s="718"/>
      <c r="H16" s="694" t="s">
        <v>688</v>
      </c>
      <c r="I16" s="695"/>
      <c r="J16" s="695"/>
      <c r="K16" s="695"/>
      <c r="L16" s="695"/>
      <c r="M16" s="695"/>
      <c r="N16" s="695"/>
      <c r="O16" s="695"/>
      <c r="P16" s="695"/>
      <c r="Q16" s="695"/>
      <c r="R16" s="696"/>
    </row>
    <row r="17" spans="1:18" ht="22.5" customHeight="1" x14ac:dyDescent="0.3">
      <c r="A17" s="699"/>
      <c r="B17" s="662" t="s">
        <v>690</v>
      </c>
      <c r="C17" s="582" t="s">
        <v>691</v>
      </c>
      <c r="D17" s="673" t="s">
        <v>420</v>
      </c>
      <c r="E17" s="662" t="s">
        <v>695</v>
      </c>
      <c r="F17" s="662" t="s">
        <v>598</v>
      </c>
      <c r="G17" s="664" t="s">
        <v>415</v>
      </c>
      <c r="H17" s="673" t="s">
        <v>563</v>
      </c>
      <c r="I17" s="665" t="s">
        <v>388</v>
      </c>
      <c r="J17" s="677" t="s">
        <v>411</v>
      </c>
      <c r="K17" s="662" t="s">
        <v>177</v>
      </c>
      <c r="L17" s="662" t="s">
        <v>391</v>
      </c>
      <c r="M17" s="662" t="s">
        <v>692</v>
      </c>
      <c r="N17" s="662" t="s">
        <v>412</v>
      </c>
      <c r="O17" s="662" t="s">
        <v>413</v>
      </c>
      <c r="P17" s="677" t="s">
        <v>598</v>
      </c>
      <c r="Q17" s="662" t="s">
        <v>415</v>
      </c>
      <c r="R17" s="675" t="s">
        <v>698</v>
      </c>
    </row>
    <row r="18" spans="1:18" ht="22.5" customHeight="1" x14ac:dyDescent="0.3">
      <c r="A18" s="699"/>
      <c r="B18" s="663"/>
      <c r="C18" s="583" t="s">
        <v>596</v>
      </c>
      <c r="D18" s="674"/>
      <c r="E18" s="663"/>
      <c r="F18" s="663"/>
      <c r="G18" s="663"/>
      <c r="H18" s="674"/>
      <c r="I18" s="666"/>
      <c r="J18" s="678"/>
      <c r="K18" s="663"/>
      <c r="L18" s="663"/>
      <c r="M18" s="663"/>
      <c r="N18" s="663"/>
      <c r="O18" s="663"/>
      <c r="P18" s="678"/>
      <c r="Q18" s="663"/>
      <c r="R18" s="676"/>
    </row>
    <row r="19" spans="1:18" ht="34.5" customHeight="1" x14ac:dyDescent="0.3">
      <c r="A19" s="584"/>
      <c r="B19" s="585">
        <f>SUM(ROS!R227:R379)</f>
        <v>34.907856725736224</v>
      </c>
      <c r="C19" s="585">
        <f>SUM(ROS!K227:K379)+SUM(ROS!K15:K44)</f>
        <v>0.42999999999999983</v>
      </c>
      <c r="D19" s="585">
        <f>SUM(ROS!M227:M379)+SUM(ROS!M15:M44)</f>
        <v>6.7199999999999926</v>
      </c>
      <c r="E19" s="585">
        <f>SUM(ROS!N227:N379)+SUM(ROS!N15:N44)</f>
        <v>9.0099</v>
      </c>
      <c r="F19" s="585">
        <f>SUM(ROS!L227:L379)+SUM(ROS!L15:L44)</f>
        <v>0</v>
      </c>
      <c r="G19" s="585">
        <f>SUM(B19:F19)</f>
        <v>51.067756725736217</v>
      </c>
      <c r="H19" s="578">
        <f>fill_data!D12</f>
        <v>45731</v>
      </c>
      <c r="I19" s="578">
        <f>fill_data!D34</f>
        <v>67</v>
      </c>
      <c r="J19" s="586"/>
      <c r="K19" s="586"/>
      <c r="L19" s="578">
        <f>fill_data!D54</f>
        <v>0</v>
      </c>
      <c r="M19" s="586"/>
      <c r="N19" s="578">
        <f>fill_data!K53</f>
        <v>0</v>
      </c>
      <c r="O19" s="578">
        <f>fill_data!K54</f>
        <v>0</v>
      </c>
      <c r="P19" s="586"/>
      <c r="Q19" s="578">
        <f>SUM(H19:P19)</f>
        <v>45798</v>
      </c>
      <c r="R19" s="577">
        <f>Q19/F7</f>
        <v>1</v>
      </c>
    </row>
    <row r="20" spans="1:18" ht="34.5" customHeight="1" x14ac:dyDescent="0.3">
      <c r="A20" s="587"/>
      <c r="B20" s="588"/>
      <c r="C20" s="588"/>
      <c r="D20" s="588"/>
      <c r="E20" s="588"/>
      <c r="F20" s="588"/>
      <c r="G20" s="588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90"/>
    </row>
    <row r="21" spans="1:18" ht="16" x14ac:dyDescent="0.3">
      <c r="B21" s="667" t="s">
        <v>714</v>
      </c>
      <c r="C21" s="668"/>
      <c r="D21" s="668"/>
      <c r="E21" s="668"/>
      <c r="F21" s="668"/>
      <c r="G21" s="668"/>
      <c r="H21" s="668"/>
      <c r="I21" s="668"/>
      <c r="J21" s="668"/>
      <c r="K21" s="668"/>
      <c r="L21" s="668"/>
      <c r="M21" s="668"/>
      <c r="N21" s="668"/>
      <c r="O21" s="668"/>
      <c r="P21" s="668"/>
      <c r="Q21" s="668"/>
      <c r="R21" s="669"/>
    </row>
    <row r="22" spans="1:18" ht="27" customHeight="1" x14ac:dyDescent="0.25">
      <c r="A22" s="591"/>
      <c r="B22" s="585">
        <f t="shared" ref="B22:G22" si="0">B13+B19</f>
        <v>35.00887121554937</v>
      </c>
      <c r="C22" s="585">
        <f t="shared" si="0"/>
        <v>1.139999999999999</v>
      </c>
      <c r="D22" s="585">
        <f t="shared" si="0"/>
        <v>13.84999999999998</v>
      </c>
      <c r="E22" s="585">
        <f t="shared" si="0"/>
        <v>23.095799999999997</v>
      </c>
      <c r="F22" s="585">
        <f t="shared" si="0"/>
        <v>0</v>
      </c>
      <c r="G22" s="585">
        <f t="shared" si="0"/>
        <v>73.09467121554934</v>
      </c>
      <c r="H22" s="592">
        <f t="shared" ref="H22:Q22" si="1">H13+H19</f>
        <v>45731</v>
      </c>
      <c r="I22" s="592">
        <f t="shared" si="1"/>
        <v>67</v>
      </c>
      <c r="J22" s="592">
        <f t="shared" si="1"/>
        <v>0</v>
      </c>
      <c r="K22" s="592">
        <f t="shared" si="1"/>
        <v>0</v>
      </c>
      <c r="L22" s="592">
        <f t="shared" si="1"/>
        <v>0</v>
      </c>
      <c r="M22" s="592">
        <f t="shared" si="1"/>
        <v>0</v>
      </c>
      <c r="N22" s="592">
        <f t="shared" si="1"/>
        <v>0</v>
      </c>
      <c r="O22" s="592">
        <f t="shared" si="1"/>
        <v>0</v>
      </c>
      <c r="P22" s="592">
        <f t="shared" si="1"/>
        <v>0</v>
      </c>
      <c r="Q22" s="592">
        <f t="shared" si="1"/>
        <v>45798</v>
      </c>
      <c r="R22" s="577">
        <f>Q22/F7</f>
        <v>1</v>
      </c>
    </row>
    <row r="24" spans="1:18" ht="25.5" customHeight="1" x14ac:dyDescent="0.25">
      <c r="B24" s="670" t="s">
        <v>887</v>
      </c>
      <c r="C24" s="671"/>
      <c r="D24" s="672"/>
      <c r="E24" s="670" t="s">
        <v>888</v>
      </c>
      <c r="F24" s="671"/>
      <c r="G24" s="672"/>
      <c r="H24" s="670" t="s">
        <v>889</v>
      </c>
      <c r="I24" s="671"/>
      <c r="J24" s="672"/>
    </row>
    <row r="25" spans="1:18" ht="22.5" customHeight="1" x14ac:dyDescent="0.25">
      <c r="B25" s="662" t="s">
        <v>700</v>
      </c>
      <c r="C25" s="662" t="s">
        <v>701</v>
      </c>
      <c r="D25" s="662" t="s">
        <v>702</v>
      </c>
      <c r="E25" s="662" t="s">
        <v>700</v>
      </c>
      <c r="F25" s="662" t="s">
        <v>701</v>
      </c>
      <c r="G25" s="662" t="s">
        <v>702</v>
      </c>
      <c r="H25" s="662" t="s">
        <v>700</v>
      </c>
      <c r="I25" s="662" t="s">
        <v>701</v>
      </c>
      <c r="J25" s="662" t="s">
        <v>702</v>
      </c>
    </row>
    <row r="26" spans="1:18" ht="22.5" customHeight="1" x14ac:dyDescent="0.25">
      <c r="B26" s="663"/>
      <c r="C26" s="663"/>
      <c r="D26" s="663"/>
      <c r="E26" s="663"/>
      <c r="F26" s="663"/>
      <c r="G26" s="663"/>
      <c r="H26" s="663"/>
      <c r="I26" s="663"/>
      <c r="J26" s="663"/>
      <c r="M26" s="593"/>
    </row>
    <row r="27" spans="1:18" ht="32.25" customHeight="1" x14ac:dyDescent="0.25">
      <c r="B27" s="594">
        <f>SUM(ROS!I15:I379)</f>
        <v>99.047010777159954</v>
      </c>
      <c r="C27" s="594">
        <f>SUM(ROS!I45:I226)</f>
        <v>13.458711930335722</v>
      </c>
      <c r="D27" s="594">
        <f>SUM(ROS!I227:I379)+SUM(ROS!I15:I44)</f>
        <v>85.588298846824088</v>
      </c>
      <c r="E27" s="594">
        <f>SUM(ROS!H15:H379)</f>
        <v>16.00353067780609</v>
      </c>
      <c r="F27" s="594">
        <f>SUM(ROS!H45:H226)</f>
        <v>8.8802141248654411</v>
      </c>
      <c r="G27" s="594">
        <f>SUM(ROS!H227:H379)+SUM(ROS!H15:H44)</f>
        <v>7.1233165529406488</v>
      </c>
      <c r="H27" s="594">
        <f>SUM(ROS!P15:P379)</f>
        <v>35.832582937524606</v>
      </c>
      <c r="I27" s="594">
        <f>SUM(ROS!P45:P226)</f>
        <v>2.6162232258064543E-3</v>
      </c>
      <c r="J27" s="594">
        <f>SUM(ROS!P227:P379)+SUM(ROS!P15:P44)</f>
        <v>35.829966714298799</v>
      </c>
    </row>
    <row r="29" spans="1:18" ht="16" x14ac:dyDescent="0.3">
      <c r="B29" s="595" t="s">
        <v>431</v>
      </c>
      <c r="C29" s="596"/>
      <c r="D29" s="596"/>
      <c r="E29" s="596"/>
    </row>
  </sheetData>
  <sheetProtection formatCells="0" formatColumns="0" formatRows="0"/>
  <mergeCells count="73">
    <mergeCell ref="M4:M6"/>
    <mergeCell ref="K4:L4"/>
    <mergeCell ref="N4:O4"/>
    <mergeCell ref="A16:A18"/>
    <mergeCell ref="B16:G16"/>
    <mergeCell ref="H16:R16"/>
    <mergeCell ref="R11:R12"/>
    <mergeCell ref="B11:B12"/>
    <mergeCell ref="E11:E12"/>
    <mergeCell ref="F11:F12"/>
    <mergeCell ref="H11:H12"/>
    <mergeCell ref="O11:O12"/>
    <mergeCell ref="Q11:Q12"/>
    <mergeCell ref="O5:O6"/>
    <mergeCell ref="I5:I6"/>
    <mergeCell ref="F4:F6"/>
    <mergeCell ref="A10:A12"/>
    <mergeCell ref="A1:J1"/>
    <mergeCell ref="K11:K12"/>
    <mergeCell ref="I4:J4"/>
    <mergeCell ref="B7:C7"/>
    <mergeCell ref="B4:C6"/>
    <mergeCell ref="I11:I12"/>
    <mergeCell ref="A2:R2"/>
    <mergeCell ref="Q4:R5"/>
    <mergeCell ref="P11:P12"/>
    <mergeCell ref="G4:G6"/>
    <mergeCell ref="B10:G10"/>
    <mergeCell ref="N5:N6"/>
    <mergeCell ref="N11:N12"/>
    <mergeCell ref="J11:J12"/>
    <mergeCell ref="L11:L12"/>
    <mergeCell ref="B24:D24"/>
    <mergeCell ref="L5:L6"/>
    <mergeCell ref="K5:K6"/>
    <mergeCell ref="G11:G12"/>
    <mergeCell ref="B17:B18"/>
    <mergeCell ref="B15:R15"/>
    <mergeCell ref="D11:D12"/>
    <mergeCell ref="D4:D6"/>
    <mergeCell ref="E4:E6"/>
    <mergeCell ref="J5:J6"/>
    <mergeCell ref="H4:H6"/>
    <mergeCell ref="B9:R9"/>
    <mergeCell ref="H10:R10"/>
    <mergeCell ref="E17:E18"/>
    <mergeCell ref="F17:F18"/>
    <mergeCell ref="J17:J18"/>
    <mergeCell ref="M17:M18"/>
    <mergeCell ref="M11:M12"/>
    <mergeCell ref="I25:I26"/>
    <mergeCell ref="G17:G18"/>
    <mergeCell ref="I17:I18"/>
    <mergeCell ref="B21:R21"/>
    <mergeCell ref="N17:N18"/>
    <mergeCell ref="E24:G24"/>
    <mergeCell ref="H24:J24"/>
    <mergeCell ref="K17:K18"/>
    <mergeCell ref="L17:L18"/>
    <mergeCell ref="J25:J26"/>
    <mergeCell ref="H17:H18"/>
    <mergeCell ref="R17:R18"/>
    <mergeCell ref="P17:P18"/>
    <mergeCell ref="Q17:Q18"/>
    <mergeCell ref="O17:O18"/>
    <mergeCell ref="D17:D18"/>
    <mergeCell ref="H25:H26"/>
    <mergeCell ref="B25:B26"/>
    <mergeCell ref="D25:D26"/>
    <mergeCell ref="E25:E26"/>
    <mergeCell ref="F25:F26"/>
    <mergeCell ref="G25:G26"/>
    <mergeCell ref="C25:C26"/>
  </mergeCells>
  <phoneticPr fontId="0" type="noConversion"/>
  <pageMargins left="0.51181102362204722" right="0" top="0.74803149606299213" bottom="0.15748031496062992" header="0.31496062992125984" footer="0.31496062992125984"/>
  <pageSetup paperSize="9" scale="65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6005-1ECA-BF4C-8437-F680D661BCFF}">
  <sheetPr codeName="Sheet24">
    <tabColor rgb="FF00B0F0"/>
  </sheetPr>
  <dimension ref="A1:U62"/>
  <sheetViews>
    <sheetView showGridLines="0" zoomScale="114" zoomScaleNormal="115" workbookViewId="0">
      <pane xSplit="2" ySplit="7" topLeftCell="C42" activePane="bottomRight" state="frozen"/>
      <selection pane="topRight" activeCell="C1" sqref="C1"/>
      <selection pane="bottomLeft" activeCell="A8" sqref="A8"/>
      <selection pane="bottomRight" activeCell="C60" sqref="C60"/>
    </sheetView>
  </sheetViews>
  <sheetFormatPr baseColWidth="10" defaultColWidth="9.1640625" defaultRowHeight="17" x14ac:dyDescent="0.3"/>
  <cols>
    <col min="1" max="1" width="7.6640625" style="436" bestFit="1" customWidth="1"/>
    <col min="2" max="2" width="19.33203125" style="436" bestFit="1" customWidth="1"/>
    <col min="3" max="4" width="11.1640625" style="436" customWidth="1"/>
    <col min="5" max="5" width="12.1640625" style="436" bestFit="1" customWidth="1"/>
    <col min="6" max="6" width="11.1640625" style="436" customWidth="1"/>
    <col min="7" max="7" width="10" style="436" customWidth="1"/>
    <col min="8" max="8" width="11.1640625" style="436" customWidth="1"/>
    <col min="9" max="9" width="16.33203125" style="436" customWidth="1"/>
    <col min="10" max="12" width="9.1640625" style="436"/>
    <col min="13" max="13" width="11.5" style="436" customWidth="1"/>
    <col min="14" max="14" width="11.6640625" style="436" customWidth="1"/>
    <col min="15" max="15" width="9.1640625" style="436"/>
    <col min="16" max="16" width="8.6640625" style="436" customWidth="1"/>
    <col min="17" max="17" width="9.6640625" style="436" bestFit="1" customWidth="1"/>
    <col min="18" max="18" width="11.33203125" style="436" customWidth="1"/>
    <col min="19" max="19" width="8.6640625" style="436" customWidth="1"/>
    <col min="20" max="16384" width="9.1640625" style="436"/>
  </cols>
  <sheetData>
    <row r="1" spans="1:21" x14ac:dyDescent="0.3">
      <c r="A1" s="726" t="s">
        <v>720</v>
      </c>
      <c r="B1" s="726"/>
      <c r="C1" s="726"/>
      <c r="D1" s="726"/>
      <c r="E1" s="726"/>
      <c r="F1" s="726"/>
      <c r="G1" s="726"/>
      <c r="H1" s="726"/>
      <c r="I1" s="726"/>
      <c r="J1" s="726"/>
      <c r="K1" s="433">
        <f>fill_data!E2</f>
        <v>2566</v>
      </c>
      <c r="L1" s="433" t="str">
        <f>"/ "&amp;fill_data!$E$2+1</f>
        <v>/ 2567</v>
      </c>
    </row>
    <row r="2" spans="1:21" x14ac:dyDescent="0.3">
      <c r="A2" s="726" t="s">
        <v>721</v>
      </c>
      <c r="B2" s="726"/>
      <c r="C2" s="726"/>
      <c r="D2" s="726"/>
      <c r="E2" s="726"/>
      <c r="F2" s="726"/>
      <c r="G2" s="726"/>
      <c r="H2" s="727" t="str">
        <f>fill_data!D1</f>
        <v>มูลบน</v>
      </c>
      <c r="I2" s="727"/>
      <c r="J2" s="727"/>
      <c r="K2" s="435" t="s">
        <v>108</v>
      </c>
      <c r="L2" s="735" t="str">
        <f>fill_data!C4</f>
        <v>นครราชสีมา</v>
      </c>
      <c r="M2" s="735"/>
      <c r="N2" s="735"/>
    </row>
    <row r="3" spans="1:21" x14ac:dyDescent="0.3">
      <c r="A3" s="730" t="s">
        <v>696</v>
      </c>
      <c r="B3" s="730"/>
      <c r="C3" s="730"/>
      <c r="D3" s="730"/>
      <c r="E3" s="730"/>
      <c r="F3" s="730"/>
      <c r="G3" s="730"/>
      <c r="H3" s="730"/>
      <c r="I3" s="730"/>
      <c r="J3" s="730"/>
      <c r="K3" s="730"/>
      <c r="L3" s="730"/>
      <c r="M3" s="730"/>
      <c r="N3" s="730"/>
      <c r="O3" s="730"/>
      <c r="P3" s="730"/>
      <c r="Q3" s="730"/>
      <c r="R3" s="730"/>
      <c r="S3" s="730"/>
      <c r="T3" s="730"/>
      <c r="U3" s="730"/>
    </row>
    <row r="4" spans="1:21" x14ac:dyDescent="0.3">
      <c r="B4" s="436" t="s">
        <v>744</v>
      </c>
    </row>
    <row r="5" spans="1:21" x14ac:dyDescent="0.3">
      <c r="A5" s="731" t="s">
        <v>727</v>
      </c>
      <c r="B5" s="736" t="s">
        <v>717</v>
      </c>
      <c r="C5" s="723" t="s">
        <v>722</v>
      </c>
      <c r="D5" s="723"/>
      <c r="E5" s="723"/>
      <c r="F5" s="723"/>
      <c r="G5" s="723"/>
      <c r="H5" s="723"/>
      <c r="I5" s="724" t="s">
        <v>745</v>
      </c>
      <c r="J5" s="724"/>
      <c r="K5" s="724"/>
      <c r="L5" s="724"/>
      <c r="M5" s="725" t="s">
        <v>726</v>
      </c>
      <c r="N5" s="725"/>
      <c r="O5" s="725"/>
      <c r="P5" s="725"/>
      <c r="Q5" s="725"/>
      <c r="R5" s="725"/>
      <c r="S5" s="722" t="s">
        <v>412</v>
      </c>
      <c r="T5" s="722" t="s">
        <v>413</v>
      </c>
      <c r="U5" s="722" t="s">
        <v>431</v>
      </c>
    </row>
    <row r="6" spans="1:21" x14ac:dyDescent="0.3">
      <c r="A6" s="732"/>
      <c r="B6" s="737"/>
      <c r="C6" s="722" t="s">
        <v>405</v>
      </c>
      <c r="D6" s="734" t="s">
        <v>728</v>
      </c>
      <c r="E6" s="721" t="s">
        <v>420</v>
      </c>
      <c r="F6" s="728" t="s">
        <v>723</v>
      </c>
      <c r="G6" s="721" t="s">
        <v>598</v>
      </c>
      <c r="H6" s="734" t="s">
        <v>729</v>
      </c>
      <c r="I6" s="734" t="s">
        <v>829</v>
      </c>
      <c r="J6" s="722" t="s">
        <v>724</v>
      </c>
      <c r="K6" s="722" t="s">
        <v>725</v>
      </c>
      <c r="L6" s="722" t="s">
        <v>601</v>
      </c>
      <c r="M6" s="721" t="s">
        <v>732</v>
      </c>
      <c r="N6" s="721" t="s">
        <v>733</v>
      </c>
      <c r="O6" s="721" t="s">
        <v>730</v>
      </c>
      <c r="P6" s="721" t="s">
        <v>731</v>
      </c>
      <c r="Q6" s="721" t="s">
        <v>391</v>
      </c>
      <c r="R6" s="721" t="s">
        <v>415</v>
      </c>
      <c r="S6" s="722"/>
      <c r="T6" s="722"/>
      <c r="U6" s="722"/>
    </row>
    <row r="7" spans="1:21" x14ac:dyDescent="0.3">
      <c r="A7" s="733"/>
      <c r="B7" s="738"/>
      <c r="C7" s="722"/>
      <c r="D7" s="734"/>
      <c r="E7" s="721"/>
      <c r="F7" s="729"/>
      <c r="G7" s="721"/>
      <c r="H7" s="739"/>
      <c r="I7" s="739"/>
      <c r="J7" s="722"/>
      <c r="K7" s="722"/>
      <c r="L7" s="722"/>
      <c r="M7" s="722"/>
      <c r="N7" s="722"/>
      <c r="O7" s="722"/>
      <c r="P7" s="722"/>
      <c r="Q7" s="722"/>
      <c r="R7" s="722"/>
      <c r="S7" s="722"/>
      <c r="T7" s="722"/>
      <c r="U7" s="722"/>
    </row>
    <row r="8" spans="1:21" x14ac:dyDescent="0.3">
      <c r="A8" s="437">
        <v>1</v>
      </c>
      <c r="B8" s="438" t="s">
        <v>746</v>
      </c>
      <c r="C8" s="439">
        <f>SUM(ROS!R15:R21)</f>
        <v>7.9608031089729876E-3</v>
      </c>
      <c r="D8" s="439">
        <f>SUM(ROS!K15:K21)</f>
        <v>1.4E-2</v>
      </c>
      <c r="E8" s="439">
        <f>SUM(ROS!M15:M21)</f>
        <v>0.25783333333333336</v>
      </c>
      <c r="F8" s="439">
        <f>SUM(ROS!N15:N21)</f>
        <v>0.29609999999999997</v>
      </c>
      <c r="G8" s="439">
        <f>SUM(ROS!L15:L21)</f>
        <v>0</v>
      </c>
      <c r="H8" s="439">
        <f>SUM(C8:G8)</f>
        <v>0.57589413644230625</v>
      </c>
      <c r="I8" s="439">
        <f>ROS!D15</f>
        <v>86.084000000000003</v>
      </c>
      <c r="J8" s="439">
        <f>SUM(ROS!H15:H21)</f>
        <v>0.30144529060374264</v>
      </c>
      <c r="K8" s="439">
        <f>SUM(ROS!I15:I21)</f>
        <v>1.9109216153621675</v>
      </c>
      <c r="L8" s="439">
        <f>SUM(ROS!P15:P21)</f>
        <v>5.3550644567219136E-4</v>
      </c>
      <c r="M8" s="440">
        <f>paddy_rain!AB27</f>
        <v>0</v>
      </c>
      <c r="N8" s="440">
        <f>paddy_Dry!AB27</f>
        <v>0</v>
      </c>
      <c r="O8" s="440">
        <f>upland_dry!AB27</f>
        <v>0</v>
      </c>
      <c r="P8" s="440">
        <f>upland_rain!AB27</f>
        <v>67</v>
      </c>
      <c r="Q8" s="440">
        <f>plant!R16</f>
        <v>0</v>
      </c>
      <c r="R8" s="441">
        <f>SUM(M8:Q8)</f>
        <v>67</v>
      </c>
      <c r="S8" s="442">
        <f>fishporn!$E$6</f>
        <v>0</v>
      </c>
      <c r="T8" s="440">
        <f>' prawnporn'!$E$6</f>
        <v>0</v>
      </c>
      <c r="U8" s="443"/>
    </row>
    <row r="9" spans="1:21" x14ac:dyDescent="0.3">
      <c r="A9" s="444">
        <f>A8+1</f>
        <v>2</v>
      </c>
      <c r="B9" s="445" t="s">
        <v>747</v>
      </c>
      <c r="C9" s="446">
        <f>SUM(ROS!R22:R28)</f>
        <v>8.0345408596014887E-3</v>
      </c>
      <c r="D9" s="446">
        <f>SUM(ROS!K22:K28)</f>
        <v>1.4E-2</v>
      </c>
      <c r="E9" s="446">
        <f>SUM(ROS!M22:M28)</f>
        <v>0.25783333333333336</v>
      </c>
      <c r="F9" s="446">
        <f>SUM(ROS!N22:N28)</f>
        <v>0.29609999999999997</v>
      </c>
      <c r="G9" s="446">
        <f>SUM(ROS!L22:L28)</f>
        <v>0</v>
      </c>
      <c r="H9" s="446">
        <f>SUM(C9:G9)</f>
        <v>0.57596787419293483</v>
      </c>
      <c r="I9" s="447">
        <f>ROS!D22</f>
        <v>87.117582188316078</v>
      </c>
      <c r="J9" s="446">
        <f>SUM(ROS!H22:H28)</f>
        <v>0.30316891381349098</v>
      </c>
      <c r="K9" s="446">
        <f>SUM(ROS!I22:I28)</f>
        <v>1.9109216153621675</v>
      </c>
      <c r="L9" s="446">
        <f>SUM(ROS!P22:P28)</f>
        <v>5.3550644567219136E-4</v>
      </c>
      <c r="M9" s="448">
        <f>paddy_rain!AB28</f>
        <v>0</v>
      </c>
      <c r="N9" s="448">
        <f>paddy_Dry!AB28</f>
        <v>0</v>
      </c>
      <c r="O9" s="448">
        <f>upland_dry!AB28</f>
        <v>0</v>
      </c>
      <c r="P9" s="448">
        <f>upland_rain!AB28</f>
        <v>67</v>
      </c>
      <c r="Q9" s="448">
        <f>plant!R17</f>
        <v>0</v>
      </c>
      <c r="R9" s="449">
        <f>SUM(M9:Q9)</f>
        <v>67</v>
      </c>
      <c r="S9" s="450">
        <f>fishporn!$E$6</f>
        <v>0</v>
      </c>
      <c r="T9" s="448">
        <f>' prawnporn'!$E$6</f>
        <v>0</v>
      </c>
      <c r="U9" s="451"/>
    </row>
    <row r="10" spans="1:21" x14ac:dyDescent="0.3">
      <c r="A10" s="444">
        <f t="shared" ref="A10:A59" si="0">A9+1</f>
        <v>3</v>
      </c>
      <c r="B10" s="445" t="s">
        <v>748</v>
      </c>
      <c r="C10" s="446">
        <f>SUM(ROS!R29:R35)</f>
        <v>8.9488889673949076E-3</v>
      </c>
      <c r="D10" s="446">
        <f>SUM(ROS!K29:K35)</f>
        <v>1.4E-2</v>
      </c>
      <c r="E10" s="446">
        <f>SUM(ROS!M29:M35)</f>
        <v>0.25783333333333336</v>
      </c>
      <c r="F10" s="446">
        <f>SUM(ROS!N29:N35)</f>
        <v>0.29609999999999997</v>
      </c>
      <c r="G10" s="446">
        <f>SUM(ROS!L29:L35)</f>
        <v>0</v>
      </c>
      <c r="H10" s="446">
        <f t="shared" ref="H10:H59" si="1">SUM(C10:G10)</f>
        <v>0.57688222230072816</v>
      </c>
      <c r="I10" s="447">
        <f>ROS!D29</f>
        <v>88.149367015671814</v>
      </c>
      <c r="J10" s="446">
        <f>SUM(ROS!H29:H35)</f>
        <v>0.30488893862584254</v>
      </c>
      <c r="K10" s="446">
        <f>SUM(ROS!I29:I35)</f>
        <v>1.9109216153621675</v>
      </c>
      <c r="L10" s="446">
        <f>SUM(ROS!P29:P35)</f>
        <v>5.3550644567219136E-4</v>
      </c>
      <c r="M10" s="448">
        <f>paddy_rain!AB29</f>
        <v>0</v>
      </c>
      <c r="N10" s="448">
        <f>paddy_Dry!AB29</f>
        <v>0</v>
      </c>
      <c r="O10" s="448">
        <f>upland_dry!AB29</f>
        <v>0</v>
      </c>
      <c r="P10" s="448">
        <f>upland_rain!AB29</f>
        <v>67</v>
      </c>
      <c r="Q10" s="448">
        <f>plant!R18</f>
        <v>0</v>
      </c>
      <c r="R10" s="449">
        <f t="shared" ref="R10:R59" si="2">SUM(M10:Q10)</f>
        <v>67</v>
      </c>
      <c r="S10" s="450">
        <f>fishporn!$E$6</f>
        <v>0</v>
      </c>
      <c r="T10" s="448">
        <f>' prawnporn'!$E$6</f>
        <v>0</v>
      </c>
      <c r="U10" s="451"/>
    </row>
    <row r="11" spans="1:21" x14ac:dyDescent="0.3">
      <c r="A11" s="444">
        <f t="shared" si="0"/>
        <v>4</v>
      </c>
      <c r="B11" s="445" t="s">
        <v>749</v>
      </c>
      <c r="C11" s="446">
        <f>SUM(ROS!R36:R42)</f>
        <v>8.9488889673949076E-3</v>
      </c>
      <c r="D11" s="446">
        <f>SUM(ROS!K36:K42)</f>
        <v>1.4E-2</v>
      </c>
      <c r="E11" s="446">
        <f>SUM(ROS!M36:M42)</f>
        <v>0.25783333333333336</v>
      </c>
      <c r="F11" s="446">
        <f>SUM(ROS!N36:N42)</f>
        <v>0.29609999999999997</v>
      </c>
      <c r="G11" s="446">
        <f>SUM(ROS!L36:L42)</f>
        <v>0</v>
      </c>
      <c r="H11" s="446">
        <f t="shared" si="1"/>
        <v>0.57688222230072816</v>
      </c>
      <c r="I11" s="447">
        <f>ROS!D36</f>
        <v>89.178517470107352</v>
      </c>
      <c r="J11" s="446">
        <f>SUM(ROS!H36:H42)</f>
        <v>0.30660319941164066</v>
      </c>
      <c r="K11" s="446">
        <f>SUM(ROS!I36:I42)</f>
        <v>1.9109216153621675</v>
      </c>
      <c r="L11" s="446">
        <f>SUM(ROS!P36:P42)</f>
        <v>5.3550644567219136E-4</v>
      </c>
      <c r="M11" s="448">
        <f>paddy_rain!AB30</f>
        <v>0</v>
      </c>
      <c r="N11" s="448">
        <f>paddy_Dry!AB30</f>
        <v>0</v>
      </c>
      <c r="O11" s="448">
        <f>upland_dry!AB30</f>
        <v>0</v>
      </c>
      <c r="P11" s="448">
        <f>upland_rain!AB30</f>
        <v>67</v>
      </c>
      <c r="Q11" s="448">
        <f>plant!R19</f>
        <v>0</v>
      </c>
      <c r="R11" s="449">
        <f t="shared" si="2"/>
        <v>67</v>
      </c>
      <c r="S11" s="450">
        <f>fishporn!$E$6</f>
        <v>0</v>
      </c>
      <c r="T11" s="448">
        <f>' prawnporn'!$E$6</f>
        <v>0</v>
      </c>
      <c r="U11" s="451"/>
    </row>
    <row r="12" spans="1:21" x14ac:dyDescent="0.3">
      <c r="A12" s="444">
        <f t="shared" si="0"/>
        <v>5</v>
      </c>
      <c r="B12" s="445" t="s">
        <v>750</v>
      </c>
      <c r="C12" s="446">
        <f>SUM(ROS!R43:R49)</f>
        <v>9.3667361137118859E-3</v>
      </c>
      <c r="D12" s="446">
        <f>SUM(ROS!K43:K49)</f>
        <v>1.3677419354838712E-2</v>
      </c>
      <c r="E12" s="446">
        <f>SUM(ROS!M43:M49)</f>
        <v>0.25995698924731181</v>
      </c>
      <c r="F12" s="446">
        <f>SUM(ROS!N43:N49)</f>
        <v>0.29609999999999997</v>
      </c>
      <c r="G12" s="446">
        <f>SUM(ROS!L43:L49)</f>
        <v>0</v>
      </c>
      <c r="H12" s="446">
        <f t="shared" si="1"/>
        <v>0.57910114471586238</v>
      </c>
      <c r="I12" s="447">
        <f>ROS!D43</f>
        <v>90.205953663757072</v>
      </c>
      <c r="J12" s="446">
        <f>SUM(ROS!H43:H49)</f>
        <v>0.31818850038891333</v>
      </c>
      <c r="K12" s="446">
        <f>SUM(ROS!I43:I49)</f>
        <v>0.98528750001940502</v>
      </c>
      <c r="L12" s="446">
        <f>SUM(ROS!P43:P49)</f>
        <v>8.7143225806451624E-5</v>
      </c>
      <c r="M12" s="448">
        <f>paddy_rain!AB31</f>
        <v>0</v>
      </c>
      <c r="N12" s="448">
        <f>paddy_Dry!AB31</f>
        <v>0</v>
      </c>
      <c r="O12" s="448">
        <f>upland_dry!AB31</f>
        <v>0</v>
      </c>
      <c r="P12" s="448">
        <f>upland_rain!AB31</f>
        <v>67</v>
      </c>
      <c r="Q12" s="448">
        <f>plant!R20</f>
        <v>0</v>
      </c>
      <c r="R12" s="449">
        <f t="shared" si="2"/>
        <v>67</v>
      </c>
      <c r="S12" s="450">
        <f>fishporn!$E$6</f>
        <v>0</v>
      </c>
      <c r="T12" s="448">
        <f>' prawnporn'!$E$6</f>
        <v>0</v>
      </c>
      <c r="U12" s="451"/>
    </row>
    <row r="13" spans="1:21" x14ac:dyDescent="0.3">
      <c r="A13" s="444">
        <f t="shared" si="0"/>
        <v>6</v>
      </c>
      <c r="B13" s="445" t="s">
        <v>751</v>
      </c>
      <c r="C13" s="446">
        <f>SUM(ROS!R50:R56)</f>
        <v>9.2761853481973851E-3</v>
      </c>
      <c r="D13" s="446">
        <f>SUM(ROS!K50:K56)</f>
        <v>1.3548387096774195E-2</v>
      </c>
      <c r="E13" s="446">
        <f>SUM(ROS!M50:M56)</f>
        <v>0.26080645161290328</v>
      </c>
      <c r="F13" s="446">
        <f>SUM(ROS!N50:N56)</f>
        <v>0.29609999999999997</v>
      </c>
      <c r="G13" s="446">
        <f>SUM(ROS!L50:L56)</f>
        <v>0</v>
      </c>
      <c r="H13" s="446">
        <f t="shared" si="1"/>
        <v>0.5797310240578748</v>
      </c>
      <c r="I13" s="447">
        <f>ROS!D50</f>
        <v>90.293951518671733</v>
      </c>
      <c r="J13" s="446">
        <f>SUM(ROS!H50:H56)</f>
        <v>0.32197724629951441</v>
      </c>
      <c r="K13" s="446">
        <f>SUM(ROS!I50:I56)</f>
        <v>0.6150338538822997</v>
      </c>
      <c r="L13" s="446">
        <f>SUM(ROS!P50:P56)</f>
        <v>8.7143225806451624E-5</v>
      </c>
      <c r="M13" s="448">
        <f>paddy_rain!AB32</f>
        <v>0</v>
      </c>
      <c r="N13" s="448">
        <f>paddy_Dry!AB32</f>
        <v>0</v>
      </c>
      <c r="O13" s="448">
        <f>upland_dry!AB32</f>
        <v>0</v>
      </c>
      <c r="P13" s="448">
        <f>upland_rain!AB32</f>
        <v>67</v>
      </c>
      <c r="Q13" s="448">
        <f>plant!R21</f>
        <v>0</v>
      </c>
      <c r="R13" s="449">
        <f t="shared" si="2"/>
        <v>67</v>
      </c>
      <c r="S13" s="450">
        <f>fishporn!$E$6</f>
        <v>0</v>
      </c>
      <c r="T13" s="448">
        <f>' prawnporn'!$E$6</f>
        <v>0</v>
      </c>
      <c r="U13" s="451"/>
    </row>
    <row r="14" spans="1:21" x14ac:dyDescent="0.3">
      <c r="A14" s="444">
        <f t="shared" si="0"/>
        <v>7</v>
      </c>
      <c r="B14" s="445" t="s">
        <v>752</v>
      </c>
      <c r="C14" s="446">
        <f>SUM(ROS!R57:R63)</f>
        <v>8.1533558558175862E-3</v>
      </c>
      <c r="D14" s="446">
        <f>SUM(ROS!K57:K63)</f>
        <v>1.3548387096774195E-2</v>
      </c>
      <c r="E14" s="446">
        <f>SUM(ROS!M57:M63)</f>
        <v>0.26080645161290328</v>
      </c>
      <c r="F14" s="446">
        <f>SUM(ROS!N57:N63)</f>
        <v>0.29609999999999997</v>
      </c>
      <c r="G14" s="446">
        <f>SUM(ROS!L57:L63)</f>
        <v>0</v>
      </c>
      <c r="H14" s="446">
        <f t="shared" si="1"/>
        <v>0.57860819456549506</v>
      </c>
      <c r="I14" s="447">
        <f>ROS!D57</f>
        <v>90.00727710219661</v>
      </c>
      <c r="J14" s="446">
        <f>SUM(ROS!H57:H63)</f>
        <v>0.32149412759150575</v>
      </c>
      <c r="K14" s="446">
        <f>SUM(ROS!I57:I63)</f>
        <v>0.6150338538822997</v>
      </c>
      <c r="L14" s="446">
        <f>SUM(ROS!P57:P63)</f>
        <v>8.7143225806451624E-5</v>
      </c>
      <c r="M14" s="448">
        <f>paddy_rain!AB33</f>
        <v>0</v>
      </c>
      <c r="N14" s="448">
        <f>paddy_Dry!AB33</f>
        <v>0</v>
      </c>
      <c r="O14" s="448">
        <f>upland_dry!AB33</f>
        <v>0</v>
      </c>
      <c r="P14" s="448">
        <f>upland_rain!AB33</f>
        <v>67</v>
      </c>
      <c r="Q14" s="448">
        <f>plant!R22</f>
        <v>0</v>
      </c>
      <c r="R14" s="449">
        <f t="shared" si="2"/>
        <v>67</v>
      </c>
      <c r="S14" s="450">
        <f>fishporn!$E$6</f>
        <v>0</v>
      </c>
      <c r="T14" s="448">
        <f>' prawnporn'!$E$6</f>
        <v>0</v>
      </c>
      <c r="U14" s="451"/>
    </row>
    <row r="15" spans="1:21" x14ac:dyDescent="0.3">
      <c r="A15" s="444">
        <f t="shared" si="0"/>
        <v>8</v>
      </c>
      <c r="B15" s="445" t="s">
        <v>753</v>
      </c>
      <c r="C15" s="446">
        <f>SUM(ROS!R64:R70)</f>
        <v>8.1533558558175862E-3</v>
      </c>
      <c r="D15" s="446">
        <f>SUM(ROS!K64:K70)</f>
        <v>1.3548387096774195E-2</v>
      </c>
      <c r="E15" s="446">
        <f>SUM(ROS!M64:M70)</f>
        <v>0.26080645161290328</v>
      </c>
      <c r="F15" s="446">
        <f>SUM(ROS!N64:N70)</f>
        <v>0.29609999999999997</v>
      </c>
      <c r="G15" s="446">
        <f>SUM(ROS!L64:L70)</f>
        <v>0</v>
      </c>
      <c r="H15" s="446">
        <f t="shared" si="1"/>
        <v>0.57860819456549506</v>
      </c>
      <c r="I15" s="447">
        <f>ROS!D64</f>
        <v>89.722208633921937</v>
      </c>
      <c r="J15" s="446">
        <f>SUM(ROS!H64:H70)</f>
        <v>0.32099914202304142</v>
      </c>
      <c r="K15" s="446">
        <f>SUM(ROS!I64:I70)</f>
        <v>0.6150338538822997</v>
      </c>
      <c r="L15" s="446">
        <f>SUM(ROS!P64:P70)</f>
        <v>8.7143225806451624E-5</v>
      </c>
      <c r="M15" s="448">
        <f>paddy_rain!AB34</f>
        <v>0</v>
      </c>
      <c r="N15" s="448">
        <f>paddy_Dry!AB34</f>
        <v>0</v>
      </c>
      <c r="O15" s="448">
        <f>upland_dry!AB34</f>
        <v>0</v>
      </c>
      <c r="P15" s="448">
        <f>upland_rain!AB34</f>
        <v>67</v>
      </c>
      <c r="Q15" s="448">
        <f>plant!R23</f>
        <v>0</v>
      </c>
      <c r="R15" s="449">
        <f t="shared" si="2"/>
        <v>67</v>
      </c>
      <c r="S15" s="450">
        <f>fishporn!$E$6</f>
        <v>0</v>
      </c>
      <c r="T15" s="448">
        <f>' prawnporn'!$E$6</f>
        <v>0</v>
      </c>
      <c r="U15" s="451"/>
    </row>
    <row r="16" spans="1:21" x14ac:dyDescent="0.3">
      <c r="A16" s="444">
        <f t="shared" si="0"/>
        <v>9</v>
      </c>
      <c r="B16" s="445" t="s">
        <v>756</v>
      </c>
      <c r="C16" s="446">
        <f>SUM(ROS!R71:R77)</f>
        <v>8.360556950360724E-3</v>
      </c>
      <c r="D16" s="446">
        <f>SUM(ROS!K71:K77)</f>
        <v>1.8064516129032256E-2</v>
      </c>
      <c r="E16" s="446">
        <f>SUM(ROS!M71:M77)</f>
        <v>0.26338709677419359</v>
      </c>
      <c r="F16" s="446">
        <f>SUM(ROS!N71:N77)</f>
        <v>0.37524193548387097</v>
      </c>
      <c r="G16" s="446">
        <f>SUM(ROS!L71:L77)</f>
        <v>0</v>
      </c>
      <c r="H16" s="446">
        <f t="shared" si="1"/>
        <v>0.66505410533745746</v>
      </c>
      <c r="I16" s="447">
        <f>ROS!D71</f>
        <v>89.437635151215744</v>
      </c>
      <c r="J16" s="446">
        <f>SUM(ROS!H71:H77)</f>
        <v>0.31762214956496282</v>
      </c>
      <c r="K16" s="446">
        <f>SUM(ROS!I71:I77)</f>
        <v>0.55020727589726448</v>
      </c>
      <c r="L16" s="446">
        <f>SUM(ROS!P71:P77)</f>
        <v>1.1134967741935486E-4</v>
      </c>
      <c r="M16" s="448">
        <f>paddy_rain!AB35</f>
        <v>0</v>
      </c>
      <c r="N16" s="448">
        <f>paddy_Dry!AB35</f>
        <v>0</v>
      </c>
      <c r="O16" s="448">
        <f>upland_dry!AB35</f>
        <v>0</v>
      </c>
      <c r="P16" s="448">
        <f>upland_rain!AB35</f>
        <v>67</v>
      </c>
      <c r="Q16" s="448">
        <f>plant!R24</f>
        <v>0</v>
      </c>
      <c r="R16" s="449">
        <f t="shared" si="2"/>
        <v>67</v>
      </c>
      <c r="S16" s="450">
        <f>fishporn!$E$6</f>
        <v>0</v>
      </c>
      <c r="T16" s="448">
        <f>' prawnporn'!$E$6</f>
        <v>0</v>
      </c>
      <c r="U16" s="451"/>
    </row>
    <row r="17" spans="1:21" x14ac:dyDescent="0.3">
      <c r="A17" s="444">
        <f t="shared" si="0"/>
        <v>10</v>
      </c>
      <c r="B17" s="445" t="s">
        <v>754</v>
      </c>
      <c r="C17" s="446">
        <f>SUM(ROS!R78:R84)</f>
        <v>8.3290845115579111E-3</v>
      </c>
      <c r="D17" s="446">
        <f>SUM(ROS!K78:K84)</f>
        <v>2.9354838709677415E-2</v>
      </c>
      <c r="E17" s="446">
        <f>SUM(ROS!M78:M84)</f>
        <v>0.26983870967741935</v>
      </c>
      <c r="F17" s="446">
        <f>SUM(ROS!N78:N84)</f>
        <v>0.57309677419354832</v>
      </c>
      <c r="G17" s="446">
        <f>SUM(ROS!L78:L84)</f>
        <v>0</v>
      </c>
      <c r="H17" s="446">
        <f t="shared" si="1"/>
        <v>0.88061940709220299</v>
      </c>
      <c r="I17" s="447">
        <f>ROS!D78</f>
        <v>89.005166172210608</v>
      </c>
      <c r="J17" s="446">
        <f>SUM(ROS!H78:H84)</f>
        <v>0.30937179284357619</v>
      </c>
      <c r="K17" s="446">
        <f>SUM(ROS!I78:I84)</f>
        <v>0.38814083093467622</v>
      </c>
      <c r="L17" s="446">
        <f>SUM(ROS!P78:P84)</f>
        <v>1.1134967741935486E-4</v>
      </c>
      <c r="M17" s="448">
        <f>paddy_rain!AB36</f>
        <v>0</v>
      </c>
      <c r="N17" s="448">
        <f>paddy_Dry!AB36</f>
        <v>0</v>
      </c>
      <c r="O17" s="448">
        <f>upland_dry!AB36</f>
        <v>0</v>
      </c>
      <c r="P17" s="448">
        <f>upland_rain!AB36</f>
        <v>67</v>
      </c>
      <c r="Q17" s="448">
        <f>plant!R25</f>
        <v>0</v>
      </c>
      <c r="R17" s="449">
        <f t="shared" si="2"/>
        <v>67</v>
      </c>
      <c r="S17" s="450">
        <f>fishporn!$E$6</f>
        <v>0</v>
      </c>
      <c r="T17" s="448">
        <f>' prawnporn'!$E$6</f>
        <v>0</v>
      </c>
      <c r="U17" s="451"/>
    </row>
    <row r="18" spans="1:21" x14ac:dyDescent="0.3">
      <c r="A18" s="444">
        <f t="shared" si="0"/>
        <v>11</v>
      </c>
      <c r="B18" s="445" t="s">
        <v>755</v>
      </c>
      <c r="C18" s="446">
        <f>SUM(ROS!R85:R91)</f>
        <v>7.9388262704030727E-3</v>
      </c>
      <c r="D18" s="446">
        <f>SUM(ROS!K85:K91)</f>
        <v>2.9354838709677415E-2</v>
      </c>
      <c r="E18" s="446">
        <f>SUM(ROS!M85:M91)</f>
        <v>0.26983870967741935</v>
      </c>
      <c r="F18" s="446">
        <f>SUM(ROS!N85:N91)</f>
        <v>0.57309677419354832</v>
      </c>
      <c r="G18" s="446">
        <f>SUM(ROS!L85:L91)</f>
        <v>0</v>
      </c>
      <c r="H18" s="446">
        <f t="shared" si="1"/>
        <v>0.88022914885104808</v>
      </c>
      <c r="I18" s="447">
        <f>ROS!D85</f>
        <v>88.203315803209563</v>
      </c>
      <c r="J18" s="446">
        <f>SUM(ROS!H85:H91)</f>
        <v>0.30801573081064887</v>
      </c>
      <c r="K18" s="446">
        <f>SUM(ROS!I85:I91)</f>
        <v>0.38814083093467622</v>
      </c>
      <c r="L18" s="446">
        <f>SUM(ROS!P85:P91)</f>
        <v>1.1134967741935486E-4</v>
      </c>
      <c r="M18" s="448">
        <f>paddy_rain!AB37</f>
        <v>0</v>
      </c>
      <c r="N18" s="448">
        <f>paddy_Dry!AB37</f>
        <v>0</v>
      </c>
      <c r="O18" s="448">
        <f>upland_dry!AB37</f>
        <v>0</v>
      </c>
      <c r="P18" s="448">
        <f>upland_rain!AB37</f>
        <v>67</v>
      </c>
      <c r="Q18" s="448">
        <f>plant!R26</f>
        <v>0</v>
      </c>
      <c r="R18" s="449">
        <f t="shared" si="2"/>
        <v>67</v>
      </c>
      <c r="S18" s="450">
        <f>fishporn!$E$6</f>
        <v>0</v>
      </c>
      <c r="T18" s="448">
        <f>' prawnporn'!$E$6</f>
        <v>0</v>
      </c>
      <c r="U18" s="451"/>
    </row>
    <row r="19" spans="1:21" x14ac:dyDescent="0.3">
      <c r="A19" s="444">
        <f t="shared" si="0"/>
        <v>12</v>
      </c>
      <c r="B19" s="445" t="s">
        <v>757</v>
      </c>
      <c r="C19" s="446">
        <f>SUM(ROS!R92:R98)</f>
        <v>7.9388262704030727E-3</v>
      </c>
      <c r="D19" s="446">
        <f>SUM(ROS!K92:K98)</f>
        <v>2.9354838709677415E-2</v>
      </c>
      <c r="E19" s="446">
        <f>SUM(ROS!M92:M98)</f>
        <v>0.26983870967741935</v>
      </c>
      <c r="F19" s="446">
        <f>SUM(ROS!N92:N98)</f>
        <v>0.57309677419354832</v>
      </c>
      <c r="G19" s="446">
        <f>SUM(ROS!L92:L98)</f>
        <v>0</v>
      </c>
      <c r="H19" s="446">
        <f t="shared" si="1"/>
        <v>0.88022914885104808</v>
      </c>
      <c r="I19" s="447">
        <f>ROS!D92</f>
        <v>87.403211754482626</v>
      </c>
      <c r="J19" s="446">
        <f>SUM(ROS!H92:H98)</f>
        <v>0.30666233970769602</v>
      </c>
      <c r="K19" s="446">
        <f>SUM(ROS!I92:I98)</f>
        <v>0.38814083093467622</v>
      </c>
      <c r="L19" s="446">
        <f>SUM(ROS!P92:P98)</f>
        <v>1.1134967741935486E-4</v>
      </c>
      <c r="M19" s="448">
        <f>paddy_rain!AB38</f>
        <v>0</v>
      </c>
      <c r="N19" s="448">
        <f>paddy_Dry!AB38</f>
        <v>0</v>
      </c>
      <c r="O19" s="448">
        <f>upland_dry!AB38</f>
        <v>0</v>
      </c>
      <c r="P19" s="448">
        <f>upland_rain!AB38</f>
        <v>67</v>
      </c>
      <c r="Q19" s="448">
        <f>plant!R27</f>
        <v>0</v>
      </c>
      <c r="R19" s="449">
        <f t="shared" si="2"/>
        <v>67</v>
      </c>
      <c r="S19" s="450">
        <f>fishporn!$E$6</f>
        <v>0</v>
      </c>
      <c r="T19" s="448">
        <f>' prawnporn'!$E$6</f>
        <v>0</v>
      </c>
      <c r="U19" s="451"/>
    </row>
    <row r="20" spans="1:21" x14ac:dyDescent="0.3">
      <c r="A20" s="444">
        <f t="shared" si="0"/>
        <v>13</v>
      </c>
      <c r="B20" s="445" t="s">
        <v>758</v>
      </c>
      <c r="C20" s="446">
        <f>SUM(ROS!R99:R105)</f>
        <v>7.9388262704030727E-3</v>
      </c>
      <c r="D20" s="446">
        <f>SUM(ROS!K99:K105)</f>
        <v>2.9354838709677415E-2</v>
      </c>
      <c r="E20" s="446">
        <f>SUM(ROS!M99:M105)</f>
        <v>0.26983870967741935</v>
      </c>
      <c r="F20" s="446">
        <f>SUM(ROS!N99:N105)</f>
        <v>0.57309677419354832</v>
      </c>
      <c r="G20" s="446">
        <f>SUM(ROS!L99:L105)</f>
        <v>0</v>
      </c>
      <c r="H20" s="446">
        <f t="shared" si="1"/>
        <v>0.88022914885104808</v>
      </c>
      <c r="I20" s="447">
        <f>ROS!D99</f>
        <v>86.604461096858628</v>
      </c>
      <c r="J20" s="446">
        <f>SUM(ROS!H99:H105)</f>
        <v>0.30531123789134329</v>
      </c>
      <c r="K20" s="446">
        <f>SUM(ROS!I99:I105)</f>
        <v>0.38814083093467622</v>
      </c>
      <c r="L20" s="446">
        <f>SUM(ROS!P99:P105)</f>
        <v>1.1134967741935486E-4</v>
      </c>
      <c r="M20" s="448">
        <f>paddy_rain!AB39</f>
        <v>0</v>
      </c>
      <c r="N20" s="448">
        <f>paddy_Dry!AB39</f>
        <v>0</v>
      </c>
      <c r="O20" s="448">
        <f>upland_dry!AB39</f>
        <v>0</v>
      </c>
      <c r="P20" s="448">
        <f>upland_rain!AB39</f>
        <v>67</v>
      </c>
      <c r="Q20" s="448">
        <f>plant!R28</f>
        <v>0</v>
      </c>
      <c r="R20" s="449">
        <f t="shared" si="2"/>
        <v>67</v>
      </c>
      <c r="S20" s="450">
        <f>fishporn!$E$6</f>
        <v>0</v>
      </c>
      <c r="T20" s="448">
        <f>' prawnporn'!$E$6</f>
        <v>0</v>
      </c>
      <c r="U20" s="451"/>
    </row>
    <row r="21" spans="1:21" x14ac:dyDescent="0.3">
      <c r="A21" s="444">
        <f t="shared" si="0"/>
        <v>14</v>
      </c>
      <c r="B21" s="445" t="s">
        <v>759</v>
      </c>
      <c r="C21" s="446">
        <f>SUM(ROS!R106:R112)</f>
        <v>7.8958418633161744E-3</v>
      </c>
      <c r="D21" s="446">
        <f>SUM(ROS!K106:K112)</f>
        <v>3.2050691244239635E-2</v>
      </c>
      <c r="E21" s="446">
        <f>SUM(ROS!M106:M112)</f>
        <v>0.30533410138248857</v>
      </c>
      <c r="F21" s="446">
        <f>SUM(ROS!N106:N112)</f>
        <v>0.6075995391705068</v>
      </c>
      <c r="G21" s="446">
        <f>SUM(ROS!L106:L112)</f>
        <v>0</v>
      </c>
      <c r="H21" s="446">
        <f t="shared" si="1"/>
        <v>0.95288017366055122</v>
      </c>
      <c r="I21" s="447">
        <f>ROS!D106</f>
        <v>85.807061541050984</v>
      </c>
      <c r="J21" s="446">
        <f>SUM(ROS!H106:H112)</f>
        <v>0.34937368901915922</v>
      </c>
      <c r="K21" s="446">
        <f>SUM(ROS!I106:I112)</f>
        <v>0.39656480591188237</v>
      </c>
      <c r="L21" s="446">
        <f>SUM(ROS!P106:P112)</f>
        <v>4.4219999999999991E-4</v>
      </c>
      <c r="M21" s="448">
        <f>paddy_rain!AB40</f>
        <v>0</v>
      </c>
      <c r="N21" s="448">
        <f>paddy_Dry!AB40</f>
        <v>0</v>
      </c>
      <c r="O21" s="448">
        <f>upland_dry!AB40</f>
        <v>0</v>
      </c>
      <c r="P21" s="448">
        <f>upland_rain!AB40</f>
        <v>67</v>
      </c>
      <c r="Q21" s="448">
        <f>plant!R29</f>
        <v>0</v>
      </c>
      <c r="R21" s="449">
        <f t="shared" si="2"/>
        <v>67</v>
      </c>
      <c r="S21" s="450">
        <f>fishporn!$E$6</f>
        <v>0</v>
      </c>
      <c r="T21" s="448">
        <f>' prawnporn'!$E$6</f>
        <v>0</v>
      </c>
      <c r="U21" s="451"/>
    </row>
    <row r="22" spans="1:21" x14ac:dyDescent="0.3">
      <c r="A22" s="444">
        <f t="shared" si="0"/>
        <v>15</v>
      </c>
      <c r="B22" s="445" t="s">
        <v>760</v>
      </c>
      <c r="C22" s="446">
        <f>SUM(ROS!R113:R119)</f>
        <v>7.7928874290440712E-3</v>
      </c>
      <c r="D22" s="446">
        <f>SUM(ROS!K113:K119)</f>
        <v>3.2500000000000001E-2</v>
      </c>
      <c r="E22" s="446">
        <f>SUM(ROS!M113:M119)</f>
        <v>0.31125000000000008</v>
      </c>
      <c r="F22" s="446">
        <f>SUM(ROS!N113:N119)</f>
        <v>0.61334999999999984</v>
      </c>
      <c r="G22" s="446">
        <f>SUM(ROS!L113:L119)</f>
        <v>0</v>
      </c>
      <c r="H22" s="446">
        <f t="shared" si="1"/>
        <v>0.964892887429044</v>
      </c>
      <c r="I22" s="447">
        <f>ROS!D113</f>
        <v>84.901372484283186</v>
      </c>
      <c r="J22" s="446">
        <f>SUM(ROS!H113:H119)</f>
        <v>0.35514160990792004</v>
      </c>
      <c r="K22" s="446">
        <f>SUM(ROS!I113:I119)</f>
        <v>0.39796880174141669</v>
      </c>
      <c r="L22" s="446">
        <f>SUM(ROS!P113:P119)</f>
        <v>4.4219999999999991E-4</v>
      </c>
      <c r="M22" s="448">
        <f>paddy_rain!AB41</f>
        <v>0</v>
      </c>
      <c r="N22" s="448">
        <f>paddy_Dry!AB41</f>
        <v>0</v>
      </c>
      <c r="O22" s="448">
        <f>upland_dry!AB41</f>
        <v>0</v>
      </c>
      <c r="P22" s="448">
        <f>upland_rain!AB41</f>
        <v>67</v>
      </c>
      <c r="Q22" s="448">
        <f>plant!R30</f>
        <v>0</v>
      </c>
      <c r="R22" s="449">
        <f t="shared" si="2"/>
        <v>67</v>
      </c>
      <c r="S22" s="450">
        <f>fishporn!$E$6</f>
        <v>0</v>
      </c>
      <c r="T22" s="448">
        <f>' prawnporn'!$E$6</f>
        <v>0</v>
      </c>
      <c r="U22" s="451"/>
    </row>
    <row r="23" spans="1:21" x14ac:dyDescent="0.3">
      <c r="A23" s="444">
        <f t="shared" si="0"/>
        <v>16</v>
      </c>
      <c r="B23" s="445" t="s">
        <v>761</v>
      </c>
      <c r="C23" s="446">
        <f>SUM(ROS!R120:R126)</f>
        <v>6.5162524440700326E-3</v>
      </c>
      <c r="D23" s="446">
        <f>SUM(ROS!K120:K126)</f>
        <v>3.2500000000000001E-2</v>
      </c>
      <c r="E23" s="446">
        <f>SUM(ROS!M120:M126)</f>
        <v>0.31125000000000008</v>
      </c>
      <c r="F23" s="446">
        <f>SUM(ROS!N120:N126)</f>
        <v>0.61334999999999984</v>
      </c>
      <c r="G23" s="446">
        <f>SUM(ROS!L120:L126)</f>
        <v>0</v>
      </c>
      <c r="H23" s="446">
        <f t="shared" si="1"/>
        <v>0.9636162524440699</v>
      </c>
      <c r="I23" s="447">
        <f>ROS!D120</f>
        <v>83.979306788687708</v>
      </c>
      <c r="J23" s="446">
        <f>SUM(ROS!H120:H126)</f>
        <v>0.3533053889825295</v>
      </c>
      <c r="K23" s="446">
        <f>SUM(ROS!I120:I126)</f>
        <v>0.39796880174141669</v>
      </c>
      <c r="L23" s="446">
        <f>SUM(ROS!P120:P126)</f>
        <v>4.4219999999999991E-4</v>
      </c>
      <c r="M23" s="448">
        <f>paddy_rain!AB42</f>
        <v>0</v>
      </c>
      <c r="N23" s="448">
        <f>paddy_Dry!AB42</f>
        <v>0</v>
      </c>
      <c r="O23" s="448">
        <f>upland_dry!AB42</f>
        <v>0</v>
      </c>
      <c r="P23" s="448">
        <f>upland_rain!AB42</f>
        <v>67</v>
      </c>
      <c r="Q23" s="448">
        <f>plant!R31</f>
        <v>0</v>
      </c>
      <c r="R23" s="449">
        <f t="shared" si="2"/>
        <v>67</v>
      </c>
      <c r="S23" s="450">
        <f>fishporn!$E$6</f>
        <v>0</v>
      </c>
      <c r="T23" s="448">
        <f>' prawnporn'!$E$6</f>
        <v>0</v>
      </c>
      <c r="U23" s="451"/>
    </row>
    <row r="24" spans="1:21" x14ac:dyDescent="0.3">
      <c r="A24" s="444">
        <f t="shared" si="0"/>
        <v>17</v>
      </c>
      <c r="B24" s="445" t="s">
        <v>762</v>
      </c>
      <c r="C24" s="446">
        <f>SUM(ROS!R127:R133)</f>
        <v>6.0299649482439136E-3</v>
      </c>
      <c r="D24" s="446">
        <f>SUM(ROS!K127:K133)</f>
        <v>3.2500000000000001E-2</v>
      </c>
      <c r="E24" s="446">
        <f>SUM(ROS!M127:M133)</f>
        <v>0.31125000000000008</v>
      </c>
      <c r="F24" s="446">
        <f>SUM(ROS!N127:N133)</f>
        <v>0.61334999999999984</v>
      </c>
      <c r="G24" s="446">
        <f>SUM(ROS!L127:L133)</f>
        <v>0</v>
      </c>
      <c r="H24" s="446">
        <f t="shared" si="1"/>
        <v>0.96312996494824388</v>
      </c>
      <c r="I24" s="447">
        <f>ROS!D127</f>
        <v>83.060353949002561</v>
      </c>
      <c r="J24" s="446">
        <f>SUM(ROS!H127:H133)</f>
        <v>0.35142090021506378</v>
      </c>
      <c r="K24" s="446">
        <f>SUM(ROS!I127:I133)</f>
        <v>0.39796880174141669</v>
      </c>
      <c r="L24" s="446">
        <f>SUM(ROS!P127:P133)</f>
        <v>4.0920000000000003E-4</v>
      </c>
      <c r="M24" s="448">
        <f>paddy_rain!AB43</f>
        <v>0</v>
      </c>
      <c r="N24" s="448">
        <f>paddy_Dry!AB43</f>
        <v>0</v>
      </c>
      <c r="O24" s="448">
        <f>upland_dry!AB43</f>
        <v>0</v>
      </c>
      <c r="P24" s="448">
        <f>upland_rain!AB43</f>
        <v>62</v>
      </c>
      <c r="Q24" s="448">
        <f>plant!R32</f>
        <v>0</v>
      </c>
      <c r="R24" s="449">
        <f t="shared" si="2"/>
        <v>62</v>
      </c>
      <c r="S24" s="450">
        <f>fishporn!$E$6</f>
        <v>0</v>
      </c>
      <c r="T24" s="448">
        <f>' prawnporn'!$E$6</f>
        <v>0</v>
      </c>
      <c r="U24" s="451"/>
    </row>
    <row r="25" spans="1:21" x14ac:dyDescent="0.3">
      <c r="A25" s="444">
        <f t="shared" si="0"/>
        <v>18</v>
      </c>
      <c r="B25" s="445" t="s">
        <v>763</v>
      </c>
      <c r="C25" s="446">
        <f>SUM(ROS!R134:R140)</f>
        <v>0</v>
      </c>
      <c r="D25" s="446">
        <f>SUM(ROS!K134:K140)</f>
        <v>2.9804147465437782E-2</v>
      </c>
      <c r="E25" s="446">
        <f>SUM(ROS!M134:M140)</f>
        <v>0.2854320276497696</v>
      </c>
      <c r="F25" s="446">
        <f>SUM(ROS!N134:N140)</f>
        <v>0.59522142857142857</v>
      </c>
      <c r="G25" s="446">
        <f>SUM(ROS!L134:L140)</f>
        <v>0</v>
      </c>
      <c r="H25" s="446">
        <f t="shared" si="1"/>
        <v>0.91045760368663597</v>
      </c>
      <c r="I25" s="447">
        <f>ROS!D134</f>
        <v>82.143771885580691</v>
      </c>
      <c r="J25" s="446">
        <f>SUM(ROS!H134:H140)</f>
        <v>0.36300581846418767</v>
      </c>
      <c r="K25" s="446">
        <f>SUM(ROS!I134:I140)</f>
        <v>0.39567539120440953</v>
      </c>
      <c r="L25" s="446">
        <f>SUM(ROS!P134:P140)</f>
        <v>0</v>
      </c>
      <c r="M25" s="448">
        <f>paddy_rain!AB44</f>
        <v>0</v>
      </c>
      <c r="N25" s="448">
        <f>paddy_Dry!AB44</f>
        <v>0</v>
      </c>
      <c r="O25" s="448">
        <f>upland_dry!AB44</f>
        <v>0</v>
      </c>
      <c r="P25" s="448">
        <f>upland_rain!AB44</f>
        <v>0</v>
      </c>
      <c r="Q25" s="448">
        <f>plant!R33</f>
        <v>0</v>
      </c>
      <c r="R25" s="449">
        <f t="shared" si="2"/>
        <v>0</v>
      </c>
      <c r="S25" s="450">
        <f>fishporn!$E$6</f>
        <v>0</v>
      </c>
      <c r="T25" s="448">
        <f>' prawnporn'!$E$6</f>
        <v>0</v>
      </c>
      <c r="U25" s="451"/>
    </row>
    <row r="26" spans="1:21" x14ac:dyDescent="0.3">
      <c r="A26" s="444">
        <f t="shared" si="0"/>
        <v>19</v>
      </c>
      <c r="B26" s="445" t="s">
        <v>764</v>
      </c>
      <c r="C26" s="446">
        <f>SUM(ROS!R141:R147)</f>
        <v>0</v>
      </c>
      <c r="D26" s="446">
        <f>SUM(ROS!K141:K147)</f>
        <v>2.9354838709677415E-2</v>
      </c>
      <c r="E26" s="446">
        <f>SUM(ROS!M141:M147)</f>
        <v>0.28112903225806457</v>
      </c>
      <c r="F26" s="446">
        <f>SUM(ROS!N141:N147)</f>
        <v>0.59219999999999995</v>
      </c>
      <c r="G26" s="446">
        <f>SUM(ROS!L141:L147)</f>
        <v>0</v>
      </c>
      <c r="H26" s="446">
        <f t="shared" si="1"/>
        <v>0.90268387096774194</v>
      </c>
      <c r="I26" s="447">
        <f>ROS!D141</f>
        <v>81.265983854634314</v>
      </c>
      <c r="J26" s="446">
        <f>SUM(ROS!H141:H147)</f>
        <v>0.36336812790583239</v>
      </c>
      <c r="K26" s="446">
        <f>SUM(ROS!I141:I147)</f>
        <v>0.39529315611490834</v>
      </c>
      <c r="L26" s="446">
        <f>SUM(ROS!P141:P147)</f>
        <v>0</v>
      </c>
      <c r="M26" s="448">
        <f>paddy_rain!AB45</f>
        <v>0</v>
      </c>
      <c r="N26" s="448">
        <f>paddy_Dry!AB45</f>
        <v>0</v>
      </c>
      <c r="O26" s="448">
        <f>upland_dry!AB45</f>
        <v>0</v>
      </c>
      <c r="P26" s="448">
        <f>upland_rain!AB45</f>
        <v>0</v>
      </c>
      <c r="Q26" s="448">
        <f>plant!R34</f>
        <v>0</v>
      </c>
      <c r="R26" s="449">
        <f t="shared" si="2"/>
        <v>0</v>
      </c>
      <c r="S26" s="450">
        <f>fishporn!$E$6</f>
        <v>0</v>
      </c>
      <c r="T26" s="448">
        <f>' prawnporn'!$E$6</f>
        <v>0</v>
      </c>
      <c r="U26" s="451"/>
    </row>
    <row r="27" spans="1:21" x14ac:dyDescent="0.3">
      <c r="A27" s="444">
        <f t="shared" si="0"/>
        <v>20</v>
      </c>
      <c r="B27" s="445" t="s">
        <v>765</v>
      </c>
      <c r="C27" s="446">
        <f>SUM(ROS!R148:R154)</f>
        <v>0</v>
      </c>
      <c r="D27" s="446">
        <f>SUM(ROS!K148:K154)</f>
        <v>2.9354838709677415E-2</v>
      </c>
      <c r="E27" s="446">
        <f>SUM(ROS!M148:M154)</f>
        <v>0.28112903225806457</v>
      </c>
      <c r="F27" s="446">
        <f>SUM(ROS!N148:N154)</f>
        <v>0.59219999999999995</v>
      </c>
      <c r="G27" s="446">
        <f>SUM(ROS!L148:L154)</f>
        <v>0</v>
      </c>
      <c r="H27" s="446">
        <f t="shared" si="1"/>
        <v>0.90268387096774194</v>
      </c>
      <c r="I27" s="447">
        <f>ROS!D148</f>
        <v>80.395225011875695</v>
      </c>
      <c r="J27" s="446">
        <f>SUM(ROS!H148:H154)</f>
        <v>0.36148850755045792</v>
      </c>
      <c r="K27" s="446">
        <f>SUM(ROS!I148:I154)</f>
        <v>0.39529315611490834</v>
      </c>
      <c r="L27" s="446">
        <f>SUM(ROS!P148:P154)</f>
        <v>0</v>
      </c>
      <c r="M27" s="448">
        <f>paddy_rain!AB46</f>
        <v>0</v>
      </c>
      <c r="N27" s="448">
        <f>paddy_Dry!AB46</f>
        <v>0</v>
      </c>
      <c r="O27" s="448">
        <f>upland_dry!AB46</f>
        <v>0</v>
      </c>
      <c r="P27" s="448">
        <f>upland_rain!AB46</f>
        <v>0</v>
      </c>
      <c r="Q27" s="448">
        <f>plant!R35</f>
        <v>0</v>
      </c>
      <c r="R27" s="449">
        <f t="shared" si="2"/>
        <v>0</v>
      </c>
      <c r="S27" s="450">
        <f>fishporn!$E$6</f>
        <v>0</v>
      </c>
      <c r="T27" s="448">
        <f>' prawnporn'!$E$6</f>
        <v>0</v>
      </c>
      <c r="U27" s="451"/>
    </row>
    <row r="28" spans="1:21" x14ac:dyDescent="0.3">
      <c r="A28" s="444">
        <f t="shared" si="0"/>
        <v>21</v>
      </c>
      <c r="B28" s="445" t="s">
        <v>766</v>
      </c>
      <c r="C28" s="446">
        <f>SUM(ROS!R155:R161)</f>
        <v>0</v>
      </c>
      <c r="D28" s="446">
        <f>SUM(ROS!K155:K161)</f>
        <v>2.9354838709677415E-2</v>
      </c>
      <c r="E28" s="446">
        <f>SUM(ROS!M155:M161)</f>
        <v>0.28112903225806457</v>
      </c>
      <c r="F28" s="446">
        <f>SUM(ROS!N155:N161)</f>
        <v>0.59219999999999995</v>
      </c>
      <c r="G28" s="446">
        <f>SUM(ROS!L155:L161)</f>
        <v>0</v>
      </c>
      <c r="H28" s="446">
        <f t="shared" si="1"/>
        <v>0.90268387096774194</v>
      </c>
      <c r="I28" s="447">
        <f>ROS!D155</f>
        <v>79.526345789472444</v>
      </c>
      <c r="J28" s="446">
        <f>SUM(ROS!H155:H161)</f>
        <v>0.35961294454426762</v>
      </c>
      <c r="K28" s="446">
        <f>SUM(ROS!I155:I161)</f>
        <v>0.39529315611490834</v>
      </c>
      <c r="L28" s="446">
        <f>SUM(ROS!P155:P161)</f>
        <v>0</v>
      </c>
      <c r="M28" s="448">
        <f>paddy_rain!AB47</f>
        <v>0</v>
      </c>
      <c r="N28" s="448">
        <f>paddy_Dry!AB47</f>
        <v>0</v>
      </c>
      <c r="O28" s="448">
        <f>upland_dry!AB47</f>
        <v>0</v>
      </c>
      <c r="P28" s="448">
        <f>upland_rain!AB47</f>
        <v>0</v>
      </c>
      <c r="Q28" s="448">
        <f>plant!R36</f>
        <v>0</v>
      </c>
      <c r="R28" s="449">
        <f t="shared" si="2"/>
        <v>0</v>
      </c>
      <c r="S28" s="450">
        <f>fishporn!$E$6</f>
        <v>0</v>
      </c>
      <c r="T28" s="448">
        <f>' prawnporn'!$E$6</f>
        <v>0</v>
      </c>
      <c r="U28" s="451"/>
    </row>
    <row r="29" spans="1:21" x14ac:dyDescent="0.3">
      <c r="A29" s="444">
        <f t="shared" si="0"/>
        <v>22</v>
      </c>
      <c r="B29" s="445" t="s">
        <v>767</v>
      </c>
      <c r="C29" s="446">
        <f>SUM(ROS!R162:R168)</f>
        <v>0</v>
      </c>
      <c r="D29" s="446">
        <f>SUM(ROS!K162:K168)</f>
        <v>2.9774193548387097E-2</v>
      </c>
      <c r="E29" s="446">
        <f>SUM(ROS!M162:M168)</f>
        <v>0.27514516129032263</v>
      </c>
      <c r="F29" s="446">
        <f>SUM(ROS!N162:N168)</f>
        <v>0.59219999999999995</v>
      </c>
      <c r="G29" s="446">
        <f>SUM(ROS!L162:L168)</f>
        <v>0</v>
      </c>
      <c r="H29" s="446">
        <f t="shared" si="1"/>
        <v>0.89711935483870975</v>
      </c>
      <c r="I29" s="447">
        <f>ROS!D162</f>
        <v>78.659342130075373</v>
      </c>
      <c r="J29" s="446">
        <f>SUM(ROS!H162:H168)</f>
        <v>0.36895738077695661</v>
      </c>
      <c r="K29" s="446">
        <f>SUM(ROS!I162:I168)</f>
        <v>0.43387457278485481</v>
      </c>
      <c r="L29" s="446">
        <f>SUM(ROS!P162:P168)</f>
        <v>0</v>
      </c>
      <c r="M29" s="448">
        <f>paddy_rain!AB48</f>
        <v>0</v>
      </c>
      <c r="N29" s="448">
        <f>paddy_Dry!AB48</f>
        <v>0</v>
      </c>
      <c r="O29" s="448">
        <f>upland_dry!AB48</f>
        <v>0</v>
      </c>
      <c r="P29" s="448">
        <f>upland_rain!AB48</f>
        <v>0</v>
      </c>
      <c r="Q29" s="448">
        <f>plant!R37</f>
        <v>0</v>
      </c>
      <c r="R29" s="449">
        <f t="shared" si="2"/>
        <v>0</v>
      </c>
      <c r="S29" s="450">
        <f>fishporn!$E$6</f>
        <v>0</v>
      </c>
      <c r="T29" s="448">
        <f>' prawnporn'!$E$6</f>
        <v>0</v>
      </c>
      <c r="U29" s="451"/>
    </row>
    <row r="30" spans="1:21" x14ac:dyDescent="0.3">
      <c r="A30" s="444">
        <f t="shared" si="0"/>
        <v>23</v>
      </c>
      <c r="B30" s="445" t="s">
        <v>768</v>
      </c>
      <c r="C30" s="446">
        <f>SUM(ROS!R169:R175)</f>
        <v>0</v>
      </c>
      <c r="D30" s="446">
        <f>SUM(ROS!K169:K175)</f>
        <v>3.0333333333333337E-2</v>
      </c>
      <c r="E30" s="446">
        <f>SUM(ROS!M169:M175)</f>
        <v>0.26716666666666672</v>
      </c>
      <c r="F30" s="446">
        <f>SUM(ROS!N169:N175)</f>
        <v>0.59219999999999995</v>
      </c>
      <c r="G30" s="446">
        <f>SUM(ROS!L169:L175)</f>
        <v>0</v>
      </c>
      <c r="H30" s="446">
        <f t="shared" si="1"/>
        <v>0.88969999999999994</v>
      </c>
      <c r="I30" s="447">
        <f>ROS!D169</f>
        <v>77.827139967244577</v>
      </c>
      <c r="J30" s="446">
        <f>SUM(ROS!H169:H175)</f>
        <v>0.38207096677496999</v>
      </c>
      <c r="K30" s="446">
        <f>SUM(ROS!I169:I175)</f>
        <v>0.48531646167811676</v>
      </c>
      <c r="L30" s="446">
        <f>SUM(ROS!P169:P175)</f>
        <v>0</v>
      </c>
      <c r="M30" s="448">
        <f>paddy_rain!AB49</f>
        <v>0</v>
      </c>
      <c r="N30" s="448">
        <f>paddy_Dry!AB49</f>
        <v>0</v>
      </c>
      <c r="O30" s="448">
        <f>upland_dry!AB49</f>
        <v>0</v>
      </c>
      <c r="P30" s="448">
        <f>upland_rain!AB49</f>
        <v>0</v>
      </c>
      <c r="Q30" s="448">
        <f>plant!R38</f>
        <v>0</v>
      </c>
      <c r="R30" s="449">
        <f t="shared" si="2"/>
        <v>0</v>
      </c>
      <c r="S30" s="450">
        <f>fishporn!$E$6</f>
        <v>0</v>
      </c>
      <c r="T30" s="448">
        <f>' prawnporn'!$E$6</f>
        <v>0</v>
      </c>
      <c r="U30" s="451"/>
    </row>
    <row r="31" spans="1:21" x14ac:dyDescent="0.3">
      <c r="A31" s="444">
        <f t="shared" si="0"/>
        <v>24</v>
      </c>
      <c r="B31" s="445" t="s">
        <v>769</v>
      </c>
      <c r="C31" s="446">
        <f>SUM(ROS!R176:R182)</f>
        <v>0</v>
      </c>
      <c r="D31" s="446">
        <f>SUM(ROS!K176:K182)</f>
        <v>3.0333333333333337E-2</v>
      </c>
      <c r="E31" s="446">
        <f>SUM(ROS!M176:M182)</f>
        <v>0.26716666666666672</v>
      </c>
      <c r="F31" s="446">
        <f>SUM(ROS!N176:N182)</f>
        <v>0.59219999999999995</v>
      </c>
      <c r="G31" s="446">
        <f>SUM(ROS!L176:L182)</f>
        <v>0</v>
      </c>
      <c r="H31" s="446">
        <f t="shared" si="1"/>
        <v>0.88969999999999994</v>
      </c>
      <c r="I31" s="447">
        <f>ROS!D176</f>
        <v>77.040685462147721</v>
      </c>
      <c r="J31" s="446">
        <f>SUM(ROS!H176:H182)</f>
        <v>0.38019265755866588</v>
      </c>
      <c r="K31" s="446">
        <f>SUM(ROS!I176:I182)</f>
        <v>0.48531646167811676</v>
      </c>
      <c r="L31" s="446">
        <f>SUM(ROS!P176:P182)</f>
        <v>0</v>
      </c>
      <c r="M31" s="448">
        <f>paddy_rain!AB50</f>
        <v>0</v>
      </c>
      <c r="N31" s="448">
        <f>paddy_Dry!AB50</f>
        <v>0</v>
      </c>
      <c r="O31" s="448">
        <f>upland_dry!AB50</f>
        <v>0</v>
      </c>
      <c r="P31" s="448">
        <f>upland_rain!AB50</f>
        <v>0</v>
      </c>
      <c r="Q31" s="448">
        <f>plant!R39</f>
        <v>0</v>
      </c>
      <c r="R31" s="449">
        <f t="shared" si="2"/>
        <v>0</v>
      </c>
      <c r="S31" s="450">
        <f>fishporn!$E$6</f>
        <v>0</v>
      </c>
      <c r="T31" s="448">
        <f>' prawnporn'!$E$6</f>
        <v>0</v>
      </c>
      <c r="U31" s="451"/>
    </row>
    <row r="32" spans="1:21" x14ac:dyDescent="0.3">
      <c r="A32" s="444">
        <f t="shared" si="0"/>
        <v>25</v>
      </c>
      <c r="B32" s="445" t="s">
        <v>770</v>
      </c>
      <c r="C32" s="446">
        <f>SUM(ROS!R183:R189)</f>
        <v>0</v>
      </c>
      <c r="D32" s="446">
        <f>SUM(ROS!K183:K189)</f>
        <v>3.0333333333333337E-2</v>
      </c>
      <c r="E32" s="446">
        <f>SUM(ROS!M183:M189)</f>
        <v>0.26716666666666672</v>
      </c>
      <c r="F32" s="446">
        <f>SUM(ROS!N183:N189)</f>
        <v>0.59219999999999995</v>
      </c>
      <c r="G32" s="446">
        <f>SUM(ROS!L180:L189)</f>
        <v>0</v>
      </c>
      <c r="H32" s="446">
        <f t="shared" si="1"/>
        <v>0.88969999999999994</v>
      </c>
      <c r="I32" s="447">
        <f>ROS!D183</f>
        <v>76.25610926626716</v>
      </c>
      <c r="J32" s="446">
        <f>SUM(ROS!H183:H189)</f>
        <v>0.37829982100361931</v>
      </c>
      <c r="K32" s="446">
        <f>SUM(ROS!I183:I189)</f>
        <v>0.48531646167811676</v>
      </c>
      <c r="L32" s="446">
        <f>SUM(ROS!P183:P189)</f>
        <v>0</v>
      </c>
      <c r="M32" s="448">
        <f>paddy_rain!AB51</f>
        <v>0</v>
      </c>
      <c r="N32" s="448">
        <f>paddy_Dry!AB51</f>
        <v>0</v>
      </c>
      <c r="O32" s="448">
        <f>upland_dry!AB51</f>
        <v>0</v>
      </c>
      <c r="P32" s="448">
        <f>upland_rain!AB51</f>
        <v>0</v>
      </c>
      <c r="Q32" s="448">
        <f>plant!R40</f>
        <v>0</v>
      </c>
      <c r="R32" s="449">
        <f t="shared" si="2"/>
        <v>0</v>
      </c>
      <c r="S32" s="450">
        <f>fishporn!$E$6</f>
        <v>0</v>
      </c>
      <c r="T32" s="448">
        <f>' prawnporn'!$E$6</f>
        <v>0</v>
      </c>
      <c r="U32" s="451"/>
    </row>
    <row r="33" spans="1:21" x14ac:dyDescent="0.3">
      <c r="A33" s="444">
        <f t="shared" si="0"/>
        <v>26</v>
      </c>
      <c r="B33" s="445" t="s">
        <v>771</v>
      </c>
      <c r="C33" s="446">
        <f>SUM(ROS!R190:R196)</f>
        <v>0</v>
      </c>
      <c r="D33" s="446">
        <f>SUM(ROS!K190:K196)</f>
        <v>3.0193548387096775E-2</v>
      </c>
      <c r="E33" s="446">
        <f>SUM(ROS!M190:M196)</f>
        <v>0.26593548387096777</v>
      </c>
      <c r="F33" s="446">
        <f>SUM(ROS!N190:N196)</f>
        <v>0.59219999999999995</v>
      </c>
      <c r="G33" s="446">
        <f>SUM(ROS!L190:L196)</f>
        <v>0</v>
      </c>
      <c r="H33" s="446">
        <f t="shared" si="1"/>
        <v>0.88832903225806448</v>
      </c>
      <c r="I33" s="447">
        <f>ROS!D190</f>
        <v>75.473425906941642</v>
      </c>
      <c r="J33" s="446">
        <f>SUM(ROS!H190:H196)</f>
        <v>0.36976851136151573</v>
      </c>
      <c r="K33" s="446">
        <f>SUM(ROS!I190:I196)</f>
        <v>0.53191116136630479</v>
      </c>
      <c r="L33" s="446">
        <f>SUM(ROS!P190:P196)</f>
        <v>0</v>
      </c>
      <c r="M33" s="448">
        <f>paddy_rain!AB52</f>
        <v>0</v>
      </c>
      <c r="N33" s="448">
        <f>paddy_Dry!AB52</f>
        <v>0</v>
      </c>
      <c r="O33" s="448">
        <f>upland_dry!AB52</f>
        <v>0</v>
      </c>
      <c r="P33" s="448">
        <f>upland_rain!AB52</f>
        <v>0</v>
      </c>
      <c r="Q33" s="448">
        <f>plant!R41</f>
        <v>0</v>
      </c>
      <c r="R33" s="449">
        <f t="shared" si="2"/>
        <v>0</v>
      </c>
      <c r="S33" s="450">
        <f>fishporn!$E$6</f>
        <v>0</v>
      </c>
      <c r="T33" s="448">
        <f>' prawnporn'!$E$6</f>
        <v>0</v>
      </c>
      <c r="U33" s="451"/>
    </row>
    <row r="34" spans="1:21" x14ac:dyDescent="0.3">
      <c r="A34" s="444">
        <f t="shared" si="0"/>
        <v>27</v>
      </c>
      <c r="B34" s="445" t="s">
        <v>772</v>
      </c>
      <c r="C34" s="446">
        <f>SUM(ROS!R197:R203)</f>
        <v>0</v>
      </c>
      <c r="D34" s="446">
        <f>SUM(ROS!K197:K203)</f>
        <v>2.9354838709677415E-2</v>
      </c>
      <c r="E34" s="446">
        <f>SUM(ROS!M197:M203)</f>
        <v>0.25854838709677419</v>
      </c>
      <c r="F34" s="446">
        <f>SUM(ROS!N197:N203)</f>
        <v>0.59219999999999995</v>
      </c>
      <c r="G34" s="446">
        <f>SUM(ROS!L197:L203)</f>
        <v>0</v>
      </c>
      <c r="H34" s="446">
        <f t="shared" si="1"/>
        <v>0.88010322580645162</v>
      </c>
      <c r="I34" s="447">
        <f>ROS!D197</f>
        <v>74.747239524688354</v>
      </c>
      <c r="J34" s="446">
        <f>SUM(ROS!H197:H203)</f>
        <v>0.32862159285604625</v>
      </c>
      <c r="K34" s="446">
        <f>SUM(ROS!I197:I203)</f>
        <v>0.81147935949543271</v>
      </c>
      <c r="L34" s="446">
        <f>SUM(ROS!P197:P203)</f>
        <v>0</v>
      </c>
      <c r="M34" s="448">
        <f>paddy_rain!AB53</f>
        <v>0</v>
      </c>
      <c r="N34" s="448">
        <f>paddy_Dry!AB53</f>
        <v>0</v>
      </c>
      <c r="O34" s="448">
        <f>upland_dry!AB53</f>
        <v>0</v>
      </c>
      <c r="P34" s="448">
        <f>upland_rain!AB53</f>
        <v>0</v>
      </c>
      <c r="Q34" s="448">
        <f>plant!R42</f>
        <v>0</v>
      </c>
      <c r="R34" s="449">
        <f t="shared" si="2"/>
        <v>0</v>
      </c>
      <c r="S34" s="450">
        <f>fishporn!$E$6</f>
        <v>0</v>
      </c>
      <c r="T34" s="448">
        <f>' prawnporn'!$E$6</f>
        <v>0</v>
      </c>
      <c r="U34" s="451"/>
    </row>
    <row r="35" spans="1:21" x14ac:dyDescent="0.3">
      <c r="A35" s="444">
        <f t="shared" si="0"/>
        <v>28</v>
      </c>
      <c r="B35" s="445" t="s">
        <v>773</v>
      </c>
      <c r="C35" s="446">
        <f>SUM(ROS!R204:R210)</f>
        <v>0</v>
      </c>
      <c r="D35" s="446">
        <f>SUM(ROS!K204:K210)</f>
        <v>2.9354838709677415E-2</v>
      </c>
      <c r="E35" s="446">
        <f>SUM(ROS!M204:M210)</f>
        <v>0.25854838709677419</v>
      </c>
      <c r="F35" s="446">
        <f>SUM(ROS!N204:N210)</f>
        <v>0.59219999999999995</v>
      </c>
      <c r="G35" s="446">
        <f>SUM(ROS!L204:L210)</f>
        <v>0</v>
      </c>
      <c r="H35" s="446">
        <f t="shared" si="1"/>
        <v>0.88010322580645162</v>
      </c>
      <c r="I35" s="447">
        <f>ROS!D204</f>
        <v>74.349994065521244</v>
      </c>
      <c r="J35" s="446">
        <f>SUM(ROS!H204:H210)</f>
        <v>0.3277817582654689</v>
      </c>
      <c r="K35" s="446">
        <f>SUM(ROS!I204:I210)</f>
        <v>0.81147935949543271</v>
      </c>
      <c r="L35" s="446">
        <f>SUM(ROS!P204:P210)</f>
        <v>0</v>
      </c>
      <c r="M35" s="448">
        <f>paddy_rain!AB54</f>
        <v>0</v>
      </c>
      <c r="N35" s="448">
        <f>paddy_Dry!AB54</f>
        <v>0</v>
      </c>
      <c r="O35" s="448">
        <f>upland_dry!AB54</f>
        <v>0</v>
      </c>
      <c r="P35" s="448">
        <f>upland_rain!AB54</f>
        <v>0</v>
      </c>
      <c r="Q35" s="448">
        <f>plant!R43</f>
        <v>0</v>
      </c>
      <c r="R35" s="449">
        <f t="shared" si="2"/>
        <v>0</v>
      </c>
      <c r="S35" s="450">
        <f>fishporn!$E$6</f>
        <v>0</v>
      </c>
      <c r="T35" s="448">
        <f>' prawnporn'!$E$6</f>
        <v>0</v>
      </c>
      <c r="U35" s="451"/>
    </row>
    <row r="36" spans="1:21" x14ac:dyDescent="0.3">
      <c r="A36" s="444">
        <f t="shared" si="0"/>
        <v>29</v>
      </c>
      <c r="B36" s="445" t="s">
        <v>774</v>
      </c>
      <c r="C36" s="446">
        <f>SUM(ROS!R211:R217)</f>
        <v>0</v>
      </c>
      <c r="D36" s="446">
        <f>SUM(ROS!K211:K217)</f>
        <v>2.9354838709677415E-2</v>
      </c>
      <c r="E36" s="446">
        <f>SUM(ROS!M211:M217)</f>
        <v>0.25854838709677419</v>
      </c>
      <c r="F36" s="446">
        <f>SUM(ROS!N211:N217)</f>
        <v>0.59219999999999995</v>
      </c>
      <c r="G36" s="446">
        <f>SUM(ROS!L211:L217)</f>
        <v>0</v>
      </c>
      <c r="H36" s="446">
        <f t="shared" si="1"/>
        <v>0.88010322580645162</v>
      </c>
      <c r="I36" s="447">
        <f>ROS!D211</f>
        <v>73.953588440944714</v>
      </c>
      <c r="J36" s="446">
        <f>SUM(ROS!H211:H217)</f>
        <v>0.32694369920718092</v>
      </c>
      <c r="K36" s="446">
        <f>SUM(ROS!I211:I217)</f>
        <v>0.81147935949543271</v>
      </c>
      <c r="L36" s="446">
        <f>SUM(ROS!P211:P217)</f>
        <v>0</v>
      </c>
      <c r="M36" s="448">
        <f>paddy_rain!AB55</f>
        <v>0</v>
      </c>
      <c r="N36" s="448">
        <f>paddy_Dry!AB55</f>
        <v>0</v>
      </c>
      <c r="O36" s="448">
        <f>upland_dry!AB55</f>
        <v>0</v>
      </c>
      <c r="P36" s="448">
        <f>upland_rain!AB55</f>
        <v>0</v>
      </c>
      <c r="Q36" s="448">
        <f>plant!R44</f>
        <v>0</v>
      </c>
      <c r="R36" s="449">
        <f t="shared" si="2"/>
        <v>0</v>
      </c>
      <c r="S36" s="450">
        <f>fishporn!$E$6</f>
        <v>0</v>
      </c>
      <c r="T36" s="448">
        <f>' prawnporn'!$E$6</f>
        <v>0</v>
      </c>
      <c r="U36" s="451"/>
    </row>
    <row r="37" spans="1:21" x14ac:dyDescent="0.3">
      <c r="A37" s="444">
        <f t="shared" si="0"/>
        <v>30</v>
      </c>
      <c r="B37" s="445" t="s">
        <v>775</v>
      </c>
      <c r="C37" s="446">
        <f>SUM(ROS!R218:R224)</f>
        <v>0</v>
      </c>
      <c r="D37" s="446">
        <f>SUM(ROS!K218:K224)</f>
        <v>2.9354838709677415E-2</v>
      </c>
      <c r="E37" s="446">
        <f>SUM(ROS!M218:M224)</f>
        <v>0.25854838709677419</v>
      </c>
      <c r="F37" s="446">
        <f>SUM(ROS!N218:N224)</f>
        <v>0.59219999999999995</v>
      </c>
      <c r="G37" s="446">
        <f>SUM(ROS!L218:L224)</f>
        <v>0</v>
      </c>
      <c r="H37" s="446">
        <f t="shared" si="1"/>
        <v>0.88010322580645162</v>
      </c>
      <c r="I37" s="447">
        <f>ROS!D218</f>
        <v>73.558020875426479</v>
      </c>
      <c r="J37" s="446">
        <f>SUM(ROS!H218:H224)</f>
        <v>0.32610741192744919</v>
      </c>
      <c r="K37" s="446">
        <f>SUM(ROS!I218:I224)</f>
        <v>0.81147935949543271</v>
      </c>
      <c r="L37" s="446">
        <f>SUM(ROS!P218:P224)</f>
        <v>0</v>
      </c>
      <c r="M37" s="448">
        <f>paddy_rain!AB56</f>
        <v>0</v>
      </c>
      <c r="N37" s="448">
        <f>paddy_Dry!AB56</f>
        <v>0</v>
      </c>
      <c r="O37" s="448">
        <f>upland_dry!AB56</f>
        <v>0</v>
      </c>
      <c r="P37" s="448">
        <f>upland_rain!AB56</f>
        <v>0</v>
      </c>
      <c r="Q37" s="448">
        <f>plant!R45</f>
        <v>0</v>
      </c>
      <c r="R37" s="449">
        <f t="shared" si="2"/>
        <v>0</v>
      </c>
      <c r="S37" s="450">
        <f>fishporn!$E$6</f>
        <v>0</v>
      </c>
      <c r="T37" s="448">
        <f>' prawnporn'!$E$6</f>
        <v>0</v>
      </c>
      <c r="U37" s="451"/>
    </row>
    <row r="38" spans="1:21" x14ac:dyDescent="0.3">
      <c r="A38" s="444">
        <f t="shared" si="0"/>
        <v>31</v>
      </c>
      <c r="B38" s="445" t="s">
        <v>776</v>
      </c>
      <c r="C38" s="446">
        <f>SUM(ROS!R225:R231)</f>
        <v>0</v>
      </c>
      <c r="D38" s="446">
        <f>SUM(ROS!K225:K231)</f>
        <v>3.0053763440860221E-2</v>
      </c>
      <c r="E38" s="446">
        <f>SUM(ROS!M225:M231)</f>
        <v>0.26470430107526888</v>
      </c>
      <c r="F38" s="446">
        <f>SUM(ROS!N225:N231)</f>
        <v>0.59219999999999995</v>
      </c>
      <c r="G38" s="446">
        <f>SUM(ROS!L225:L231)</f>
        <v>0</v>
      </c>
      <c r="H38" s="446">
        <f t="shared" si="1"/>
        <v>0.88695806451612902</v>
      </c>
      <c r="I38" s="447">
        <f>ROS!D225</f>
        <v>73.163289597187969</v>
      </c>
      <c r="J38" s="446">
        <f>SUM(ROS!H225:H231)</f>
        <v>0.32334910885479051</v>
      </c>
      <c r="K38" s="446">
        <f>SUM(ROS!I225:I231)</f>
        <v>0.84206250867042987</v>
      </c>
      <c r="L38" s="446">
        <f>SUM(ROS!P225:P231)</f>
        <v>0</v>
      </c>
      <c r="M38" s="448">
        <f>paddy_rain!AB57</f>
        <v>0</v>
      </c>
      <c r="N38" s="448">
        <f>paddy_Dry!AB57</f>
        <v>0</v>
      </c>
      <c r="O38" s="448">
        <f>upland_dry!AB57</f>
        <v>0</v>
      </c>
      <c r="P38" s="448">
        <f>upland_rain!AB57</f>
        <v>0</v>
      </c>
      <c r="Q38" s="448">
        <f>plant!R46</f>
        <v>0</v>
      </c>
      <c r="R38" s="449">
        <f t="shared" si="2"/>
        <v>0</v>
      </c>
      <c r="S38" s="450">
        <f>fishporn!$E$6</f>
        <v>0</v>
      </c>
      <c r="T38" s="448">
        <f>' prawnporn'!$E$6</f>
        <v>0</v>
      </c>
      <c r="U38" s="451"/>
    </row>
    <row r="39" spans="1:21" x14ac:dyDescent="0.3">
      <c r="A39" s="444">
        <f t="shared" si="0"/>
        <v>32</v>
      </c>
      <c r="B39" s="445" t="s">
        <v>777</v>
      </c>
      <c r="C39" s="446">
        <f>SUM(ROS!R232:R238)</f>
        <v>0</v>
      </c>
      <c r="D39" s="446">
        <f>SUM(ROS!K232:K238)</f>
        <v>3.0333333333333337E-2</v>
      </c>
      <c r="E39" s="446">
        <f>SUM(ROS!M232:M238)</f>
        <v>0.26716666666666672</v>
      </c>
      <c r="F39" s="446">
        <f>SUM(ROS!N232:N238)</f>
        <v>0.59219999999999995</v>
      </c>
      <c r="G39" s="446">
        <f>SUM(ROS!L232:L238)</f>
        <v>0</v>
      </c>
      <c r="H39" s="446">
        <f t="shared" si="1"/>
        <v>0.88969999999999994</v>
      </c>
      <c r="I39" s="447">
        <f>ROS!D232</f>
        <v>72.795044932487471</v>
      </c>
      <c r="J39" s="446">
        <f>SUM(ROS!H232:H238)</f>
        <v>0.32181733639279125</v>
      </c>
      <c r="K39" s="446">
        <f>SUM(ROS!I232:I238)</f>
        <v>0.85429576834042886</v>
      </c>
      <c r="L39" s="446">
        <f>SUM(ROS!P232:P238)</f>
        <v>0</v>
      </c>
      <c r="M39" s="448">
        <f>paddy_rain!AB58</f>
        <v>0</v>
      </c>
      <c r="N39" s="448">
        <f>paddy_Dry!AB58</f>
        <v>0</v>
      </c>
      <c r="O39" s="448">
        <f>upland_dry!AB58</f>
        <v>0</v>
      </c>
      <c r="P39" s="448">
        <f>upland_rain!AB58</f>
        <v>0</v>
      </c>
      <c r="Q39" s="448">
        <f>plant!R47</f>
        <v>0</v>
      </c>
      <c r="R39" s="449">
        <f t="shared" si="2"/>
        <v>0</v>
      </c>
      <c r="S39" s="450">
        <f>fishporn!$E$6</f>
        <v>0</v>
      </c>
      <c r="T39" s="448">
        <f>' prawnporn'!$E$6</f>
        <v>0</v>
      </c>
      <c r="U39" s="451"/>
    </row>
    <row r="40" spans="1:21" x14ac:dyDescent="0.3">
      <c r="A40" s="444">
        <f t="shared" si="0"/>
        <v>33</v>
      </c>
      <c r="B40" s="445" t="s">
        <v>778</v>
      </c>
      <c r="C40" s="446">
        <f>SUM(ROS!R239:R245)</f>
        <v>0</v>
      </c>
      <c r="D40" s="446">
        <f>SUM(ROS!K239:K245)</f>
        <v>3.0333333333333337E-2</v>
      </c>
      <c r="E40" s="446">
        <f>SUM(ROS!M239:M245)</f>
        <v>0.26716666666666672</v>
      </c>
      <c r="F40" s="446">
        <f>SUM(ROS!N239:N245)</f>
        <v>0.59219999999999995</v>
      </c>
      <c r="G40" s="446">
        <f>SUM(ROS!L239:L245)</f>
        <v>0</v>
      </c>
      <c r="H40" s="446">
        <f t="shared" si="1"/>
        <v>0.88969999999999994</v>
      </c>
      <c r="I40" s="447">
        <f>ROS!D239</f>
        <v>72.437823364435118</v>
      </c>
      <c r="J40" s="446">
        <f>SUM(ROS!H239:H245)</f>
        <v>0.32106841806210529</v>
      </c>
      <c r="K40" s="446">
        <f>SUM(ROS!I239:I245)</f>
        <v>0.85429576834042886</v>
      </c>
      <c r="L40" s="446">
        <f>SUM(ROS!P239:P245)</f>
        <v>0</v>
      </c>
      <c r="M40" s="448">
        <f>paddy_rain!AB59</f>
        <v>0</v>
      </c>
      <c r="N40" s="448">
        <f>paddy_Dry!AB59</f>
        <v>0</v>
      </c>
      <c r="O40" s="448">
        <f>upland_dry!AB59</f>
        <v>0</v>
      </c>
      <c r="P40" s="448">
        <f>upland_rain!AB59</f>
        <v>0</v>
      </c>
      <c r="Q40" s="448">
        <f>plant!R48</f>
        <v>0</v>
      </c>
      <c r="R40" s="449">
        <f t="shared" si="2"/>
        <v>0</v>
      </c>
      <c r="S40" s="450">
        <f>fishporn!$E$6</f>
        <v>0</v>
      </c>
      <c r="T40" s="448">
        <f>' prawnporn'!$E$6</f>
        <v>0</v>
      </c>
      <c r="U40" s="451"/>
    </row>
    <row r="41" spans="1:21" x14ac:dyDescent="0.3">
      <c r="A41" s="444">
        <f t="shared" si="0"/>
        <v>34</v>
      </c>
      <c r="B41" s="445" t="s">
        <v>779</v>
      </c>
      <c r="C41" s="446">
        <f>SUM(ROS!R246:R252)</f>
        <v>0</v>
      </c>
      <c r="D41" s="446">
        <f>SUM(ROS!K246:K252)</f>
        <v>3.0333333333333337E-2</v>
      </c>
      <c r="E41" s="446">
        <f>SUM(ROS!M246:M252)</f>
        <v>0.26716666666666672</v>
      </c>
      <c r="F41" s="446">
        <f>SUM(ROS!N246:N252)</f>
        <v>0.59219999999999995</v>
      </c>
      <c r="G41" s="446">
        <f>SUM(ROS!L246:L252)</f>
        <v>0</v>
      </c>
      <c r="H41" s="446">
        <f t="shared" si="1"/>
        <v>0.88969999999999994</v>
      </c>
      <c r="I41" s="447">
        <f>ROS!D246</f>
        <v>72.081350714713452</v>
      </c>
      <c r="J41" s="446">
        <f>SUM(ROS!H246:H252)</f>
        <v>0.3203210698456459</v>
      </c>
      <c r="K41" s="446">
        <f>SUM(ROS!I246:I252)</f>
        <v>0.85429576834042886</v>
      </c>
      <c r="L41" s="446">
        <f>SUM(ROS!P246:P252)</f>
        <v>0</v>
      </c>
      <c r="M41" s="448">
        <f>paddy_rain!AB60</f>
        <v>0</v>
      </c>
      <c r="N41" s="448">
        <f>paddy_Dry!AB60</f>
        <v>0</v>
      </c>
      <c r="O41" s="448">
        <f>upland_dry!AB60</f>
        <v>0</v>
      </c>
      <c r="P41" s="448">
        <f>upland_rain!AB60</f>
        <v>0</v>
      </c>
      <c r="Q41" s="448">
        <f>plant!R49</f>
        <v>0</v>
      </c>
      <c r="R41" s="449">
        <f t="shared" si="2"/>
        <v>0</v>
      </c>
      <c r="S41" s="450">
        <f>fishporn!$E$6</f>
        <v>0</v>
      </c>
      <c r="T41" s="448">
        <f>' prawnporn'!$E$6</f>
        <v>0</v>
      </c>
      <c r="U41" s="451"/>
    </row>
    <row r="42" spans="1:21" x14ac:dyDescent="0.3">
      <c r="A42" s="444">
        <f t="shared" si="0"/>
        <v>35</v>
      </c>
      <c r="B42" s="445" t="s">
        <v>780</v>
      </c>
      <c r="C42" s="446">
        <f>SUM(ROS!R253:R259)</f>
        <v>0</v>
      </c>
      <c r="D42" s="446">
        <f>SUM(ROS!K253:K259)</f>
        <v>2.3139784946236554E-2</v>
      </c>
      <c r="E42" s="446">
        <f>SUM(ROS!M253:M259)</f>
        <v>0.24992473118279568</v>
      </c>
      <c r="F42" s="446">
        <f>SUM(ROS!N253:N259)</f>
        <v>0.46529999999999999</v>
      </c>
      <c r="G42" s="446">
        <f>SUM(ROS!L253:L259)</f>
        <v>0</v>
      </c>
      <c r="H42" s="446">
        <f t="shared" si="1"/>
        <v>0.7383645161290322</v>
      </c>
      <c r="I42" s="447">
        <f>ROS!D253</f>
        <v>71.725625413208235</v>
      </c>
      <c r="J42" s="446">
        <f>SUM(ROS!H253:H259)</f>
        <v>0.31394532820255505</v>
      </c>
      <c r="K42" s="446">
        <f>SUM(ROS!I253:I259)</f>
        <v>1.2467776811058495</v>
      </c>
      <c r="L42" s="446">
        <f>SUM(ROS!P253:P259)</f>
        <v>0</v>
      </c>
      <c r="M42" s="448">
        <f>paddy_rain!AB61</f>
        <v>0</v>
      </c>
      <c r="N42" s="448">
        <f>paddy_Dry!AB61</f>
        <v>0</v>
      </c>
      <c r="O42" s="448">
        <f>upland_dry!AB61</f>
        <v>0</v>
      </c>
      <c r="P42" s="448">
        <f>upland_rain!AB61</f>
        <v>0</v>
      </c>
      <c r="Q42" s="448">
        <f>plant!R50</f>
        <v>0</v>
      </c>
      <c r="R42" s="449">
        <f t="shared" si="2"/>
        <v>0</v>
      </c>
      <c r="S42" s="450">
        <f>fishporn!$E$6</f>
        <v>0</v>
      </c>
      <c r="T42" s="448">
        <f>' prawnporn'!$E$6</f>
        <v>0</v>
      </c>
      <c r="U42" s="451"/>
    </row>
    <row r="43" spans="1:21" x14ac:dyDescent="0.3">
      <c r="A43" s="444">
        <f t="shared" si="0"/>
        <v>36</v>
      </c>
      <c r="B43" s="445" t="s">
        <v>781</v>
      </c>
      <c r="C43" s="446">
        <f>SUM(ROS!R260:R266)</f>
        <v>3.1548079154487576</v>
      </c>
      <c r="D43" s="446">
        <f>SUM(ROS!K260:K266)</f>
        <v>1.3548387096774195E-2</v>
      </c>
      <c r="E43" s="446">
        <f>SUM(ROS!M260:M266)</f>
        <v>0.22693548387096771</v>
      </c>
      <c r="F43" s="446">
        <f>SUM(ROS!N260:N266)</f>
        <v>0.29609999999999997</v>
      </c>
      <c r="G43" s="446">
        <f>SUM(ROS!L260:L266)</f>
        <v>0</v>
      </c>
      <c r="H43" s="446">
        <f t="shared" si="1"/>
        <v>3.6913917864164998</v>
      </c>
      <c r="I43" s="447">
        <f>ROS!D260</f>
        <v>71.920093249982514</v>
      </c>
      <c r="J43" s="446">
        <f>SUM(ROS!H260:H266)</f>
        <v>0.30479353870902115</v>
      </c>
      <c r="K43" s="446">
        <f>SUM(ROS!I260:I266)</f>
        <v>1.7700868981264106</v>
      </c>
      <c r="L43" s="446">
        <f>SUM(ROS!P260:P266)</f>
        <v>0.4347487741935484</v>
      </c>
      <c r="M43" s="448">
        <f>paddy_rain!AB62</f>
        <v>9820</v>
      </c>
      <c r="N43" s="448">
        <f>paddy_Dry!AB62</f>
        <v>0</v>
      </c>
      <c r="O43" s="448">
        <f>upland_dry!AB62</f>
        <v>0</v>
      </c>
      <c r="P43" s="448">
        <f>upland_rain!AB62</f>
        <v>5</v>
      </c>
      <c r="Q43" s="448">
        <f>plant!R51</f>
        <v>0</v>
      </c>
      <c r="R43" s="449">
        <f t="shared" si="2"/>
        <v>9825</v>
      </c>
      <c r="S43" s="450">
        <f>fishporn!$E$6</f>
        <v>0</v>
      </c>
      <c r="T43" s="448">
        <f>' prawnporn'!$E$6</f>
        <v>0</v>
      </c>
      <c r="U43" s="451"/>
    </row>
    <row r="44" spans="1:21" x14ac:dyDescent="0.3">
      <c r="A44" s="444">
        <f t="shared" si="0"/>
        <v>37</v>
      </c>
      <c r="B44" s="445" t="s">
        <v>782</v>
      </c>
      <c r="C44" s="446">
        <f>SUM(ROS!R267:R273)</f>
        <v>3.9250955590406251</v>
      </c>
      <c r="D44" s="446">
        <f>SUM(ROS!K267:K273)</f>
        <v>1.3548387096774195E-2</v>
      </c>
      <c r="E44" s="446">
        <f>SUM(ROS!M267:M273)</f>
        <v>0.22693548387096771</v>
      </c>
      <c r="F44" s="446">
        <f>SUM(ROS!N267:N273)</f>
        <v>0.29609999999999997</v>
      </c>
      <c r="G44" s="446">
        <f>SUM(ROS!L267:L273)</f>
        <v>0</v>
      </c>
      <c r="H44" s="446">
        <f t="shared" si="1"/>
        <v>4.4616794300083669</v>
      </c>
      <c r="I44" s="447">
        <f>ROS!D267</f>
        <v>69.69399482298337</v>
      </c>
      <c r="J44" s="446">
        <f>SUM(ROS!H267:H273)</f>
        <v>0.29944727918278707</v>
      </c>
      <c r="K44" s="446">
        <f>SUM(ROS!I267:I273)</f>
        <v>1.7700868981264106</v>
      </c>
      <c r="L44" s="446">
        <f>SUM(ROS!P267:P273)</f>
        <v>0.89811770322580675</v>
      </c>
      <c r="M44" s="448">
        <f>paddy_rain!AB63</f>
        <v>20252</v>
      </c>
      <c r="N44" s="448">
        <f>paddy_Dry!AB63</f>
        <v>0</v>
      </c>
      <c r="O44" s="448">
        <f>upland_dry!AB63</f>
        <v>0</v>
      </c>
      <c r="P44" s="448">
        <f>upland_rain!AB63</f>
        <v>67</v>
      </c>
      <c r="Q44" s="448">
        <f>plant!R52</f>
        <v>0</v>
      </c>
      <c r="R44" s="449">
        <f t="shared" si="2"/>
        <v>20319</v>
      </c>
      <c r="S44" s="450">
        <f>fishporn!$E$6</f>
        <v>0</v>
      </c>
      <c r="T44" s="448">
        <f>' prawnporn'!$E$6</f>
        <v>0</v>
      </c>
      <c r="U44" s="451"/>
    </row>
    <row r="45" spans="1:21" x14ac:dyDescent="0.3">
      <c r="A45" s="444">
        <f t="shared" si="0"/>
        <v>38</v>
      </c>
      <c r="B45" s="445" t="s">
        <v>783</v>
      </c>
      <c r="C45" s="446">
        <f>SUM(ROS!R274:R280)</f>
        <v>5.238952962057394</v>
      </c>
      <c r="D45" s="446">
        <f>SUM(ROS!K274:K280)</f>
        <v>1.3548387096774195E-2</v>
      </c>
      <c r="E45" s="446">
        <f>SUM(ROS!M274:M280)</f>
        <v>0.22693548387096771</v>
      </c>
      <c r="F45" s="446">
        <f>SUM(ROS!N274:N280)</f>
        <v>0.29609999999999997</v>
      </c>
      <c r="G45" s="446">
        <f>SUM(ROS!L274:L280)</f>
        <v>0</v>
      </c>
      <c r="H45" s="446">
        <f t="shared" si="1"/>
        <v>5.7755368330251358</v>
      </c>
      <c r="I45" s="447">
        <f>ROS!D274</f>
        <v>66.702955011918604</v>
      </c>
      <c r="J45" s="446">
        <f>SUM(ROS!H274:H280)</f>
        <v>0.29258921580958708</v>
      </c>
      <c r="K45" s="446">
        <f>SUM(ROS!I274:I280)</f>
        <v>1.7700868981264106</v>
      </c>
      <c r="L45" s="446">
        <f>SUM(ROS!P274:P280)</f>
        <v>1.4513435096774199</v>
      </c>
      <c r="M45" s="448">
        <f>paddy_rain!AB64</f>
        <v>32752</v>
      </c>
      <c r="N45" s="448">
        <f>paddy_Dry!AB64</f>
        <v>0</v>
      </c>
      <c r="O45" s="448">
        <f>upland_dry!AB64</f>
        <v>0</v>
      </c>
      <c r="P45" s="448">
        <f>upland_rain!AB64</f>
        <v>67</v>
      </c>
      <c r="Q45" s="448">
        <f>plant!R53</f>
        <v>0</v>
      </c>
      <c r="R45" s="449">
        <f t="shared" si="2"/>
        <v>32819</v>
      </c>
      <c r="S45" s="450">
        <f>fishporn!$E$6</f>
        <v>0</v>
      </c>
      <c r="T45" s="448">
        <f>' prawnporn'!$E$6</f>
        <v>0</v>
      </c>
      <c r="U45" s="451"/>
    </row>
    <row r="46" spans="1:21" x14ac:dyDescent="0.3">
      <c r="A46" s="444">
        <f t="shared" si="0"/>
        <v>39</v>
      </c>
      <c r="B46" s="445" t="s">
        <v>784</v>
      </c>
      <c r="C46" s="446">
        <f>SUM(ROS!R281:R287)</f>
        <v>6.3127219219045116</v>
      </c>
      <c r="D46" s="446">
        <f>SUM(ROS!K281:K287)</f>
        <v>1.3548387096774195E-2</v>
      </c>
      <c r="E46" s="446">
        <f>SUM(ROS!M281:M287)</f>
        <v>0.22693548387096771</v>
      </c>
      <c r="F46" s="446">
        <f>SUM(ROS!N281:N287)</f>
        <v>0.29609999999999997</v>
      </c>
      <c r="G46" s="446">
        <f>SUM(ROS!L281:L287)</f>
        <v>0</v>
      </c>
      <c r="H46" s="446">
        <f t="shared" si="1"/>
        <v>6.8493057928722534</v>
      </c>
      <c r="I46" s="447">
        <f>ROS!D281</f>
        <v>62.404915861210284</v>
      </c>
      <c r="J46" s="446">
        <f>SUM(ROS!H281:H287)</f>
        <v>0.2851299079354318</v>
      </c>
      <c r="K46" s="446">
        <f>SUM(ROS!I281:I287)</f>
        <v>1.7700868981264106</v>
      </c>
      <c r="L46" s="446">
        <f>SUM(ROS!P281:P287)</f>
        <v>2.025768929032258</v>
      </c>
      <c r="M46" s="448">
        <f>paddy_rain!AB65</f>
        <v>45731</v>
      </c>
      <c r="N46" s="448">
        <f>paddy_Dry!AB65</f>
        <v>0</v>
      </c>
      <c r="O46" s="448">
        <f>upland_dry!AB65</f>
        <v>0</v>
      </c>
      <c r="P46" s="448">
        <f>upland_rain!AB65</f>
        <v>67</v>
      </c>
      <c r="Q46" s="448">
        <f>plant!R54</f>
        <v>0</v>
      </c>
      <c r="R46" s="449">
        <f t="shared" si="2"/>
        <v>45798</v>
      </c>
      <c r="S46" s="450">
        <f>fishporn!$E$6</f>
        <v>0</v>
      </c>
      <c r="T46" s="448">
        <f>' prawnporn'!$E$6</f>
        <v>0</v>
      </c>
      <c r="U46" s="451"/>
    </row>
    <row r="47" spans="1:21" x14ac:dyDescent="0.3">
      <c r="A47" s="444">
        <f t="shared" si="0"/>
        <v>40</v>
      </c>
      <c r="B47" s="445" t="s">
        <v>785</v>
      </c>
      <c r="C47" s="446">
        <f>SUM(ROS!R288:R294)</f>
        <v>2.7291257291553985</v>
      </c>
      <c r="D47" s="446">
        <f>SUM(ROS!K288:K294)</f>
        <v>1.3548387096774195E-2</v>
      </c>
      <c r="E47" s="446">
        <f>SUM(ROS!M288:M294)</f>
        <v>0.26080645161290328</v>
      </c>
      <c r="F47" s="446">
        <f>SUM(ROS!N288:N294)</f>
        <v>0.29609999999999997</v>
      </c>
      <c r="G47" s="446">
        <f>SUM(ROS!L288:L294)</f>
        <v>0</v>
      </c>
      <c r="H47" s="446">
        <f t="shared" si="1"/>
        <v>3.299580567865076</v>
      </c>
      <c r="I47" s="447">
        <f>ROS!D288</f>
        <v>57.040567058529049</v>
      </c>
      <c r="J47" s="446">
        <f>SUM(ROS!H288:H294)</f>
        <v>0.25218891231270396</v>
      </c>
      <c r="K47" s="446">
        <f>SUM(ROS!I288:I294)</f>
        <v>2.153692201260597</v>
      </c>
      <c r="L47" s="446">
        <f>SUM(ROS!P288:P294)</f>
        <v>2.1169991070967749</v>
      </c>
      <c r="M47" s="448">
        <f>paddy_rain!AB66</f>
        <v>45731</v>
      </c>
      <c r="N47" s="448">
        <f>paddy_Dry!AB66</f>
        <v>0</v>
      </c>
      <c r="O47" s="448">
        <f>upland_dry!AB66</f>
        <v>0</v>
      </c>
      <c r="P47" s="448">
        <f>upland_rain!AB66</f>
        <v>67</v>
      </c>
      <c r="Q47" s="448">
        <f>plant!R55</f>
        <v>0</v>
      </c>
      <c r="R47" s="449">
        <f t="shared" si="2"/>
        <v>45798</v>
      </c>
      <c r="S47" s="450">
        <f>fishporn!$E$6</f>
        <v>0</v>
      </c>
      <c r="T47" s="448">
        <f>' prawnporn'!$E$6</f>
        <v>0</v>
      </c>
      <c r="U47" s="451"/>
    </row>
    <row r="48" spans="1:21" x14ac:dyDescent="0.3">
      <c r="A48" s="444">
        <f t="shared" si="0"/>
        <v>41</v>
      </c>
      <c r="B48" s="445" t="s">
        <v>786</v>
      </c>
      <c r="C48" s="446">
        <f>SUM(ROS!R295:R301)</f>
        <v>3.0934425131306429</v>
      </c>
      <c r="D48" s="446">
        <f>SUM(ROS!K295:K301)</f>
        <v>1.3548387096774195E-2</v>
      </c>
      <c r="E48" s="446">
        <f>SUM(ROS!M295:M301)</f>
        <v>0.26080645161290328</v>
      </c>
      <c r="F48" s="446">
        <f>SUM(ROS!N295:N301)</f>
        <v>0.29609999999999997</v>
      </c>
      <c r="G48" s="446">
        <f>SUM(ROS!L295:L301)</f>
        <v>0</v>
      </c>
      <c r="H48" s="446">
        <f t="shared" si="1"/>
        <v>3.6638973518403204</v>
      </c>
      <c r="I48" s="447">
        <f>ROS!D295</f>
        <v>55.642489779611914</v>
      </c>
      <c r="J48" s="446">
        <f>SUM(ROS!H295:H301)</f>
        <v>0.24988356280208598</v>
      </c>
      <c r="K48" s="446">
        <f>SUM(ROS!I295:I301)</f>
        <v>2.153692201260597</v>
      </c>
      <c r="L48" s="446">
        <f>SUM(ROS!P295:P301)</f>
        <v>2.1169991070967749</v>
      </c>
      <c r="M48" s="448">
        <f>paddy_rain!AB67</f>
        <v>45731</v>
      </c>
      <c r="N48" s="448">
        <f>paddy_Dry!AB67</f>
        <v>0</v>
      </c>
      <c r="O48" s="448">
        <f>upland_dry!AB67</f>
        <v>0</v>
      </c>
      <c r="P48" s="448">
        <f>upland_rain!AB67</f>
        <v>67</v>
      </c>
      <c r="Q48" s="448">
        <f>plant!R56</f>
        <v>0</v>
      </c>
      <c r="R48" s="449">
        <f t="shared" si="2"/>
        <v>45798</v>
      </c>
      <c r="S48" s="450">
        <f>fishporn!$E$6</f>
        <v>0</v>
      </c>
      <c r="T48" s="448">
        <f>' prawnporn'!$E$6</f>
        <v>0</v>
      </c>
      <c r="U48" s="451"/>
    </row>
    <row r="49" spans="1:21" x14ac:dyDescent="0.3">
      <c r="A49" s="444">
        <f t="shared" si="0"/>
        <v>42</v>
      </c>
      <c r="B49" s="445" t="s">
        <v>787</v>
      </c>
      <c r="C49" s="446">
        <f>SUM(ROS!R302:R308)</f>
        <v>3.4713683659343566</v>
      </c>
      <c r="D49" s="446">
        <f>SUM(ROS!K302:K308)</f>
        <v>1.3548387096774195E-2</v>
      </c>
      <c r="E49" s="446">
        <f>SUM(ROS!M302:M308)</f>
        <v>0.26080645161290328</v>
      </c>
      <c r="F49" s="446">
        <f>SUM(ROS!N302:N308)</f>
        <v>0.29609999999999997</v>
      </c>
      <c r="G49" s="446">
        <f>SUM(ROS!L302:L308)</f>
        <v>0</v>
      </c>
      <c r="H49" s="446">
        <f t="shared" si="1"/>
        <v>4.0418232046440341</v>
      </c>
      <c r="I49" s="447">
        <f>ROS!D302</f>
        <v>53.882401066230123</v>
      </c>
      <c r="J49" s="446">
        <f>SUM(ROS!H302:H308)</f>
        <v>0.24689764655100294</v>
      </c>
      <c r="K49" s="446">
        <f>SUM(ROS!I302:I308)</f>
        <v>2.153692201260597</v>
      </c>
      <c r="L49" s="446">
        <f>SUM(ROS!P302:P308)</f>
        <v>2.1169991070967749</v>
      </c>
      <c r="M49" s="448">
        <f>paddy_rain!AB68</f>
        <v>45731</v>
      </c>
      <c r="N49" s="448">
        <f>paddy_Dry!AB68</f>
        <v>0</v>
      </c>
      <c r="O49" s="448">
        <f>upland_dry!AB68</f>
        <v>0</v>
      </c>
      <c r="P49" s="448">
        <f>upland_rain!AB68</f>
        <v>67</v>
      </c>
      <c r="Q49" s="448">
        <f>plant!R57</f>
        <v>0</v>
      </c>
      <c r="R49" s="449">
        <f t="shared" si="2"/>
        <v>45798</v>
      </c>
      <c r="S49" s="450">
        <f>fishporn!$E$6</f>
        <v>0</v>
      </c>
      <c r="T49" s="448">
        <f>' prawnporn'!$E$6</f>
        <v>0</v>
      </c>
      <c r="U49" s="451"/>
    </row>
    <row r="50" spans="1:21" x14ac:dyDescent="0.3">
      <c r="A50" s="444">
        <f t="shared" si="0"/>
        <v>43</v>
      </c>
      <c r="B50" s="445" t="s">
        <v>788</v>
      </c>
      <c r="C50" s="446">
        <f>SUM(ROS!R309:R315)</f>
        <v>3.6674056738666883</v>
      </c>
      <c r="D50" s="446">
        <f>SUM(ROS!K309:K315)</f>
        <v>1.3548387096774195E-2</v>
      </c>
      <c r="E50" s="446">
        <f>SUM(ROS!M309:M315)</f>
        <v>0.26080645161290328</v>
      </c>
      <c r="F50" s="446">
        <f>SUM(ROS!N309:N315)</f>
        <v>0.29609999999999997</v>
      </c>
      <c r="G50" s="446">
        <f>SUM(ROS!L309:L315)</f>
        <v>0</v>
      </c>
      <c r="H50" s="446">
        <f t="shared" si="1"/>
        <v>4.2378605125763658</v>
      </c>
      <c r="I50" s="447">
        <f>ROS!D309</f>
        <v>51.747372416295725</v>
      </c>
      <c r="J50" s="446">
        <f>SUM(ROS!H309:H315)</f>
        <v>0.24343338910918977</v>
      </c>
      <c r="K50" s="446">
        <f>SUM(ROS!I309:I315)</f>
        <v>2.153692201260597</v>
      </c>
      <c r="L50" s="446">
        <f>SUM(ROS!P309:P315)</f>
        <v>2.1169991070967749</v>
      </c>
      <c r="M50" s="448">
        <f>paddy_rain!AB69</f>
        <v>45731</v>
      </c>
      <c r="N50" s="448">
        <f>paddy_Dry!AB69</f>
        <v>0</v>
      </c>
      <c r="O50" s="448">
        <f>upland_dry!AB69</f>
        <v>0</v>
      </c>
      <c r="P50" s="448">
        <f>upland_rain!AB69</f>
        <v>67</v>
      </c>
      <c r="Q50" s="448">
        <f>plant!R58</f>
        <v>0</v>
      </c>
      <c r="R50" s="449">
        <f t="shared" si="2"/>
        <v>45798</v>
      </c>
      <c r="S50" s="450">
        <f>fishporn!$E$6</f>
        <v>0</v>
      </c>
      <c r="T50" s="448">
        <f>' prawnporn'!$E$6</f>
        <v>0</v>
      </c>
      <c r="U50" s="451"/>
    </row>
    <row r="51" spans="1:21" x14ac:dyDescent="0.3">
      <c r="A51" s="444">
        <f t="shared" si="0"/>
        <v>44</v>
      </c>
      <c r="B51" s="445" t="s">
        <v>789</v>
      </c>
      <c r="C51" s="446">
        <f>SUM(ROS!R316:R322)</f>
        <v>0.16166686751004078</v>
      </c>
      <c r="D51" s="446">
        <f>SUM(ROS!K316:K322)</f>
        <v>1.3806451612903226E-2</v>
      </c>
      <c r="E51" s="446">
        <f>SUM(ROS!M316:M322)</f>
        <v>0.26577419354838711</v>
      </c>
      <c r="F51" s="446">
        <f>SUM(ROS!N316:N322)</f>
        <v>0.29609999999999997</v>
      </c>
      <c r="G51" s="446">
        <f>SUM(ROS!L316:L322)</f>
        <v>0</v>
      </c>
      <c r="H51" s="446">
        <f t="shared" si="1"/>
        <v>0.73734751267133114</v>
      </c>
      <c r="I51" s="447">
        <f>ROS!D316</f>
        <v>49.41977071587079</v>
      </c>
      <c r="J51" s="446">
        <f>SUM(ROS!H316:H322)</f>
        <v>0.22631183656098425</v>
      </c>
      <c r="K51" s="446">
        <f>SUM(ROS!I316:I322)</f>
        <v>3.8483730278594912</v>
      </c>
      <c r="L51" s="446">
        <f>SUM(ROS!P316:P322)</f>
        <v>3.984968735999999</v>
      </c>
      <c r="M51" s="448">
        <f>paddy_rain!AB70</f>
        <v>45731</v>
      </c>
      <c r="N51" s="448">
        <f>paddy_Dry!AB70</f>
        <v>0</v>
      </c>
      <c r="O51" s="448">
        <f>upland_dry!AB70</f>
        <v>0</v>
      </c>
      <c r="P51" s="448">
        <f>upland_rain!AB70</f>
        <v>67</v>
      </c>
      <c r="Q51" s="448">
        <f>plant!R59</f>
        <v>0</v>
      </c>
      <c r="R51" s="449">
        <f t="shared" si="2"/>
        <v>45798</v>
      </c>
      <c r="S51" s="450">
        <f>fishporn!$E$6</f>
        <v>0</v>
      </c>
      <c r="T51" s="448">
        <f>' prawnporn'!$E$6</f>
        <v>0</v>
      </c>
      <c r="U51" s="451"/>
    </row>
    <row r="52" spans="1:21" x14ac:dyDescent="0.3">
      <c r="A52" s="444">
        <f t="shared" si="0"/>
        <v>45</v>
      </c>
      <c r="B52" s="445" t="s">
        <v>790</v>
      </c>
      <c r="C52" s="446">
        <f>SUM(ROS!R323:R329)</f>
        <v>8.4804206763701151E-2</v>
      </c>
      <c r="D52" s="446">
        <f>SUM(ROS!K323:K329)</f>
        <v>1.4E-2</v>
      </c>
      <c r="E52" s="446">
        <f>SUM(ROS!M323:M329)</f>
        <v>0.26950000000000002</v>
      </c>
      <c r="F52" s="446">
        <f>SUM(ROS!N323:N329)</f>
        <v>0.29609999999999997</v>
      </c>
      <c r="G52" s="446">
        <f>SUM(ROS!L323:L329)</f>
        <v>0</v>
      </c>
      <c r="H52" s="446">
        <f t="shared" si="1"/>
        <v>0.66440420676370116</v>
      </c>
      <c r="I52" s="447">
        <f>ROS!D323</f>
        <v>52.304484394497948</v>
      </c>
      <c r="J52" s="446">
        <f>SUM(ROS!H323:H329)</f>
        <v>0.21935713498434567</v>
      </c>
      <c r="K52" s="446">
        <f>SUM(ROS!I323:I329)</f>
        <v>5.1193836478086627</v>
      </c>
      <c r="L52" s="446">
        <f>SUM(ROS!P323:P329)</f>
        <v>3.984968735999999</v>
      </c>
      <c r="M52" s="448">
        <f>paddy_rain!AB71</f>
        <v>45731</v>
      </c>
      <c r="N52" s="448">
        <f>paddy_Dry!AB71</f>
        <v>0</v>
      </c>
      <c r="O52" s="448">
        <f>upland_dry!AB71</f>
        <v>0</v>
      </c>
      <c r="P52" s="448">
        <f>upland_rain!AB71</f>
        <v>67</v>
      </c>
      <c r="Q52" s="448">
        <f>plant!R60</f>
        <v>0</v>
      </c>
      <c r="R52" s="449">
        <f t="shared" si="2"/>
        <v>45798</v>
      </c>
      <c r="S52" s="450">
        <f>fishporn!$E$6</f>
        <v>0</v>
      </c>
      <c r="T52" s="448">
        <f>' prawnporn'!$E$6</f>
        <v>0</v>
      </c>
      <c r="U52" s="451"/>
    </row>
    <row r="53" spans="1:21" x14ac:dyDescent="0.3">
      <c r="A53" s="444">
        <f t="shared" si="0"/>
        <v>46</v>
      </c>
      <c r="B53" s="445" t="s">
        <v>791</v>
      </c>
      <c r="C53" s="446">
        <f>SUM(ROS!R330:R336)</f>
        <v>0</v>
      </c>
      <c r="D53" s="446">
        <f>SUM(ROS!K330:K336)</f>
        <v>1.4E-2</v>
      </c>
      <c r="E53" s="446">
        <f>SUM(ROS!M330:M336)</f>
        <v>0.26950000000000002</v>
      </c>
      <c r="F53" s="446">
        <f>SUM(ROS!N330:N336)</f>
        <v>0.29609999999999997</v>
      </c>
      <c r="G53" s="446">
        <f>SUM(ROS!L330:L336)</f>
        <v>0</v>
      </c>
      <c r="H53" s="446">
        <f t="shared" si="1"/>
        <v>0.5796</v>
      </c>
      <c r="I53" s="447">
        <f>ROS!D330</f>
        <v>56.540106700558553</v>
      </c>
      <c r="J53" s="446">
        <f>SUM(ROS!H330:H336)</f>
        <v>0.22497121425287278</v>
      </c>
      <c r="K53" s="446">
        <f>SUM(ROS!I330:I336)</f>
        <v>5.1193836478086627</v>
      </c>
      <c r="L53" s="446">
        <f>SUM(ROS!P330:P336)</f>
        <v>3.984968735999999</v>
      </c>
      <c r="M53" s="448">
        <f>paddy_rain!AB72</f>
        <v>45731</v>
      </c>
      <c r="N53" s="448">
        <f>paddy_Dry!AB72</f>
        <v>0</v>
      </c>
      <c r="O53" s="448">
        <f>upland_dry!AB72</f>
        <v>0</v>
      </c>
      <c r="P53" s="448">
        <f>upland_rain!AB72</f>
        <v>67</v>
      </c>
      <c r="Q53" s="448">
        <f>plant!R61</f>
        <v>0</v>
      </c>
      <c r="R53" s="449">
        <f t="shared" si="2"/>
        <v>45798</v>
      </c>
      <c r="S53" s="450">
        <f>fishporn!$E$6</f>
        <v>0</v>
      </c>
      <c r="T53" s="448">
        <f>' prawnporn'!$E$6</f>
        <v>0</v>
      </c>
      <c r="U53" s="451"/>
    </row>
    <row r="54" spans="1:21" x14ac:dyDescent="0.3">
      <c r="A54" s="444">
        <f t="shared" si="0"/>
        <v>47</v>
      </c>
      <c r="B54" s="445" t="s">
        <v>792</v>
      </c>
      <c r="C54" s="446">
        <f>SUM(ROS!R337:R343)</f>
        <v>0</v>
      </c>
      <c r="D54" s="446">
        <f>SUM(ROS!K337:K343)</f>
        <v>1.4E-2</v>
      </c>
      <c r="E54" s="446">
        <f>SUM(ROS!M337:M343)</f>
        <v>0.26950000000000002</v>
      </c>
      <c r="F54" s="446">
        <f>SUM(ROS!N337:N343)</f>
        <v>0.29609999999999997</v>
      </c>
      <c r="G54" s="446">
        <f>SUM(ROS!L337:L343)</f>
        <v>0</v>
      </c>
      <c r="H54" s="446">
        <f t="shared" si="1"/>
        <v>0.5796</v>
      </c>
      <c r="I54" s="447">
        <f>ROS!D337</f>
        <v>60.854919134114319</v>
      </c>
      <c r="J54" s="446">
        <f>SUM(ROS!H337:H343)</f>
        <v>0.23036727307794747</v>
      </c>
      <c r="K54" s="446">
        <f>SUM(ROS!I337:I343)</f>
        <v>5.1193836478086627</v>
      </c>
      <c r="L54" s="446">
        <f>SUM(ROS!P337:P343)</f>
        <v>3.984968735999999</v>
      </c>
      <c r="M54" s="448">
        <f>paddy_rain!AB73</f>
        <v>45731</v>
      </c>
      <c r="N54" s="448">
        <f>paddy_Dry!AB73</f>
        <v>0</v>
      </c>
      <c r="O54" s="448">
        <f>upland_dry!AB73</f>
        <v>0</v>
      </c>
      <c r="P54" s="448">
        <f>upland_rain!AB73</f>
        <v>67</v>
      </c>
      <c r="Q54" s="448">
        <f>plant!R62</f>
        <v>0</v>
      </c>
      <c r="R54" s="449">
        <f t="shared" si="2"/>
        <v>45798</v>
      </c>
      <c r="S54" s="450">
        <f>fishporn!$E$6</f>
        <v>0</v>
      </c>
      <c r="T54" s="448">
        <f>' prawnporn'!$E$6</f>
        <v>0</v>
      </c>
      <c r="U54" s="451"/>
    </row>
    <row r="55" spans="1:21" x14ac:dyDescent="0.3">
      <c r="A55" s="444">
        <f t="shared" si="0"/>
        <v>48</v>
      </c>
      <c r="B55" s="445" t="s">
        <v>793</v>
      </c>
      <c r="C55" s="446">
        <f>SUM(ROS!R344:R350)</f>
        <v>1.525480439947235</v>
      </c>
      <c r="D55" s="446">
        <f>SUM(ROS!K344:K350)</f>
        <v>1.3870967741935485E-2</v>
      </c>
      <c r="E55" s="446">
        <f>SUM(ROS!M344:M350)</f>
        <v>0.26701612903225808</v>
      </c>
      <c r="F55" s="446">
        <f>SUM(ROS!N344:N350)</f>
        <v>0.29609999999999997</v>
      </c>
      <c r="G55" s="446">
        <f>SUM(ROS!L344:L350)</f>
        <v>0</v>
      </c>
      <c r="H55" s="446">
        <f t="shared" si="1"/>
        <v>2.1024675367214285</v>
      </c>
      <c r="I55" s="447">
        <f>ROS!D344</f>
        <v>65.164335508844999</v>
      </c>
      <c r="J55" s="446">
        <f>SUM(ROS!H344:H350)</f>
        <v>0.23095262063364333</v>
      </c>
      <c r="K55" s="446">
        <f>SUM(ROS!I344:I350)</f>
        <v>5.8773745770194097</v>
      </c>
      <c r="L55" s="446">
        <f>SUM(ROS!P344:P350)</f>
        <v>2.5150018012903228</v>
      </c>
      <c r="M55" s="448">
        <f>paddy_rain!AB74</f>
        <v>45731</v>
      </c>
      <c r="N55" s="448">
        <f>paddy_Dry!AB74</f>
        <v>0</v>
      </c>
      <c r="O55" s="448">
        <f>upland_dry!AB74</f>
        <v>0</v>
      </c>
      <c r="P55" s="448">
        <f>upland_rain!AB74</f>
        <v>67</v>
      </c>
      <c r="Q55" s="448">
        <f>plant!R63</f>
        <v>0</v>
      </c>
      <c r="R55" s="449">
        <f t="shared" si="2"/>
        <v>45798</v>
      </c>
      <c r="S55" s="450">
        <f>fishporn!$E$6</f>
        <v>0</v>
      </c>
      <c r="T55" s="448">
        <f>' prawnporn'!$E$6</f>
        <v>0</v>
      </c>
      <c r="U55" s="451"/>
    </row>
    <row r="56" spans="1:21" x14ac:dyDescent="0.3">
      <c r="A56" s="444">
        <f t="shared" si="0"/>
        <v>49</v>
      </c>
      <c r="B56" s="445" t="s">
        <v>794</v>
      </c>
      <c r="C56" s="446">
        <f>SUM(ROS!R351:R357)</f>
        <v>0.93422569642279396</v>
      </c>
      <c r="D56" s="446">
        <f>SUM(ROS!K351:K357)</f>
        <v>1.3548387096774195E-2</v>
      </c>
      <c r="E56" s="446">
        <f>SUM(ROS!M351:M357)</f>
        <v>0.26080645161290328</v>
      </c>
      <c r="F56" s="446">
        <f>SUM(ROS!N351:N357)</f>
        <v>0.29609999999999997</v>
      </c>
      <c r="G56" s="446">
        <f>SUM(ROS!L351:L357)</f>
        <v>0</v>
      </c>
      <c r="H56" s="446">
        <f t="shared" si="1"/>
        <v>1.5046805351324715</v>
      </c>
      <c r="I56" s="447">
        <f>ROS!D351</f>
        <v>68.708289928509387</v>
      </c>
      <c r="J56" s="446">
        <f>SUM(ROS!H351:H357)</f>
        <v>0.22787891770563617</v>
      </c>
      <c r="K56" s="446">
        <f>SUM(ROS!I351:I357)</f>
        <v>7.7723519000462788</v>
      </c>
      <c r="L56" s="446">
        <f>SUM(ROS!P351:P357)</f>
        <v>1.9753706270967746</v>
      </c>
      <c r="M56" s="448">
        <f>paddy_rain!AB75</f>
        <v>35911</v>
      </c>
      <c r="N56" s="448">
        <f>paddy_Dry!AB75</f>
        <v>0</v>
      </c>
      <c r="O56" s="448">
        <f>upland_dry!AB75</f>
        <v>0</v>
      </c>
      <c r="P56" s="448">
        <f>upland_rain!AB75</f>
        <v>67</v>
      </c>
      <c r="Q56" s="448">
        <f>plant!R64</f>
        <v>0</v>
      </c>
      <c r="R56" s="449">
        <f t="shared" si="2"/>
        <v>35978</v>
      </c>
      <c r="S56" s="450">
        <f>fishporn!$E$6</f>
        <v>0</v>
      </c>
      <c r="T56" s="448">
        <f>' prawnporn'!$E$6</f>
        <v>0</v>
      </c>
      <c r="U56" s="451"/>
    </row>
    <row r="57" spans="1:21" x14ac:dyDescent="0.3">
      <c r="A57" s="444">
        <f t="shared" si="0"/>
        <v>50</v>
      </c>
      <c r="B57" s="445" t="s">
        <v>795</v>
      </c>
      <c r="C57" s="446">
        <f>SUM(ROS!R358:R364)</f>
        <v>0.42398285165529592</v>
      </c>
      <c r="D57" s="446">
        <f>SUM(ROS!K358:K364)</f>
        <v>1.3548387096774195E-2</v>
      </c>
      <c r="E57" s="446">
        <f>SUM(ROS!M358:M364)</f>
        <v>0.26080645161290328</v>
      </c>
      <c r="F57" s="446">
        <f>SUM(ROS!N358:N364)</f>
        <v>0.29609999999999997</v>
      </c>
      <c r="G57" s="446">
        <f>SUM(ROS!L358:L364)</f>
        <v>0</v>
      </c>
      <c r="H57" s="446">
        <f t="shared" si="1"/>
        <v>0.99443769036497343</v>
      </c>
      <c r="I57" s="447">
        <f>ROS!D358</f>
        <v>74.748082375717573</v>
      </c>
      <c r="J57" s="446">
        <f>SUM(ROS!H358:H364)</f>
        <v>0.23725271417763749</v>
      </c>
      <c r="K57" s="446">
        <f>SUM(ROS!I358:I364)</f>
        <v>7.7723519000462788</v>
      </c>
      <c r="L57" s="446">
        <f>SUM(ROS!P358:P364)</f>
        <v>1.4021086709677417</v>
      </c>
      <c r="M57" s="448">
        <f>paddy_rain!AB76</f>
        <v>25479</v>
      </c>
      <c r="N57" s="448">
        <f>paddy_Dry!AB76</f>
        <v>0</v>
      </c>
      <c r="O57" s="448">
        <f>upland_dry!AB76</f>
        <v>0</v>
      </c>
      <c r="P57" s="448">
        <f>upland_rain!AB76</f>
        <v>67</v>
      </c>
      <c r="Q57" s="448">
        <f>plant!R65</f>
        <v>0</v>
      </c>
      <c r="R57" s="449">
        <f t="shared" si="2"/>
        <v>25546</v>
      </c>
      <c r="S57" s="450">
        <f>fishporn!$E$6</f>
        <v>0</v>
      </c>
      <c r="T57" s="448">
        <f>' prawnporn'!$E$6</f>
        <v>0</v>
      </c>
      <c r="U57" s="451"/>
    </row>
    <row r="58" spans="1:21" x14ac:dyDescent="0.3">
      <c r="A58" s="444">
        <f t="shared" si="0"/>
        <v>51</v>
      </c>
      <c r="B58" s="445" t="s">
        <v>796</v>
      </c>
      <c r="C58" s="446">
        <f>SUM(ROS!R365:R371)</f>
        <v>0.17758139431894263</v>
      </c>
      <c r="D58" s="446">
        <f>SUM(ROS!K365:K371)</f>
        <v>1.3548387096774195E-2</v>
      </c>
      <c r="E58" s="446">
        <f>SUM(ROS!M365:M371)</f>
        <v>0.26080645161290328</v>
      </c>
      <c r="F58" s="446">
        <f>SUM(ROS!N365:N371)</f>
        <v>0.29609999999999997</v>
      </c>
      <c r="G58" s="446">
        <f>SUM(ROS!L365:L371)</f>
        <v>0</v>
      </c>
      <c r="H58" s="446">
        <f t="shared" si="1"/>
        <v>0.7480362330286201</v>
      </c>
      <c r="I58" s="447">
        <f>ROS!D365</f>
        <v>81.288743871221243</v>
      </c>
      <c r="J58" s="446">
        <f>SUM(ROS!H365:H371)</f>
        <v>0.24678826820423261</v>
      </c>
      <c r="K58" s="446">
        <f>SUM(ROS!I365:I371)</f>
        <v>7.7723519000462788</v>
      </c>
      <c r="L58" s="446">
        <f>SUM(ROS!P365:P371)</f>
        <v>0.71520544516129014</v>
      </c>
      <c r="M58" s="448">
        <f>paddy_rain!AB77</f>
        <v>12979</v>
      </c>
      <c r="N58" s="448">
        <f>paddy_Dry!AB77</f>
        <v>0</v>
      </c>
      <c r="O58" s="448">
        <f>upland_dry!AB77</f>
        <v>0</v>
      </c>
      <c r="P58" s="448">
        <f>upland_rain!AB77</f>
        <v>67</v>
      </c>
      <c r="Q58" s="448">
        <f>plant!R66</f>
        <v>0</v>
      </c>
      <c r="R58" s="449">
        <f t="shared" si="2"/>
        <v>13046</v>
      </c>
      <c r="S58" s="450">
        <f>fishporn!$E$6</f>
        <v>0</v>
      </c>
      <c r="T58" s="448">
        <f>' prawnporn'!$E$6</f>
        <v>0</v>
      </c>
      <c r="U58" s="451"/>
    </row>
    <row r="59" spans="1:21" x14ac:dyDescent="0.3">
      <c r="A59" s="452">
        <f t="shared" si="0"/>
        <v>52</v>
      </c>
      <c r="B59" s="453" t="s">
        <v>797</v>
      </c>
      <c r="C59" s="454">
        <f>SUM(ROS!R372:R379)</f>
        <v>7.1946285798670396E-3</v>
      </c>
      <c r="D59" s="454">
        <f>SUM(ROS!K372:K379)</f>
        <v>1.5483870967741937E-2</v>
      </c>
      <c r="E59" s="454">
        <f>SUM(ROS!M372:M379)</f>
        <v>0.29806451612903229</v>
      </c>
      <c r="F59" s="454">
        <f>SUM(ROS!N372:N379)</f>
        <v>0.33839999999999998</v>
      </c>
      <c r="G59" s="454">
        <f>SUM(ROS!L372:L379)</f>
        <v>0</v>
      </c>
      <c r="H59" s="454">
        <f>SUM(C59:G59)</f>
        <v>0.65914301567664124</v>
      </c>
      <c r="I59" s="455">
        <f>ROS!D372</f>
        <v>88.066271270034619</v>
      </c>
      <c r="J59" s="454">
        <f>SUM(ROS!H372:H379)</f>
        <v>0.2935765885418844</v>
      </c>
      <c r="K59" s="454">
        <f>SUM(ROS!I372:I379)</f>
        <v>8.8826878857671758</v>
      </c>
      <c r="L59" s="454">
        <f>SUM(ROS!P372:P379)</f>
        <v>2.2629574193548385E-3</v>
      </c>
      <c r="M59" s="448">
        <f>paddy_rain!AB78</f>
        <v>0</v>
      </c>
      <c r="N59" s="448">
        <f>paddy_Dry!AB78</f>
        <v>0</v>
      </c>
      <c r="O59" s="448">
        <f>upland_dry!AB78</f>
        <v>0</v>
      </c>
      <c r="P59" s="448">
        <f>upland_rain!AB78</f>
        <v>67</v>
      </c>
      <c r="Q59" s="448">
        <f>plant!R67</f>
        <v>0</v>
      </c>
      <c r="R59" s="449">
        <f t="shared" si="2"/>
        <v>67</v>
      </c>
      <c r="S59" s="450">
        <f>fishporn!$E$6</f>
        <v>0</v>
      </c>
      <c r="T59" s="448">
        <f>' prawnporn'!$E$6</f>
        <v>0</v>
      </c>
      <c r="U59" s="456"/>
    </row>
    <row r="60" spans="1:21" x14ac:dyDescent="0.3">
      <c r="B60" s="457" t="s">
        <v>415</v>
      </c>
      <c r="C60" s="458">
        <f>SUM(C8:C59)</f>
        <v>35.045440547770959</v>
      </c>
      <c r="D60" s="458">
        <f t="shared" ref="C60:H60" si="3">SUM(D8:D59)</f>
        <v>1.1400000000000003</v>
      </c>
      <c r="E60" s="458">
        <f t="shared" si="3"/>
        <v>13.850000000000009</v>
      </c>
      <c r="F60" s="458">
        <f t="shared" si="3"/>
        <v>23.095799999999979</v>
      </c>
      <c r="G60" s="458">
        <f t="shared" si="3"/>
        <v>0</v>
      </c>
      <c r="H60" s="458">
        <f>SUM(H8:H59)</f>
        <v>73.131240547770972</v>
      </c>
      <c r="I60" s="458"/>
      <c r="J60" s="458">
        <f>SUM(J8:J59)</f>
        <v>16.003530677806094</v>
      </c>
      <c r="K60" s="458">
        <f>SUM(K8:K59)</f>
        <v>99.047010777159926</v>
      </c>
      <c r="L60" s="458">
        <f>SUM(L8:L59)</f>
        <v>35.83258293752462</v>
      </c>
      <c r="M60" s="459">
        <f>MAX(M8:M59)</f>
        <v>45731</v>
      </c>
      <c r="N60" s="459">
        <f t="shared" ref="N60:T60" si="4">MAX(N8:N59)</f>
        <v>0</v>
      </c>
      <c r="O60" s="459">
        <f t="shared" si="4"/>
        <v>0</v>
      </c>
      <c r="P60" s="459">
        <f t="shared" si="4"/>
        <v>67</v>
      </c>
      <c r="Q60" s="459">
        <f t="shared" si="4"/>
        <v>0</v>
      </c>
      <c r="R60" s="459">
        <f t="shared" si="4"/>
        <v>45798</v>
      </c>
      <c r="S60" s="459">
        <f t="shared" si="4"/>
        <v>0</v>
      </c>
      <c r="T60" s="459">
        <f t="shared" si="4"/>
        <v>0</v>
      </c>
      <c r="U60" s="460"/>
    </row>
    <row r="62" spans="1:21" x14ac:dyDescent="0.3">
      <c r="H62" s="598"/>
    </row>
  </sheetData>
  <sheetProtection formatCells="0" formatColumns="0"/>
  <mergeCells count="29">
    <mergeCell ref="A1:J1"/>
    <mergeCell ref="A2:G2"/>
    <mergeCell ref="H2:J2"/>
    <mergeCell ref="F6:F7"/>
    <mergeCell ref="A3:U3"/>
    <mergeCell ref="J6:J7"/>
    <mergeCell ref="A5:A7"/>
    <mergeCell ref="C6:C7"/>
    <mergeCell ref="D6:D7"/>
    <mergeCell ref="L2:N2"/>
    <mergeCell ref="Q6:Q7"/>
    <mergeCell ref="N6:N7"/>
    <mergeCell ref="K6:K7"/>
    <mergeCell ref="B5:B7"/>
    <mergeCell ref="P6:P7"/>
    <mergeCell ref="G6:G7"/>
    <mergeCell ref="R6:R7"/>
    <mergeCell ref="U5:U7"/>
    <mergeCell ref="C5:H5"/>
    <mergeCell ref="I5:L5"/>
    <mergeCell ref="M5:R5"/>
    <mergeCell ref="T5:T7"/>
    <mergeCell ref="L6:L7"/>
    <mergeCell ref="M6:M7"/>
    <mergeCell ref="S5:S7"/>
    <mergeCell ref="O6:O7"/>
    <mergeCell ref="H6:H7"/>
    <mergeCell ref="I6:I7"/>
    <mergeCell ref="E6:E7"/>
  </mergeCells>
  <phoneticPr fontId="0" type="noConversion"/>
  <pageMargins left="0.35433070866141736" right="0.19685039370078741" top="0.47244094488188981" bottom="0.43307086614173229" header="0.31496062992125984" footer="0.31496062992125984"/>
  <pageSetup paperSize="9" scale="64" orientation="landscape"/>
  <headerFooter>
    <oddFooter>&amp;C&amp;"TH SarabunPSK,ตัวหนา"หน้า 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14403-372D-A542-9717-300665669F23}">
  <sheetPr codeName="Sheet25">
    <tabColor rgb="FF00B0F0"/>
  </sheetPr>
  <dimension ref="A1:U20"/>
  <sheetViews>
    <sheetView zoomScale="168" zoomScaleNormal="100" zoomScaleSheetLayoutView="100" workbookViewId="0">
      <selection activeCell="C19" sqref="C19"/>
    </sheetView>
  </sheetViews>
  <sheetFormatPr baseColWidth="10" defaultColWidth="9.1640625" defaultRowHeight="17" x14ac:dyDescent="0.3"/>
  <cols>
    <col min="1" max="1" width="7.6640625" style="436" bestFit="1" customWidth="1"/>
    <col min="2" max="2" width="15.83203125" style="436" customWidth="1"/>
    <col min="3" max="4" width="11.1640625" style="436" customWidth="1"/>
    <col min="5" max="5" width="12.1640625" style="436" bestFit="1" customWidth="1"/>
    <col min="6" max="8" width="11.1640625" style="436" customWidth="1"/>
    <col min="9" max="9" width="14.33203125" style="436" customWidth="1"/>
    <col min="10" max="12" width="9.1640625" style="436"/>
    <col min="13" max="14" width="11.5" style="436" bestFit="1" customWidth="1"/>
    <col min="15" max="17" width="9.1640625" style="436"/>
    <col min="18" max="18" width="11.5" style="436" bestFit="1" customWidth="1"/>
    <col min="19" max="19" width="9.1640625" style="436"/>
    <col min="20" max="20" width="8.33203125" style="436" customWidth="1"/>
    <col min="21" max="16384" width="9.1640625" style="436"/>
  </cols>
  <sheetData>
    <row r="1" spans="1:21" x14ac:dyDescent="0.3">
      <c r="A1" s="726" t="s">
        <v>737</v>
      </c>
      <c r="B1" s="726"/>
      <c r="C1" s="726"/>
      <c r="D1" s="726"/>
      <c r="E1" s="726"/>
      <c r="F1" s="726"/>
      <c r="G1" s="726"/>
      <c r="H1" s="726"/>
      <c r="I1" s="726"/>
      <c r="J1" s="726"/>
      <c r="K1" s="433">
        <f>fill_data!E2</f>
        <v>2566</v>
      </c>
      <c r="L1" s="433" t="str">
        <f>"/ "&amp;fill_data!$E$2+1</f>
        <v>/ 2567</v>
      </c>
    </row>
    <row r="2" spans="1:21" x14ac:dyDescent="0.3">
      <c r="A2" s="726" t="s">
        <v>721</v>
      </c>
      <c r="B2" s="726"/>
      <c r="C2" s="726"/>
      <c r="D2" s="726"/>
      <c r="E2" s="726"/>
      <c r="F2" s="726"/>
      <c r="G2" s="726"/>
      <c r="H2" s="740" t="str">
        <f>fill_data!D1</f>
        <v>มูลบน</v>
      </c>
      <c r="I2" s="740"/>
      <c r="J2" s="740"/>
      <c r="K2" s="435" t="s">
        <v>108</v>
      </c>
      <c r="L2" s="741" t="str">
        <f>fill_data!C4</f>
        <v>นครราชสีมา</v>
      </c>
      <c r="M2" s="741"/>
      <c r="N2" s="741"/>
    </row>
    <row r="3" spans="1:21" x14ac:dyDescent="0.3">
      <c r="A3" s="730" t="s">
        <v>696</v>
      </c>
      <c r="B3" s="730"/>
      <c r="C3" s="730"/>
      <c r="D3" s="730"/>
      <c r="E3" s="730"/>
      <c r="F3" s="730"/>
      <c r="G3" s="730"/>
      <c r="H3" s="730"/>
      <c r="I3" s="730"/>
      <c r="J3" s="730"/>
      <c r="K3" s="730"/>
      <c r="L3" s="730"/>
      <c r="M3" s="730"/>
      <c r="N3" s="730"/>
      <c r="O3" s="730"/>
      <c r="P3" s="730"/>
      <c r="Q3" s="730"/>
      <c r="R3" s="730"/>
      <c r="S3" s="730"/>
      <c r="T3" s="730"/>
      <c r="U3" s="730"/>
    </row>
    <row r="5" spans="1:21" x14ac:dyDescent="0.3">
      <c r="A5" s="731" t="s">
        <v>727</v>
      </c>
      <c r="B5" s="736" t="s">
        <v>166</v>
      </c>
      <c r="C5" s="723" t="s">
        <v>722</v>
      </c>
      <c r="D5" s="723"/>
      <c r="E5" s="723"/>
      <c r="F5" s="723"/>
      <c r="G5" s="723"/>
      <c r="H5" s="723"/>
      <c r="I5" s="742" t="s">
        <v>745</v>
      </c>
      <c r="J5" s="742"/>
      <c r="K5" s="742"/>
      <c r="L5" s="742"/>
      <c r="M5" s="743" t="s">
        <v>726</v>
      </c>
      <c r="N5" s="743"/>
      <c r="O5" s="743"/>
      <c r="P5" s="743"/>
      <c r="Q5" s="743"/>
      <c r="R5" s="743"/>
      <c r="S5" s="722" t="s">
        <v>412</v>
      </c>
      <c r="T5" s="722" t="s">
        <v>413</v>
      </c>
      <c r="U5" s="722" t="s">
        <v>431</v>
      </c>
    </row>
    <row r="6" spans="1:21" x14ac:dyDescent="0.3">
      <c r="A6" s="732"/>
      <c r="B6" s="737"/>
      <c r="C6" s="722" t="s">
        <v>405</v>
      </c>
      <c r="D6" s="734" t="s">
        <v>728</v>
      </c>
      <c r="E6" s="721" t="s">
        <v>420</v>
      </c>
      <c r="F6" s="728" t="s">
        <v>723</v>
      </c>
      <c r="G6" s="721" t="s">
        <v>598</v>
      </c>
      <c r="H6" s="734" t="s">
        <v>729</v>
      </c>
      <c r="I6" s="734" t="s">
        <v>830</v>
      </c>
      <c r="J6" s="722" t="s">
        <v>724</v>
      </c>
      <c r="K6" s="722" t="s">
        <v>725</v>
      </c>
      <c r="L6" s="722" t="s">
        <v>601</v>
      </c>
      <c r="M6" s="721" t="s">
        <v>732</v>
      </c>
      <c r="N6" s="721" t="s">
        <v>733</v>
      </c>
      <c r="O6" s="721" t="s">
        <v>730</v>
      </c>
      <c r="P6" s="721" t="s">
        <v>731</v>
      </c>
      <c r="Q6" s="721" t="s">
        <v>391</v>
      </c>
      <c r="R6" s="721" t="s">
        <v>415</v>
      </c>
      <c r="S6" s="722"/>
      <c r="T6" s="722"/>
      <c r="U6" s="722"/>
    </row>
    <row r="7" spans="1:21" x14ac:dyDescent="0.3">
      <c r="A7" s="733"/>
      <c r="B7" s="738"/>
      <c r="C7" s="722"/>
      <c r="D7" s="734"/>
      <c r="E7" s="721"/>
      <c r="F7" s="729"/>
      <c r="G7" s="721"/>
      <c r="H7" s="739"/>
      <c r="I7" s="739"/>
      <c r="J7" s="722"/>
      <c r="K7" s="722"/>
      <c r="L7" s="722"/>
      <c r="M7" s="722"/>
      <c r="N7" s="722"/>
      <c r="O7" s="722"/>
      <c r="P7" s="722"/>
      <c r="Q7" s="722"/>
      <c r="R7" s="722"/>
      <c r="S7" s="722"/>
      <c r="T7" s="722"/>
      <c r="U7" s="722"/>
    </row>
    <row r="8" spans="1:21" x14ac:dyDescent="0.3">
      <c r="A8" s="437">
        <v>1</v>
      </c>
      <c r="B8" s="461" t="s">
        <v>798</v>
      </c>
      <c r="C8" s="439">
        <f>SUM(ROS!R15:R44)</f>
        <v>3.6569332221567663E-2</v>
      </c>
      <c r="D8" s="439">
        <f>SUM(ROS!K15:K44)</f>
        <v>6.0000000000000039E-2</v>
      </c>
      <c r="E8" s="439">
        <f>SUM(ROS!M15:M44)</f>
        <v>1.1050000000000006</v>
      </c>
      <c r="F8" s="439">
        <f>SUM(ROS!N15:N44)</f>
        <v>1.2689999999999999</v>
      </c>
      <c r="G8" s="448">
        <f>SUM(ROS!L15:L44)</f>
        <v>0</v>
      </c>
      <c r="H8" s="439">
        <f>SUM(C8:G8)</f>
        <v>2.4705693322215683</v>
      </c>
      <c r="I8" s="439">
        <f>ROS!D15</f>
        <v>86.084000000000003</v>
      </c>
      <c r="J8" s="439">
        <f>SUM(ROS!H15:H44)</f>
        <v>1.3040154610256476</v>
      </c>
      <c r="K8" s="439">
        <f>SUM(ROS!I15:I44)</f>
        <v>8.1896640658378566</v>
      </c>
      <c r="L8" s="439">
        <f>SUM(ROS!P15:P44)</f>
        <v>2.1669238472048964E-3</v>
      </c>
      <c r="M8" s="448">
        <f>MAX(paddy_rain!AB27:AB30)</f>
        <v>0</v>
      </c>
      <c r="N8" s="448">
        <f>MAX(paddy_Dry!AB27:AB30)</f>
        <v>0</v>
      </c>
      <c r="O8" s="448">
        <f>MAX(upland_dry!AB27:AB30)</f>
        <v>0</v>
      </c>
      <c r="P8" s="448">
        <f>MAX(upland_rain!AB27:AB30)</f>
        <v>67</v>
      </c>
      <c r="Q8" s="448">
        <f>MAX(plant!R16:R19)</f>
        <v>0</v>
      </c>
      <c r="R8" s="448">
        <f>SUM(M8:Q8)</f>
        <v>67</v>
      </c>
      <c r="S8" s="448">
        <f>SUM(fishporn!E6)</f>
        <v>0</v>
      </c>
      <c r="T8" s="448">
        <f>SUM(' prawnporn'!E6)</f>
        <v>0</v>
      </c>
      <c r="U8" s="443"/>
    </row>
    <row r="9" spans="1:21" x14ac:dyDescent="0.3">
      <c r="A9" s="444">
        <f>A8+1</f>
        <v>2</v>
      </c>
      <c r="B9" s="462" t="s">
        <v>799</v>
      </c>
      <c r="C9" s="463">
        <f>SUM(ROS!R45:R75)</f>
        <v>3.8245249248455855E-2</v>
      </c>
      <c r="D9" s="463">
        <f>SUM(ROS!K45:K75)</f>
        <v>6.0000000000000026E-2</v>
      </c>
      <c r="E9" s="463">
        <f>SUM(ROS!M45:M75)</f>
        <v>1.155</v>
      </c>
      <c r="F9" s="463">
        <f>SUM(ROS!N45:N75)</f>
        <v>1.3112999999999999</v>
      </c>
      <c r="G9" s="448">
        <f>SUM(ROS!L45:L75)</f>
        <v>0</v>
      </c>
      <c r="H9" s="446">
        <f>SUM(C9:G9)</f>
        <v>2.5645452492484555</v>
      </c>
      <c r="I9" s="447">
        <f>ROS!D45</f>
        <v>90.49907927259045</v>
      </c>
      <c r="J9" s="463">
        <f>SUM(ROS!H45:H75)</f>
        <v>1.4237306571105752</v>
      </c>
      <c r="K9" s="463">
        <f>SUM(ROS!I45:I75)</f>
        <v>2.7237213529073268</v>
      </c>
      <c r="L9" s="463">
        <f>SUM(ROS!P45:P75)</f>
        <v>4.0321032258064518E-4</v>
      </c>
      <c r="M9" s="448">
        <f>MAX(paddy_rain!AB31:AB34)</f>
        <v>0</v>
      </c>
      <c r="N9" s="448">
        <f>MAX(paddy_Dry!AB31:AB34)</f>
        <v>0</v>
      </c>
      <c r="O9" s="448">
        <f>MAX(upland_dry!AB31:AB34)</f>
        <v>0</v>
      </c>
      <c r="P9" s="448">
        <f>MAX(upland_rain!AB31:AB34)</f>
        <v>67</v>
      </c>
      <c r="Q9" s="448">
        <f>MAX(plant!R20:R23)</f>
        <v>0</v>
      </c>
      <c r="R9" s="448">
        <f>SUM(M9:Q9)</f>
        <v>67</v>
      </c>
      <c r="S9" s="448">
        <f>SUM(fishporn!E6)</f>
        <v>0</v>
      </c>
      <c r="T9" s="448">
        <f>SUM(' prawnporn'!E6)</f>
        <v>0</v>
      </c>
      <c r="U9" s="451"/>
    </row>
    <row r="10" spans="1:21" x14ac:dyDescent="0.3">
      <c r="A10" s="444">
        <f t="shared" ref="A10:A19" si="0">A9+1</f>
        <v>3</v>
      </c>
      <c r="B10" s="462" t="s">
        <v>800</v>
      </c>
      <c r="C10" s="463">
        <f>SUM(ROS!R76:R106)</f>
        <v>3.566227128905821E-2</v>
      </c>
      <c r="D10" s="463">
        <f>SUM(ROS!K76:K106)</f>
        <v>0.13000000000000003</v>
      </c>
      <c r="E10" s="463">
        <f>SUM(ROS!M76:M106)</f>
        <v>1.1950000000000005</v>
      </c>
      <c r="F10" s="463">
        <f>SUM(ROS!N76:N106)</f>
        <v>2.5379999999999976</v>
      </c>
      <c r="G10" s="448">
        <f>SUM(ROS!L76:L106)</f>
        <v>0</v>
      </c>
      <c r="H10" s="446">
        <f t="shared" ref="H10:H19" si="1">SUM(C10:G10)</f>
        <v>3.8986622712890564</v>
      </c>
      <c r="I10" s="447">
        <f>ROS!D76</f>
        <v>89.234524719138832</v>
      </c>
      <c r="J10" s="463">
        <f>SUM(ROS!H76:H106)</f>
        <v>1.3615082218498435</v>
      </c>
      <c r="K10" s="463">
        <f>SUM(ROS!I76:I106)</f>
        <v>1.7189093941392801</v>
      </c>
      <c r="L10" s="463">
        <f>SUM(ROS!P76:P106)</f>
        <v>5.4038433179723485E-4</v>
      </c>
      <c r="M10" s="448">
        <f>MAX(paddy_rain!AB35:AB39)</f>
        <v>0</v>
      </c>
      <c r="N10" s="448">
        <f>MAX(paddy_Dry!AB35:AB39)</f>
        <v>0</v>
      </c>
      <c r="O10" s="448">
        <f>MAX(upland_dry!AB35:AB39)</f>
        <v>0</v>
      </c>
      <c r="P10" s="448">
        <f>MAX(upland_rain!AB35:AB39)</f>
        <v>67</v>
      </c>
      <c r="Q10" s="448">
        <f>MAX(plant!R24:R28)</f>
        <v>0</v>
      </c>
      <c r="R10" s="448">
        <f t="shared" ref="R10:R19" si="2">SUM(M10:Q10)</f>
        <v>67</v>
      </c>
      <c r="S10" s="448">
        <f>SUM(fishporn!E6)</f>
        <v>0</v>
      </c>
      <c r="T10" s="448">
        <f>SUM(' prawnporn'!E6)</f>
        <v>0</v>
      </c>
      <c r="U10" s="451"/>
    </row>
    <row r="11" spans="1:21" x14ac:dyDescent="0.3">
      <c r="A11" s="444">
        <f t="shared" si="0"/>
        <v>4</v>
      </c>
      <c r="B11" s="462" t="s">
        <v>801</v>
      </c>
      <c r="C11" s="463">
        <f>SUM(ROS!R107:R134)</f>
        <v>2.7106969275629007E-2</v>
      </c>
      <c r="D11" s="463">
        <f>SUM(ROS!K107:K134)</f>
        <v>0.13</v>
      </c>
      <c r="E11" s="463">
        <f>SUM(ROS!M107:M134)</f>
        <v>1.2449999999999999</v>
      </c>
      <c r="F11" s="463">
        <f>SUM(ROS!N107:N134)</f>
        <v>2.4533999999999989</v>
      </c>
      <c r="G11" s="448">
        <f>SUM(ROS!L107:L134)</f>
        <v>0</v>
      </c>
      <c r="H11" s="446">
        <f t="shared" si="1"/>
        <v>3.8555069692756279</v>
      </c>
      <c r="I11" s="447">
        <f>ROS!D107</f>
        <v>85.693263620139518</v>
      </c>
      <c r="J11" s="463">
        <f>SUM(ROS!H107:H134)</f>
        <v>1.415784174509503</v>
      </c>
      <c r="K11" s="463">
        <f>SUM(ROS!I107:I134)</f>
        <v>1.591875206965667</v>
      </c>
      <c r="L11" s="463">
        <f>SUM(ROS!P107:P134)</f>
        <v>1.6726285714285714E-3</v>
      </c>
      <c r="M11" s="448">
        <f>MAX(paddy_rain!AB40:AB43)</f>
        <v>0</v>
      </c>
      <c r="N11" s="448">
        <f>MAX(paddy_Dry!AB40:AB43)</f>
        <v>0</v>
      </c>
      <c r="O11" s="448">
        <f>MAX(upland_dry!AB40:AB43)</f>
        <v>0</v>
      </c>
      <c r="P11" s="448">
        <f>MAX(upland_rain!AB40:AB43)</f>
        <v>67</v>
      </c>
      <c r="Q11" s="448">
        <f>MAX(plant!R29:R32)</f>
        <v>0</v>
      </c>
      <c r="R11" s="448">
        <f t="shared" si="2"/>
        <v>67</v>
      </c>
      <c r="S11" s="448">
        <f>SUM(fishporn!E6)</f>
        <v>0</v>
      </c>
      <c r="T11" s="448">
        <f>SUM(' prawnporn'!E6)</f>
        <v>0</v>
      </c>
      <c r="U11" s="451"/>
    </row>
    <row r="12" spans="1:21" x14ac:dyDescent="0.3">
      <c r="A12" s="444">
        <f t="shared" si="0"/>
        <v>5</v>
      </c>
      <c r="B12" s="462" t="s">
        <v>802</v>
      </c>
      <c r="C12" s="463">
        <f>SUM(ROS!R135:R165)</f>
        <v>0</v>
      </c>
      <c r="D12" s="463">
        <f>SUM(ROS!K135:K165)</f>
        <v>0.13000000000000003</v>
      </c>
      <c r="E12" s="463">
        <f>SUM(ROS!M135:M165)</f>
        <v>1.2450000000000008</v>
      </c>
      <c r="F12" s="463">
        <f>SUM(ROS!N135:N165)</f>
        <v>2.6225999999999998</v>
      </c>
      <c r="G12" s="448">
        <f>SUM(ROS!L135:L165)</f>
        <v>0</v>
      </c>
      <c r="H12" s="446">
        <f t="shared" si="1"/>
        <v>3.9976000000000007</v>
      </c>
      <c r="I12" s="447">
        <f>ROS!D135</f>
        <v>82.013847683320193</v>
      </c>
      <c r="J12" s="463">
        <f>SUM(ROS!H135:H165)</f>
        <v>1.6020796617438438</v>
      </c>
      <c r="K12" s="463">
        <f>SUM(ROS!I135:I165)</f>
        <v>1.7505839770803073</v>
      </c>
      <c r="L12" s="463">
        <f>SUM(ROS!P135:P165)</f>
        <v>0</v>
      </c>
      <c r="M12" s="448">
        <f>MAX(paddy_rain!AB44:AB47)</f>
        <v>0</v>
      </c>
      <c r="N12" s="448">
        <f>MAX(paddy_Dry!AB44:AB47)</f>
        <v>0</v>
      </c>
      <c r="O12" s="448">
        <f>MAX(upland_dry!AB44:AB47)</f>
        <v>0</v>
      </c>
      <c r="P12" s="448">
        <f>MAX(upland_rain!AB44:AB47)</f>
        <v>0</v>
      </c>
      <c r="Q12" s="448">
        <f>MAX(plant!R33:R36)</f>
        <v>0</v>
      </c>
      <c r="R12" s="448">
        <f t="shared" si="2"/>
        <v>0</v>
      </c>
      <c r="S12" s="448">
        <f>SUM(fishporn!E6)</f>
        <v>0</v>
      </c>
      <c r="T12" s="448">
        <f>SUM(' prawnporn'!E6)</f>
        <v>0</v>
      </c>
      <c r="U12" s="451"/>
    </row>
    <row r="13" spans="1:21" x14ac:dyDescent="0.3">
      <c r="A13" s="444">
        <f t="shared" si="0"/>
        <v>6</v>
      </c>
      <c r="B13" s="462" t="s">
        <v>803</v>
      </c>
      <c r="C13" s="463">
        <f>SUM(ROS!R166:R195)</f>
        <v>0</v>
      </c>
      <c r="D13" s="463">
        <f>SUM(ROS!K166:K195)</f>
        <v>0.12999999999999995</v>
      </c>
      <c r="E13" s="463">
        <f>SUM(ROS!M166:M195)</f>
        <v>1.1450000000000002</v>
      </c>
      <c r="F13" s="463">
        <f>SUM(ROS!N166:N195)</f>
        <v>2.5379999999999998</v>
      </c>
      <c r="G13" s="448">
        <f>SUM(ROS!L166:L195)</f>
        <v>0</v>
      </c>
      <c r="H13" s="446">
        <f t="shared" si="1"/>
        <v>3.8129999999999997</v>
      </c>
      <c r="I13" s="447">
        <f>ROS!D166</f>
        <v>78.16475199865684</v>
      </c>
      <c r="J13" s="463">
        <f>SUM(ROS!H166:H195)</f>
        <v>1.6276221539374549</v>
      </c>
      <c r="K13" s="463">
        <f>SUM(ROS!I166:I195)</f>
        <v>2.0799276929062134</v>
      </c>
      <c r="L13" s="463">
        <f>SUM(ROS!P166:P195)</f>
        <v>0</v>
      </c>
      <c r="M13" s="448">
        <f>MAX(paddy_rain!AB48:AB51)</f>
        <v>0</v>
      </c>
      <c r="N13" s="448">
        <f>MAX(paddy_Dry!AB48:AB51)</f>
        <v>0</v>
      </c>
      <c r="O13" s="448">
        <f>MAX(upland_dry!AB48:AB51)</f>
        <v>0</v>
      </c>
      <c r="P13" s="448">
        <f>MAX(upland_rain!AB48:AB51)</f>
        <v>0</v>
      </c>
      <c r="Q13" s="448">
        <f>MAX(plant!R37:R40)</f>
        <v>0</v>
      </c>
      <c r="R13" s="448">
        <f t="shared" si="2"/>
        <v>0</v>
      </c>
      <c r="S13" s="448">
        <f>SUM(fishporn!E6)</f>
        <v>0</v>
      </c>
      <c r="T13" s="448">
        <f>SUM(' prawnporn'!E6)</f>
        <v>0</v>
      </c>
      <c r="U13" s="451"/>
    </row>
    <row r="14" spans="1:21" x14ac:dyDescent="0.3">
      <c r="A14" s="444">
        <f t="shared" si="0"/>
        <v>7</v>
      </c>
      <c r="B14" s="462" t="s">
        <v>804</v>
      </c>
      <c r="C14" s="463">
        <f>SUM(ROS!R196:R226)</f>
        <v>0</v>
      </c>
      <c r="D14" s="463">
        <f>SUM(ROS!K196:K226)</f>
        <v>0.13000000000000003</v>
      </c>
      <c r="E14" s="463">
        <f>SUM(ROS!M196:M226)</f>
        <v>1.1450000000000005</v>
      </c>
      <c r="F14" s="463">
        <f>SUM(ROS!N196:N226)</f>
        <v>2.6225999999999998</v>
      </c>
      <c r="G14" s="448">
        <f>SUM(ROS!L196:L226)</f>
        <v>0</v>
      </c>
      <c r="H14" s="446">
        <f t="shared" si="1"/>
        <v>3.8976000000000006</v>
      </c>
      <c r="I14" s="447">
        <f>ROS!D196</f>
        <v>74.804057537625553</v>
      </c>
      <c r="J14" s="463">
        <f>SUM(ROS!H196:H226)</f>
        <v>1.4494892557142229</v>
      </c>
      <c r="K14" s="463">
        <f>SUM(ROS!I196:I226)</f>
        <v>3.5936943063369191</v>
      </c>
      <c r="L14" s="463">
        <f>SUM(ROS!P196:P226)</f>
        <v>0</v>
      </c>
      <c r="M14" s="448">
        <f>MAX(paddy_rain!AB52:AB56)</f>
        <v>0</v>
      </c>
      <c r="N14" s="448">
        <f>MAX(paddy_Dry!AB52:AB56)</f>
        <v>0</v>
      </c>
      <c r="O14" s="448">
        <f>MAX(upland_dry!AB52:AB56)</f>
        <v>0</v>
      </c>
      <c r="P14" s="448">
        <f>MAX(upland_rain!AB52:AB56)</f>
        <v>0</v>
      </c>
      <c r="Q14" s="448">
        <f>MAX(plant!R41:R45)</f>
        <v>0</v>
      </c>
      <c r="R14" s="448">
        <f t="shared" si="2"/>
        <v>0</v>
      </c>
      <c r="S14" s="448">
        <f>SUM(fishporn!E6)</f>
        <v>0</v>
      </c>
      <c r="T14" s="448">
        <f>SUM(' prawnporn'!E6)</f>
        <v>0</v>
      </c>
      <c r="U14" s="451"/>
    </row>
    <row r="15" spans="1:21" x14ac:dyDescent="0.3">
      <c r="A15" s="444">
        <f t="shared" si="0"/>
        <v>8</v>
      </c>
      <c r="B15" s="462" t="s">
        <v>805</v>
      </c>
      <c r="C15" s="463">
        <f>SUM(ROS!R227:R256)</f>
        <v>0</v>
      </c>
      <c r="D15" s="463">
        <f>SUM(ROS!K227:K256)</f>
        <v>0.12999999999999995</v>
      </c>
      <c r="E15" s="463">
        <f>SUM(ROS!M227:M256)</f>
        <v>1.1450000000000002</v>
      </c>
      <c r="F15" s="463">
        <f>SUM(ROS!N227:N256)</f>
        <v>2.5379999999999998</v>
      </c>
      <c r="G15" s="448">
        <f>SUM(ROS!L227:L256)</f>
        <v>0</v>
      </c>
      <c r="H15" s="446">
        <f t="shared" si="1"/>
        <v>3.8129999999999997</v>
      </c>
      <c r="I15" s="447">
        <f>ROS!D227</f>
        <v>73.050662588248073</v>
      </c>
      <c r="J15" s="463">
        <f>SUM(ROS!H227:H256)</f>
        <v>1.3762414135155696</v>
      </c>
      <c r="K15" s="463">
        <f>SUM(ROS!I227:I256)</f>
        <v>3.6612675786018385</v>
      </c>
      <c r="L15" s="463">
        <f>SUM(ROS!P227:P256)</f>
        <v>0</v>
      </c>
      <c r="M15" s="448">
        <f>MAX(paddy_rain!AB57:AB60)</f>
        <v>0</v>
      </c>
      <c r="N15" s="448">
        <f>MAX(paddy_Dry!AB57:AB60)</f>
        <v>0</v>
      </c>
      <c r="O15" s="448">
        <f>MAX(upland_dry!AB57:AB60)</f>
        <v>0</v>
      </c>
      <c r="P15" s="448">
        <f>MAX(upland_rain!AB57:AB60)</f>
        <v>0</v>
      </c>
      <c r="Q15" s="448">
        <f>MAX(plant!R46:R49)</f>
        <v>0</v>
      </c>
      <c r="R15" s="448">
        <f t="shared" si="2"/>
        <v>0</v>
      </c>
      <c r="S15" s="448">
        <f>SUM(fishporn!E6)</f>
        <v>0</v>
      </c>
      <c r="T15" s="448">
        <f>SUM(' prawnporn'!E6)</f>
        <v>0</v>
      </c>
      <c r="U15" s="451"/>
    </row>
    <row r="16" spans="1:21" x14ac:dyDescent="0.3">
      <c r="A16" s="444">
        <f t="shared" si="0"/>
        <v>9</v>
      </c>
      <c r="B16" s="462" t="s">
        <v>806</v>
      </c>
      <c r="C16" s="463">
        <f>SUM(ROS!R257:R287)</f>
        <v>18.631578358451286</v>
      </c>
      <c r="D16" s="463">
        <f>SUM(ROS!K257:K287)</f>
        <v>6.0000000000000026E-2</v>
      </c>
      <c r="E16" s="463">
        <f>SUM(ROS!M257:M287)</f>
        <v>1.0050000000000006</v>
      </c>
      <c r="F16" s="463">
        <f>SUM(ROS!N257:N287)</f>
        <v>1.3112999999999999</v>
      </c>
      <c r="G16" s="448">
        <f>SUM(ROS!L257:L287)</f>
        <v>0</v>
      </c>
      <c r="H16" s="446">
        <f t="shared" si="1"/>
        <v>21.007878358451283</v>
      </c>
      <c r="I16" s="447">
        <f>ROS!D257</f>
        <v>71.522688753334378</v>
      </c>
      <c r="J16" s="463">
        <f>SUM(ROS!H257:H287)</f>
        <v>1.3131995994852634</v>
      </c>
      <c r="K16" s="463">
        <f>SUM(ROS!I257:I287)</f>
        <v>7.838956263131247</v>
      </c>
      <c r="L16" s="463">
        <f>SUM(ROS!P257:P287)</f>
        <v>4.8099789161290332</v>
      </c>
      <c r="M16" s="448">
        <f>MAX(paddy_rain!AB61:AB65)</f>
        <v>45731</v>
      </c>
      <c r="N16" s="448">
        <f>MAX(paddy_Dry!AB61:AB65)</f>
        <v>0</v>
      </c>
      <c r="O16" s="448">
        <f>MAX(upland_dry!AB61:AB65)</f>
        <v>0</v>
      </c>
      <c r="P16" s="448">
        <f>MAX(upland_rain!AB61:AB65)</f>
        <v>67</v>
      </c>
      <c r="Q16" s="448">
        <f>MAX(plant!R50:R54)</f>
        <v>0</v>
      </c>
      <c r="R16" s="448">
        <f t="shared" si="2"/>
        <v>45798</v>
      </c>
      <c r="S16" s="448">
        <f>SUM(fishporn!E6)</f>
        <v>0</v>
      </c>
      <c r="T16" s="448">
        <f>SUM(' prawnporn'!E6)</f>
        <v>0</v>
      </c>
      <c r="U16" s="451"/>
    </row>
    <row r="17" spans="1:21" x14ac:dyDescent="0.3">
      <c r="A17" s="444">
        <f t="shared" si="0"/>
        <v>10</v>
      </c>
      <c r="B17" s="462" t="s">
        <v>807</v>
      </c>
      <c r="C17" s="463">
        <f>SUM(ROS!R288:R318)</f>
        <v>13.030628082448533</v>
      </c>
      <c r="D17" s="463">
        <f>SUM(ROS!K288:K318)</f>
        <v>6.0000000000000026E-2</v>
      </c>
      <c r="E17" s="463">
        <f>SUM(ROS!M288:M318)</f>
        <v>1.155</v>
      </c>
      <c r="F17" s="463">
        <f>SUM(ROS!N288:N318)</f>
        <v>1.3112999999999999</v>
      </c>
      <c r="G17" s="448">
        <f>SUM(ROS!L288:L318)</f>
        <v>0</v>
      </c>
      <c r="H17" s="446">
        <f t="shared" si="1"/>
        <v>15.556928082448533</v>
      </c>
      <c r="I17" s="447">
        <f>ROS!D288</f>
        <v>57.040567058529049</v>
      </c>
      <c r="J17" s="463">
        <f>SUM(ROS!H288:H318)</f>
        <v>1.0959607511511298</v>
      </c>
      <c r="K17" s="463">
        <f>SUM(ROS!I288:I318)</f>
        <v>9.5377797484397888</v>
      </c>
      <c r="L17" s="463">
        <f>SUM(ROS!P288:P318)</f>
        <v>10.175840172387092</v>
      </c>
      <c r="M17" s="448">
        <f>MAX(paddy_rain!AB66:AB69)</f>
        <v>45731</v>
      </c>
      <c r="N17" s="448">
        <f>MAX(paddy_Dry!AB66:AB69)</f>
        <v>0</v>
      </c>
      <c r="O17" s="448">
        <f>MAX(upland_dry!AB66:AB69)</f>
        <v>0</v>
      </c>
      <c r="P17" s="448">
        <f>MAX(upland_rain!AB66:AB70)</f>
        <v>67</v>
      </c>
      <c r="Q17" s="448">
        <f>MAX(plant!R55:R58)</f>
        <v>0</v>
      </c>
      <c r="R17" s="448">
        <f t="shared" si="2"/>
        <v>45798</v>
      </c>
      <c r="S17" s="448">
        <f>SUM(fishporn!E6)</f>
        <v>0</v>
      </c>
      <c r="T17" s="448">
        <f>SUM(' prawnporn'!E6)</f>
        <v>0</v>
      </c>
      <c r="U17" s="451"/>
    </row>
    <row r="18" spans="1:21" x14ac:dyDescent="0.3">
      <c r="A18" s="444">
        <f t="shared" si="0"/>
        <v>11</v>
      </c>
      <c r="B18" s="462" t="s">
        <v>808</v>
      </c>
      <c r="C18" s="463">
        <f>SUM(ROS!R319:R348)</f>
        <v>1.2668141595888922</v>
      </c>
      <c r="D18" s="463">
        <f>SUM(ROS!K319:K348)</f>
        <v>6.0000000000000039E-2</v>
      </c>
      <c r="E18" s="463">
        <f>SUM(ROS!M319:M348)</f>
        <v>1.1549999999999996</v>
      </c>
      <c r="F18" s="463">
        <f>SUM(ROS!N319:N348)</f>
        <v>1.2689999999999999</v>
      </c>
      <c r="G18" s="448">
        <f>SUM(ROS!L319:L348)</f>
        <v>0</v>
      </c>
      <c r="H18" s="446">
        <f t="shared" si="1"/>
        <v>3.7508141595888915</v>
      </c>
      <c r="I18" s="447">
        <f>ROS!D319</f>
        <v>49.925457973369312</v>
      </c>
      <c r="J18" s="463">
        <f>SUM(ROS!H319:H348)</f>
        <v>0.96496129719965595</v>
      </c>
      <c r="K18" s="463">
        <f>SUM(ROS!I319:I348)</f>
        <v>21.940215633465701</v>
      </c>
      <c r="L18" s="463">
        <f>SUM(ROS!P319:P348)</f>
        <v>16.028461058064511</v>
      </c>
      <c r="M18" s="448">
        <f>MAX(paddy_rain!AB70:AB73)</f>
        <v>45731</v>
      </c>
      <c r="N18" s="448">
        <f>MAX(paddy_Dry!AB70:AB73)</f>
        <v>0</v>
      </c>
      <c r="O18" s="448">
        <f>MAX(upland_dry!AB70:AB73)</f>
        <v>0</v>
      </c>
      <c r="P18" s="448">
        <f>MAX(upland_rain!AB70:AB73)</f>
        <v>67</v>
      </c>
      <c r="Q18" s="448">
        <f>MAX(plant!R59:R62)</f>
        <v>0</v>
      </c>
      <c r="R18" s="448">
        <f t="shared" si="2"/>
        <v>45798</v>
      </c>
      <c r="S18" s="448">
        <f>SUM(fishporn!E6)</f>
        <v>0</v>
      </c>
      <c r="T18" s="448">
        <f>SUM(' prawnporn'!E6)</f>
        <v>0</v>
      </c>
      <c r="U18" s="451"/>
    </row>
    <row r="19" spans="1:21" x14ac:dyDescent="0.3">
      <c r="A19" s="452">
        <f t="shared" si="0"/>
        <v>12</v>
      </c>
      <c r="B19" s="462" t="s">
        <v>809</v>
      </c>
      <c r="C19" s="463">
        <f>SUM(ROS!R349:R379)</f>
        <v>1.9788361252475384</v>
      </c>
      <c r="D19" s="463">
        <f>SUM(ROS!K349:K379)</f>
        <v>6.0000000000000026E-2</v>
      </c>
      <c r="E19" s="463">
        <f>SUM(ROS!M349:M379)</f>
        <v>1.155</v>
      </c>
      <c r="F19" s="463">
        <f>SUM(ROS!N349:N379)</f>
        <v>1.3112999999999999</v>
      </c>
      <c r="G19" s="464">
        <f>SUM(ROS!L349:L379)</f>
        <v>0</v>
      </c>
      <c r="H19" s="446">
        <f t="shared" si="1"/>
        <v>4.5051361252475388</v>
      </c>
      <c r="I19" s="447">
        <f>ROS!D349</f>
        <v>67.149898150046425</v>
      </c>
      <c r="J19" s="463">
        <f>SUM(ROS!H349:H379)</f>
        <v>1.0689380305633807</v>
      </c>
      <c r="K19" s="463">
        <f>SUM(ROS!I349:I379)</f>
        <v>34.420415557347816</v>
      </c>
      <c r="L19" s="463">
        <f>SUM(ROS!P349:P379)</f>
        <v>4.8135196438709658</v>
      </c>
      <c r="M19" s="464">
        <f>MAX(paddy_rain!AB74:AB78)</f>
        <v>45731</v>
      </c>
      <c r="N19" s="464">
        <f>MAX(paddy_Dry!AB74:AB78)</f>
        <v>0</v>
      </c>
      <c r="O19" s="464">
        <f>MAX(upland_dry!AB74:AB78)</f>
        <v>0</v>
      </c>
      <c r="P19" s="464">
        <f>MAX(upland_rain!AB74:AB78)</f>
        <v>67</v>
      </c>
      <c r="Q19" s="464">
        <f>MAX(plant!R63:R67)</f>
        <v>0</v>
      </c>
      <c r="R19" s="448">
        <f t="shared" si="2"/>
        <v>45798</v>
      </c>
      <c r="S19" s="464">
        <f>SUM(fishporn!E6)</f>
        <v>0</v>
      </c>
      <c r="T19" s="464">
        <f>SUM(' prawnporn'!E6)</f>
        <v>0</v>
      </c>
      <c r="U19" s="465"/>
    </row>
    <row r="20" spans="1:21" x14ac:dyDescent="0.3">
      <c r="B20" s="457" t="s">
        <v>415</v>
      </c>
      <c r="C20" s="458">
        <f t="shared" ref="C20:H20" si="3">SUM(C8:C19)</f>
        <v>35.045440547770959</v>
      </c>
      <c r="D20" s="458">
        <f t="shared" si="3"/>
        <v>1.1400000000000003</v>
      </c>
      <c r="E20" s="458">
        <f t="shared" si="3"/>
        <v>13.850000000000001</v>
      </c>
      <c r="F20" s="458">
        <f t="shared" si="3"/>
        <v>23.095799999999993</v>
      </c>
      <c r="G20" s="466">
        <f t="shared" si="3"/>
        <v>0</v>
      </c>
      <c r="H20" s="458">
        <f t="shared" si="3"/>
        <v>73.131240547770943</v>
      </c>
      <c r="I20" s="458"/>
      <c r="J20" s="458">
        <f>SUM(J8:J19)</f>
        <v>16.003530677806094</v>
      </c>
      <c r="K20" s="458">
        <f>SUM(K8:K19)</f>
        <v>99.047010777159954</v>
      </c>
      <c r="L20" s="458">
        <f>SUM(L8:L19)</f>
        <v>35.832582937524613</v>
      </c>
      <c r="M20" s="466">
        <f>MAX(M8:M19)</f>
        <v>45731</v>
      </c>
      <c r="N20" s="466">
        <f t="shared" ref="N20:T20" si="4">MAX(N8:N19)</f>
        <v>0</v>
      </c>
      <c r="O20" s="466">
        <f t="shared" si="4"/>
        <v>0</v>
      </c>
      <c r="P20" s="466">
        <f t="shared" si="4"/>
        <v>67</v>
      </c>
      <c r="Q20" s="466">
        <f t="shared" si="4"/>
        <v>0</v>
      </c>
      <c r="R20" s="466">
        <f t="shared" si="4"/>
        <v>45798</v>
      </c>
      <c r="S20" s="466">
        <f t="shared" si="4"/>
        <v>0</v>
      </c>
      <c r="T20" s="466">
        <f t="shared" si="4"/>
        <v>0</v>
      </c>
      <c r="U20" s="460"/>
    </row>
  </sheetData>
  <sheetProtection password="DD72" sheet="1" formatCells="0" formatColumns="0"/>
  <mergeCells count="29">
    <mergeCell ref="U5:U7"/>
    <mergeCell ref="P6:P7"/>
    <mergeCell ref="M5:R5"/>
    <mergeCell ref="S5:S7"/>
    <mergeCell ref="Q6:Q7"/>
    <mergeCell ref="R6:R7"/>
    <mergeCell ref="O6:O7"/>
    <mergeCell ref="J6:J7"/>
    <mergeCell ref="K6:K7"/>
    <mergeCell ref="L6:L7"/>
    <mergeCell ref="T5:T7"/>
    <mergeCell ref="D6:D7"/>
    <mergeCell ref="E6:E7"/>
    <mergeCell ref="M6:M7"/>
    <mergeCell ref="N6:N7"/>
    <mergeCell ref="A3:U3"/>
    <mergeCell ref="A1:J1"/>
    <mergeCell ref="A2:G2"/>
    <mergeCell ref="H2:J2"/>
    <mergeCell ref="L2:N2"/>
    <mergeCell ref="A5:A7"/>
    <mergeCell ref="B5:B7"/>
    <mergeCell ref="C5:H5"/>
    <mergeCell ref="C6:C7"/>
    <mergeCell ref="H6:H7"/>
    <mergeCell ref="I6:I7"/>
    <mergeCell ref="F6:F7"/>
    <mergeCell ref="G6:G7"/>
    <mergeCell ref="I5:L5"/>
  </mergeCells>
  <phoneticPr fontId="0" type="noConversion"/>
  <pageMargins left="0.55118110236220474" right="0.19685039370078741" top="0.47244094488188981" bottom="0.43307086614173229" header="0.31496062992125984" footer="0.31496062992125984"/>
  <pageSetup paperSize="9" scale="63" orientation="landscape"/>
  <headerFooter>
    <oddFooter>&amp;C&amp;"TH SarabunPSK,ตัวหนา"หน้า 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F0C31-0879-AC45-9A5E-28853F6C416B}">
  <sheetPr codeName="Sheet26">
    <tabColor rgb="FF00B0F0"/>
  </sheetPr>
  <dimension ref="A1:W26"/>
  <sheetViews>
    <sheetView zoomScale="90" zoomScaleNormal="90" zoomScaleSheetLayoutView="80" workbookViewId="0">
      <selection activeCell="I33" sqref="I33"/>
    </sheetView>
  </sheetViews>
  <sheetFormatPr baseColWidth="10" defaultColWidth="9.1640625" defaultRowHeight="17" x14ac:dyDescent="0.3"/>
  <cols>
    <col min="1" max="1" width="6.33203125" style="468" bestFit="1" customWidth="1"/>
    <col min="2" max="2" width="30.5" style="468" customWidth="1"/>
    <col min="3" max="3" width="11.5" style="468" bestFit="1" customWidth="1"/>
    <col min="4" max="5" width="13.5" style="468" customWidth="1"/>
    <col min="6" max="21" width="9.6640625" style="468" customWidth="1"/>
    <col min="22" max="22" width="10.83203125" style="468" customWidth="1"/>
    <col min="23" max="16384" width="9.1640625" style="468"/>
  </cols>
  <sheetData>
    <row r="1" spans="1:23" x14ac:dyDescent="0.3">
      <c r="A1" s="755" t="s">
        <v>811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433">
        <f>fill_data!E2</f>
        <v>2566</v>
      </c>
      <c r="N1" s="433" t="str">
        <f>"/ "&amp;fill_data!$E$2+1</f>
        <v>/ 2567</v>
      </c>
      <c r="O1" s="467"/>
      <c r="P1" s="467"/>
      <c r="Q1" s="467"/>
      <c r="R1" s="467"/>
      <c r="S1" s="467"/>
      <c r="T1" s="467"/>
      <c r="U1" s="467"/>
      <c r="V1" s="467"/>
    </row>
    <row r="2" spans="1:23" s="436" customFormat="1" x14ac:dyDescent="0.3">
      <c r="A2" s="726" t="s">
        <v>721</v>
      </c>
      <c r="B2" s="726"/>
      <c r="C2" s="726"/>
      <c r="D2" s="726"/>
      <c r="E2" s="726"/>
      <c r="F2" s="726"/>
      <c r="G2" s="726"/>
      <c r="H2" s="727" t="str">
        <f>fill_data!D1</f>
        <v>มูลบน</v>
      </c>
      <c r="I2" s="727"/>
      <c r="J2" s="727"/>
      <c r="K2" s="435" t="s">
        <v>108</v>
      </c>
      <c r="L2" s="735" t="str">
        <f>fill_data!C4</f>
        <v>นครราชสีมา</v>
      </c>
      <c r="M2" s="735"/>
      <c r="N2" s="735"/>
    </row>
    <row r="3" spans="1:23" s="436" customFormat="1" x14ac:dyDescent="0.3">
      <c r="A3" s="730" t="s">
        <v>696</v>
      </c>
      <c r="B3" s="730"/>
      <c r="C3" s="730"/>
      <c r="D3" s="730"/>
      <c r="E3" s="730"/>
      <c r="F3" s="730"/>
      <c r="G3" s="730"/>
      <c r="H3" s="730"/>
      <c r="I3" s="730"/>
      <c r="J3" s="730"/>
      <c r="K3" s="730"/>
      <c r="L3" s="730"/>
      <c r="M3" s="730"/>
      <c r="N3" s="730"/>
      <c r="O3" s="730"/>
      <c r="P3" s="730"/>
      <c r="Q3" s="730"/>
      <c r="R3" s="730"/>
      <c r="S3" s="730"/>
      <c r="T3" s="730"/>
    </row>
    <row r="4" spans="1:23" ht="15" customHeight="1" x14ac:dyDescent="0.3">
      <c r="B4" s="469"/>
      <c r="C4" s="469"/>
      <c r="D4" s="469"/>
      <c r="E4" s="469"/>
      <c r="F4" s="470"/>
      <c r="G4" s="470"/>
      <c r="H4" s="470"/>
      <c r="I4" s="470"/>
      <c r="J4" s="470"/>
      <c r="K4" s="470"/>
      <c r="L4" s="469"/>
      <c r="M4" s="469"/>
      <c r="N4" s="469"/>
      <c r="O4" s="469"/>
      <c r="P4" s="469"/>
      <c r="Q4" s="469"/>
      <c r="R4" s="469"/>
      <c r="S4" s="469"/>
      <c r="T4" s="469"/>
    </row>
    <row r="5" spans="1:23" s="471" customFormat="1" ht="27" customHeight="1" x14ac:dyDescent="0.3">
      <c r="A5" s="752" t="s">
        <v>734</v>
      </c>
      <c r="B5" s="749" t="s">
        <v>416</v>
      </c>
      <c r="C5" s="749" t="s">
        <v>108</v>
      </c>
      <c r="D5" s="749" t="s">
        <v>404</v>
      </c>
      <c r="E5" s="752" t="s">
        <v>735</v>
      </c>
      <c r="F5" s="759" t="s">
        <v>876</v>
      </c>
      <c r="G5" s="759"/>
      <c r="H5" s="759"/>
      <c r="I5" s="759"/>
      <c r="J5" s="759"/>
      <c r="K5" s="759"/>
      <c r="L5" s="758" t="s">
        <v>688</v>
      </c>
      <c r="M5" s="758"/>
      <c r="N5" s="758"/>
      <c r="O5" s="758"/>
      <c r="P5" s="758"/>
      <c r="Q5" s="758"/>
      <c r="R5" s="758"/>
      <c r="S5" s="758"/>
      <c r="T5" s="758"/>
      <c r="U5" s="758"/>
      <c r="V5" s="746" t="s">
        <v>736</v>
      </c>
      <c r="W5" s="746"/>
    </row>
    <row r="6" spans="1:23" s="471" customFormat="1" x14ac:dyDescent="0.3">
      <c r="A6" s="750"/>
      <c r="B6" s="750"/>
      <c r="C6" s="750"/>
      <c r="D6" s="750"/>
      <c r="E6" s="750"/>
      <c r="F6" s="750" t="s">
        <v>690</v>
      </c>
      <c r="G6" s="472" t="s">
        <v>691</v>
      </c>
      <c r="H6" s="756" t="s">
        <v>420</v>
      </c>
      <c r="I6" s="473" t="s">
        <v>741</v>
      </c>
      <c r="J6" s="750" t="s">
        <v>598</v>
      </c>
      <c r="K6" s="750" t="s">
        <v>415</v>
      </c>
      <c r="L6" s="760" t="s">
        <v>561</v>
      </c>
      <c r="M6" s="749" t="s">
        <v>388</v>
      </c>
      <c r="N6" s="749" t="s">
        <v>411</v>
      </c>
      <c r="O6" s="749" t="s">
        <v>177</v>
      </c>
      <c r="P6" s="749" t="s">
        <v>391</v>
      </c>
      <c r="Q6" s="749" t="s">
        <v>692</v>
      </c>
      <c r="R6" s="749" t="s">
        <v>412</v>
      </c>
      <c r="S6" s="749" t="s">
        <v>413</v>
      </c>
      <c r="T6" s="747" t="s">
        <v>598</v>
      </c>
      <c r="U6" s="747" t="s">
        <v>415</v>
      </c>
      <c r="V6" s="753" t="s">
        <v>693</v>
      </c>
      <c r="W6" s="744" t="s">
        <v>165</v>
      </c>
    </row>
    <row r="7" spans="1:23" s="471" customFormat="1" x14ac:dyDescent="0.3">
      <c r="A7" s="751"/>
      <c r="B7" s="751"/>
      <c r="C7" s="751"/>
      <c r="D7" s="751"/>
      <c r="E7" s="751"/>
      <c r="F7" s="751"/>
      <c r="G7" s="474" t="s">
        <v>596</v>
      </c>
      <c r="H7" s="757"/>
      <c r="I7" s="475" t="s">
        <v>695</v>
      </c>
      <c r="J7" s="751"/>
      <c r="K7" s="751"/>
      <c r="L7" s="757"/>
      <c r="M7" s="751"/>
      <c r="N7" s="751"/>
      <c r="O7" s="751"/>
      <c r="P7" s="751"/>
      <c r="Q7" s="751"/>
      <c r="R7" s="751"/>
      <c r="S7" s="751"/>
      <c r="T7" s="748"/>
      <c r="U7" s="748"/>
      <c r="V7" s="754"/>
      <c r="W7" s="745"/>
    </row>
    <row r="8" spans="1:23" s="471" customFormat="1" x14ac:dyDescent="0.3">
      <c r="A8" s="476">
        <v>1</v>
      </c>
      <c r="B8" s="477" t="str">
        <f>" อ่างเก็บน้ำ"&amp;H2</f>
        <v xml:space="preserve"> อ่างเก็บน้ำมูลบน</v>
      </c>
      <c r="C8" s="476" t="str">
        <f>fill_data!C4</f>
        <v>นครราชสีมา</v>
      </c>
      <c r="D8" s="476" t="str">
        <f>fill_data!C3</f>
        <v>ครบุรี</v>
      </c>
      <c r="E8" s="478">
        <f>fill_data!R15</f>
        <v>45798</v>
      </c>
      <c r="F8" s="479">
        <f>SUM(ROS!R45:R226)</f>
        <v>0.10101448981314309</v>
      </c>
      <c r="G8" s="479">
        <f>SUM(ROS!K45:K226)</f>
        <v>0.70999999999999919</v>
      </c>
      <c r="H8" s="479">
        <f>SUM(ROS!M45:M226)</f>
        <v>7.1299999999999866</v>
      </c>
      <c r="I8" s="479">
        <f>SUM(ROS!N45:N226)</f>
        <v>14.085899999999995</v>
      </c>
      <c r="J8" s="479">
        <f>SUM(ROS!L45:L226)</f>
        <v>0</v>
      </c>
      <c r="K8" s="479">
        <f>SUM(F8:J8)</f>
        <v>22.026914489813123</v>
      </c>
      <c r="L8" s="480">
        <f>fill_data!K12</f>
        <v>0</v>
      </c>
      <c r="M8" s="480">
        <f>fill_data!K34</f>
        <v>0</v>
      </c>
      <c r="N8" s="481"/>
      <c r="O8" s="481"/>
      <c r="P8" s="480">
        <f>fill_data!D54</f>
        <v>0</v>
      </c>
      <c r="Q8" s="481"/>
      <c r="R8" s="480">
        <f>fill_data!K53</f>
        <v>0</v>
      </c>
      <c r="S8" s="448">
        <f>fill_data!K54</f>
        <v>0</v>
      </c>
      <c r="T8" s="481"/>
      <c r="U8" s="480">
        <f>SUM(L8:T8)</f>
        <v>0</v>
      </c>
      <c r="V8" s="482">
        <f>299+fill_data!K11*7</f>
        <v>397</v>
      </c>
      <c r="W8" s="482">
        <f>299+(fill_data!K11+fill_data!K13+13-2)*7+6</f>
        <v>501</v>
      </c>
    </row>
    <row r="9" spans="1:23" s="471" customFormat="1" x14ac:dyDescent="0.3">
      <c r="A9" s="483"/>
      <c r="B9" s="483"/>
      <c r="C9" s="483"/>
      <c r="D9" s="483"/>
      <c r="E9" s="483"/>
      <c r="F9" s="483"/>
      <c r="G9" s="483"/>
      <c r="H9" s="483"/>
      <c r="I9" s="483"/>
      <c r="J9" s="483"/>
      <c r="K9" s="483"/>
      <c r="L9" s="483"/>
      <c r="M9" s="483"/>
      <c r="N9" s="483"/>
      <c r="O9" s="483"/>
      <c r="P9" s="483"/>
      <c r="Q9" s="483"/>
      <c r="R9" s="483"/>
      <c r="S9" s="483"/>
      <c r="T9" s="483"/>
      <c r="U9" s="483"/>
      <c r="V9" s="484"/>
      <c r="W9" s="484"/>
    </row>
    <row r="10" spans="1:23" s="471" customFormat="1" x14ac:dyDescent="0.3">
      <c r="A10" s="483"/>
      <c r="B10" s="483"/>
      <c r="C10" s="483"/>
      <c r="D10" s="483"/>
      <c r="E10" s="483"/>
      <c r="F10" s="483"/>
      <c r="G10" s="485"/>
      <c r="H10" s="483"/>
      <c r="I10" s="483"/>
      <c r="J10" s="483"/>
      <c r="K10" s="483"/>
      <c r="L10" s="483"/>
      <c r="M10" s="483"/>
      <c r="N10" s="483"/>
      <c r="O10" s="483"/>
      <c r="P10" s="483"/>
      <c r="Q10" s="483"/>
      <c r="R10" s="483"/>
      <c r="S10" s="483"/>
      <c r="T10" s="483"/>
      <c r="U10" s="483"/>
      <c r="V10" s="483"/>
      <c r="W10" s="483"/>
    </row>
    <row r="11" spans="1:23" s="471" customFormat="1" x14ac:dyDescent="0.3">
      <c r="A11" s="483"/>
      <c r="B11" s="483"/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83"/>
      <c r="R11" s="483"/>
      <c r="S11" s="483"/>
      <c r="T11" s="483"/>
      <c r="U11" s="483"/>
      <c r="V11" s="483"/>
      <c r="W11" s="483"/>
    </row>
    <row r="12" spans="1:23" s="471" customFormat="1" x14ac:dyDescent="0.3">
      <c r="A12" s="483"/>
      <c r="B12" s="483"/>
      <c r="C12" s="483"/>
      <c r="D12" s="483"/>
      <c r="E12" s="483"/>
      <c r="F12" s="483"/>
      <c r="G12" s="483"/>
      <c r="H12" s="483"/>
      <c r="I12" s="483"/>
      <c r="J12" s="483"/>
      <c r="K12" s="483"/>
      <c r="L12" s="483"/>
      <c r="M12" s="483"/>
      <c r="N12" s="483"/>
      <c r="O12" s="483"/>
      <c r="P12" s="483"/>
      <c r="Q12" s="483"/>
      <c r="R12" s="483"/>
      <c r="S12" s="483"/>
      <c r="T12" s="483"/>
      <c r="U12" s="483"/>
      <c r="V12" s="483"/>
      <c r="W12" s="483"/>
    </row>
    <row r="13" spans="1:23" s="471" customFormat="1" x14ac:dyDescent="0.3">
      <c r="A13" s="483"/>
      <c r="B13" s="483"/>
      <c r="C13" s="483"/>
      <c r="D13" s="483"/>
      <c r="E13" s="483"/>
      <c r="F13" s="483"/>
      <c r="G13" s="483"/>
      <c r="H13" s="483"/>
      <c r="I13" s="483"/>
      <c r="J13" s="483"/>
      <c r="K13" s="483"/>
      <c r="L13" s="483"/>
      <c r="M13" s="483"/>
      <c r="N13" s="483"/>
      <c r="O13" s="483"/>
      <c r="P13" s="483"/>
      <c r="Q13" s="483"/>
      <c r="R13" s="483"/>
      <c r="S13" s="483"/>
      <c r="T13" s="483"/>
      <c r="U13" s="483"/>
      <c r="V13" s="483"/>
      <c r="W13" s="483"/>
    </row>
    <row r="14" spans="1:23" s="471" customFormat="1" x14ac:dyDescent="0.3">
      <c r="A14" s="483"/>
      <c r="B14" s="483"/>
      <c r="C14" s="483"/>
      <c r="D14" s="483"/>
      <c r="E14" s="483"/>
      <c r="F14" s="483"/>
      <c r="G14" s="483"/>
      <c r="H14" s="483"/>
      <c r="I14" s="483"/>
      <c r="J14" s="483"/>
      <c r="K14" s="483"/>
      <c r="L14" s="483"/>
      <c r="M14" s="483"/>
      <c r="N14" s="483"/>
      <c r="O14" s="483"/>
      <c r="P14" s="483"/>
      <c r="Q14" s="483"/>
      <c r="R14" s="483"/>
      <c r="S14" s="483"/>
      <c r="T14" s="483"/>
      <c r="U14" s="483"/>
      <c r="V14" s="483"/>
      <c r="W14" s="483"/>
    </row>
    <row r="15" spans="1:23" s="471" customFormat="1" x14ac:dyDescent="0.3">
      <c r="A15" s="483"/>
      <c r="B15" s="483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3"/>
      <c r="P15" s="483"/>
      <c r="Q15" s="483"/>
      <c r="R15" s="483"/>
      <c r="S15" s="483"/>
      <c r="T15" s="483"/>
      <c r="U15" s="483"/>
      <c r="V15" s="483"/>
      <c r="W15" s="483"/>
    </row>
    <row r="16" spans="1:23" s="471" customFormat="1" x14ac:dyDescent="0.3">
      <c r="A16" s="483"/>
      <c r="B16" s="483"/>
      <c r="C16" s="483"/>
      <c r="D16" s="483"/>
      <c r="E16" s="483"/>
      <c r="F16" s="483"/>
      <c r="G16" s="483"/>
      <c r="H16" s="483"/>
      <c r="I16" s="483"/>
      <c r="J16" s="483"/>
      <c r="K16" s="483"/>
      <c r="L16" s="483"/>
      <c r="M16" s="483"/>
      <c r="N16" s="483"/>
      <c r="O16" s="483"/>
      <c r="P16" s="483"/>
      <c r="Q16" s="483"/>
      <c r="R16" s="483"/>
      <c r="S16" s="483"/>
      <c r="T16" s="483"/>
      <c r="U16" s="483"/>
      <c r="V16" s="483"/>
      <c r="W16" s="483"/>
    </row>
    <row r="17" spans="1:23" s="471" customFormat="1" x14ac:dyDescent="0.3">
      <c r="A17" s="483"/>
      <c r="B17" s="483"/>
      <c r="C17" s="483"/>
      <c r="D17" s="483"/>
      <c r="E17" s="483"/>
      <c r="F17" s="483"/>
      <c r="G17" s="483"/>
      <c r="H17" s="483"/>
      <c r="I17" s="483"/>
      <c r="J17" s="483"/>
      <c r="K17" s="483"/>
      <c r="L17" s="483"/>
      <c r="M17" s="483"/>
      <c r="N17" s="483"/>
      <c r="O17" s="483"/>
      <c r="P17" s="483"/>
      <c r="Q17" s="483"/>
      <c r="R17" s="483"/>
      <c r="S17" s="483"/>
      <c r="T17" s="483"/>
      <c r="U17" s="483"/>
      <c r="V17" s="483"/>
      <c r="W17" s="483"/>
    </row>
    <row r="18" spans="1:23" s="471" customFormat="1" x14ac:dyDescent="0.3">
      <c r="A18" s="483"/>
      <c r="B18" s="483"/>
      <c r="C18" s="483"/>
      <c r="D18" s="483"/>
      <c r="E18" s="483"/>
      <c r="F18" s="483"/>
      <c r="G18" s="483"/>
      <c r="H18" s="483"/>
      <c r="I18" s="483"/>
      <c r="J18" s="483"/>
      <c r="K18" s="483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</row>
    <row r="19" spans="1:23" s="471" customFormat="1" x14ac:dyDescent="0.3">
      <c r="A19" s="483"/>
      <c r="B19" s="483"/>
      <c r="C19" s="483"/>
      <c r="D19" s="483"/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</row>
    <row r="20" spans="1:23" s="471" customFormat="1" x14ac:dyDescent="0.3">
      <c r="A20" s="483"/>
      <c r="B20" s="483"/>
      <c r="C20" s="483"/>
      <c r="D20" s="483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</row>
    <row r="21" spans="1:23" s="471" customFormat="1" x14ac:dyDescent="0.3">
      <c r="A21" s="483"/>
      <c r="B21" s="483"/>
      <c r="C21" s="483"/>
      <c r="D21" s="483"/>
      <c r="E21" s="483"/>
      <c r="F21" s="483"/>
      <c r="G21" s="483"/>
      <c r="H21" s="483"/>
      <c r="I21" s="483"/>
      <c r="J21" s="483"/>
      <c r="K21" s="483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</row>
    <row r="22" spans="1:23" s="471" customFormat="1" x14ac:dyDescent="0.3">
      <c r="A22" s="483"/>
      <c r="B22" s="483"/>
      <c r="C22" s="483"/>
      <c r="D22" s="483"/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</row>
    <row r="23" spans="1:23" s="471" customFormat="1" x14ac:dyDescent="0.3">
      <c r="A23" s="483"/>
      <c r="B23" s="483"/>
      <c r="C23" s="483"/>
      <c r="D23" s="483"/>
      <c r="E23" s="483"/>
      <c r="F23" s="483"/>
      <c r="G23" s="483"/>
      <c r="H23" s="483"/>
      <c r="I23" s="483"/>
      <c r="J23" s="483"/>
      <c r="K23" s="483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</row>
    <row r="24" spans="1:23" s="471" customFormat="1" x14ac:dyDescent="0.3">
      <c r="A24" s="483"/>
      <c r="B24" s="483"/>
      <c r="C24" s="483"/>
      <c r="D24" s="483"/>
      <c r="E24" s="483"/>
      <c r="F24" s="483"/>
      <c r="G24" s="483"/>
      <c r="H24" s="483"/>
      <c r="I24" s="483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</row>
    <row r="25" spans="1:23" s="471" customFormat="1" x14ac:dyDescent="0.3">
      <c r="A25" s="483"/>
      <c r="B25" s="483"/>
      <c r="C25" s="483"/>
      <c r="D25" s="483"/>
      <c r="E25" s="483"/>
      <c r="F25" s="483"/>
      <c r="G25" s="483"/>
      <c r="H25" s="483"/>
      <c r="I25" s="483"/>
      <c r="J25" s="483"/>
      <c r="K25" s="483"/>
      <c r="L25" s="483"/>
      <c r="M25" s="483"/>
      <c r="N25" s="483"/>
      <c r="O25" s="483"/>
      <c r="P25" s="483"/>
      <c r="Q25" s="483"/>
      <c r="R25" s="483"/>
      <c r="S25" s="483"/>
      <c r="T25" s="483"/>
      <c r="U25" s="483"/>
      <c r="V25" s="483"/>
      <c r="W25" s="483"/>
    </row>
    <row r="26" spans="1:23" s="471" customFormat="1" x14ac:dyDescent="0.3">
      <c r="A26" s="486"/>
      <c r="B26" s="486"/>
      <c r="C26" s="486"/>
      <c r="D26" s="486"/>
      <c r="E26" s="486"/>
      <c r="F26" s="486"/>
      <c r="G26" s="486"/>
      <c r="H26" s="486"/>
      <c r="I26" s="486"/>
      <c r="J26" s="48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</row>
  </sheetData>
  <sheetProtection password="DD72" sheet="1" formatCells="0" formatColumns="0"/>
  <mergeCells count="29">
    <mergeCell ref="A5:A7"/>
    <mergeCell ref="B5:B7"/>
    <mergeCell ref="C5:C7"/>
    <mergeCell ref="O6:O7"/>
    <mergeCell ref="H6:H7"/>
    <mergeCell ref="L5:U5"/>
    <mergeCell ref="K6:K7"/>
    <mergeCell ref="T6:T7"/>
    <mergeCell ref="J6:J7"/>
    <mergeCell ref="P6:P7"/>
    <mergeCell ref="F5:K5"/>
    <mergeCell ref="L6:L7"/>
    <mergeCell ref="M6:M7"/>
    <mergeCell ref="N6:N7"/>
    <mergeCell ref="A1:L1"/>
    <mergeCell ref="A2:G2"/>
    <mergeCell ref="H2:J2"/>
    <mergeCell ref="L2:N2"/>
    <mergeCell ref="A3:T3"/>
    <mergeCell ref="W6:W7"/>
    <mergeCell ref="V5:W5"/>
    <mergeCell ref="U6:U7"/>
    <mergeCell ref="D5:D7"/>
    <mergeCell ref="E5:E7"/>
    <mergeCell ref="S6:S7"/>
    <mergeCell ref="F6:F7"/>
    <mergeCell ref="R6:R7"/>
    <mergeCell ref="Q6:Q7"/>
    <mergeCell ref="V6:V7"/>
  </mergeCells>
  <phoneticPr fontId="0" type="noConversion"/>
  <printOptions horizontalCentered="1"/>
  <pageMargins left="0.59055118110236227" right="0.19685039370078741" top="0.82677165354330717" bottom="0.19685039370078741" header="0.15748031496062992" footer="0.15748031496062992"/>
  <pageSetup paperSize="9" scale="55" fitToWidth="0" orientation="landscape"/>
  <headerFooter alignWithMargins="0">
    <oddFooter>&amp;C&amp;"TH SarabunPSK,ตัวหนา"&amp;11หน้า 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2FD0-13AC-0142-BE34-9639570F9F48}">
  <sheetPr codeName="Sheet27">
    <tabColor rgb="FF00B0F0"/>
  </sheetPr>
  <dimension ref="A1:W26"/>
  <sheetViews>
    <sheetView zoomScaleNormal="100" zoomScaleSheetLayoutView="90" workbookViewId="0">
      <pane xSplit="1" ySplit="7" topLeftCell="B8" activePane="bottomRight" state="frozen"/>
      <selection activeCell="E6" sqref="E6:E7"/>
      <selection pane="topRight" activeCell="E6" sqref="E6:E7"/>
      <selection pane="bottomLeft" activeCell="E6" sqref="E6:E7"/>
      <selection pane="bottomRight" activeCell="U8" sqref="U8"/>
    </sheetView>
  </sheetViews>
  <sheetFormatPr baseColWidth="10" defaultColWidth="9.1640625" defaultRowHeight="17" x14ac:dyDescent="0.3"/>
  <cols>
    <col min="1" max="1" width="6" style="487" bestFit="1" customWidth="1"/>
    <col min="2" max="2" width="25.6640625" style="487" customWidth="1"/>
    <col min="3" max="3" width="12.1640625" style="487" customWidth="1"/>
    <col min="4" max="4" width="12.5" style="487" bestFit="1" customWidth="1"/>
    <col min="5" max="20" width="9.6640625" style="487" customWidth="1"/>
    <col min="21" max="21" width="11" style="487" customWidth="1"/>
    <col min="22" max="16384" width="9.1640625" style="487"/>
  </cols>
  <sheetData>
    <row r="1" spans="1:23" s="471" customFormat="1" x14ac:dyDescent="0.3">
      <c r="A1" s="755" t="s">
        <v>810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433">
        <f>fill_data!E2</f>
        <v>2566</v>
      </c>
      <c r="N1" s="433" t="str">
        <f>"/ "&amp;fill_data!$E$2+1</f>
        <v>/ 2567</v>
      </c>
      <c r="O1" s="467"/>
      <c r="P1" s="467"/>
      <c r="Q1" s="467"/>
      <c r="R1" s="467"/>
      <c r="S1" s="467"/>
      <c r="T1" s="467"/>
      <c r="U1" s="467"/>
      <c r="V1" s="467"/>
      <c r="W1" s="467"/>
    </row>
    <row r="2" spans="1:23" s="436" customFormat="1" x14ac:dyDescent="0.3">
      <c r="A2" s="726" t="s">
        <v>721</v>
      </c>
      <c r="B2" s="726"/>
      <c r="C2" s="726"/>
      <c r="D2" s="726"/>
      <c r="E2" s="726"/>
      <c r="F2" s="726"/>
      <c r="G2" s="726"/>
      <c r="H2" s="727" t="str">
        <f>fill_data!D1</f>
        <v>มูลบน</v>
      </c>
      <c r="I2" s="727"/>
      <c r="J2" s="727"/>
      <c r="K2" s="726" t="s">
        <v>108</v>
      </c>
      <c r="L2" s="726"/>
      <c r="M2" s="735" t="str">
        <f>fill_data!C4</f>
        <v>นครราชสีมา</v>
      </c>
      <c r="N2" s="735"/>
      <c r="O2" s="735"/>
    </row>
    <row r="3" spans="1:23" s="436" customFormat="1" x14ac:dyDescent="0.3">
      <c r="A3" s="730" t="s">
        <v>696</v>
      </c>
      <c r="B3" s="730"/>
      <c r="C3" s="730"/>
      <c r="D3" s="730"/>
      <c r="E3" s="730"/>
      <c r="F3" s="730"/>
      <c r="G3" s="730"/>
      <c r="H3" s="730"/>
      <c r="I3" s="730"/>
      <c r="J3" s="730"/>
      <c r="K3" s="730"/>
      <c r="L3" s="730"/>
      <c r="M3" s="730"/>
      <c r="N3" s="730"/>
      <c r="O3" s="730"/>
      <c r="P3" s="730"/>
      <c r="Q3" s="730"/>
      <c r="R3" s="730"/>
      <c r="S3" s="730"/>
      <c r="T3" s="730"/>
      <c r="U3" s="730"/>
    </row>
    <row r="4" spans="1:23" s="471" customFormat="1" ht="15" customHeight="1" x14ac:dyDescent="0.3">
      <c r="B4" s="469"/>
      <c r="C4" s="469"/>
      <c r="D4" s="469"/>
      <c r="E4" s="469"/>
      <c r="F4" s="470"/>
      <c r="G4" s="470"/>
      <c r="H4" s="470"/>
      <c r="I4" s="470"/>
      <c r="J4" s="470"/>
      <c r="K4" s="469"/>
      <c r="L4" s="469"/>
      <c r="M4" s="469"/>
      <c r="N4" s="469"/>
      <c r="O4" s="469"/>
      <c r="P4" s="469"/>
      <c r="Q4" s="469"/>
      <c r="R4" s="469"/>
      <c r="S4" s="469"/>
      <c r="T4" s="469"/>
      <c r="U4" s="469"/>
    </row>
    <row r="5" spans="1:23" ht="19" x14ac:dyDescent="0.3">
      <c r="A5" s="752" t="s">
        <v>734</v>
      </c>
      <c r="B5" s="761" t="s">
        <v>584</v>
      </c>
      <c r="C5" s="761" t="s">
        <v>108</v>
      </c>
      <c r="D5" s="752" t="s">
        <v>735</v>
      </c>
      <c r="E5" s="764" t="s">
        <v>876</v>
      </c>
      <c r="F5" s="765"/>
      <c r="G5" s="765"/>
      <c r="H5" s="765"/>
      <c r="I5" s="765"/>
      <c r="J5" s="766"/>
      <c r="K5" s="772" t="s">
        <v>738</v>
      </c>
      <c r="L5" s="772"/>
      <c r="M5" s="772"/>
      <c r="N5" s="772"/>
      <c r="O5" s="772"/>
      <c r="P5" s="772"/>
      <c r="Q5" s="772"/>
      <c r="R5" s="772"/>
      <c r="S5" s="772"/>
      <c r="T5" s="772"/>
      <c r="U5" s="771" t="s">
        <v>739</v>
      </c>
      <c r="V5" s="771"/>
    </row>
    <row r="6" spans="1:23" x14ac:dyDescent="0.3">
      <c r="A6" s="750"/>
      <c r="B6" s="763"/>
      <c r="C6" s="763"/>
      <c r="D6" s="750"/>
      <c r="E6" s="763" t="s">
        <v>690</v>
      </c>
      <c r="F6" s="488" t="s">
        <v>691</v>
      </c>
      <c r="G6" s="489" t="s">
        <v>740</v>
      </c>
      <c r="H6" s="489" t="s">
        <v>741</v>
      </c>
      <c r="I6" s="763" t="s">
        <v>598</v>
      </c>
      <c r="J6" s="763" t="s">
        <v>415</v>
      </c>
      <c r="K6" s="767" t="s">
        <v>742</v>
      </c>
      <c r="L6" s="761" t="s">
        <v>388</v>
      </c>
      <c r="M6" s="761" t="s">
        <v>411</v>
      </c>
      <c r="N6" s="761" t="s">
        <v>177</v>
      </c>
      <c r="O6" s="761" t="s">
        <v>391</v>
      </c>
      <c r="P6" s="761" t="s">
        <v>692</v>
      </c>
      <c r="Q6" s="761" t="s">
        <v>412</v>
      </c>
      <c r="R6" s="761" t="s">
        <v>413</v>
      </c>
      <c r="S6" s="769" t="s">
        <v>598</v>
      </c>
      <c r="T6" s="769" t="s">
        <v>415</v>
      </c>
      <c r="U6" s="773" t="s">
        <v>693</v>
      </c>
      <c r="V6" s="775" t="s">
        <v>165</v>
      </c>
    </row>
    <row r="7" spans="1:23" x14ac:dyDescent="0.3">
      <c r="A7" s="751"/>
      <c r="B7" s="762"/>
      <c r="C7" s="762"/>
      <c r="D7" s="751"/>
      <c r="E7" s="762"/>
      <c r="F7" s="490" t="s">
        <v>596</v>
      </c>
      <c r="G7" s="490" t="s">
        <v>743</v>
      </c>
      <c r="H7" s="490" t="s">
        <v>695</v>
      </c>
      <c r="I7" s="762"/>
      <c r="J7" s="762"/>
      <c r="K7" s="768"/>
      <c r="L7" s="762"/>
      <c r="M7" s="762"/>
      <c r="N7" s="762"/>
      <c r="O7" s="762"/>
      <c r="P7" s="762"/>
      <c r="Q7" s="762"/>
      <c r="R7" s="762"/>
      <c r="S7" s="770"/>
      <c r="T7" s="770"/>
      <c r="U7" s="774"/>
      <c r="V7" s="776"/>
    </row>
    <row r="8" spans="1:23" s="494" customFormat="1" x14ac:dyDescent="0.3">
      <c r="A8" s="491">
        <v>1</v>
      </c>
      <c r="B8" s="477" t="str">
        <f>" อ่างเก็บน้ำ"&amp;H2</f>
        <v xml:space="preserve"> อ่างเก็บน้ำมูลบน</v>
      </c>
      <c r="C8" s="491" t="str">
        <f>fill_data!C4</f>
        <v>นครราชสีมา</v>
      </c>
      <c r="D8" s="478">
        <f>fill_data!R15</f>
        <v>45798</v>
      </c>
      <c r="E8" s="492">
        <f>SUM(ROS!R227:R379)</f>
        <v>34.907856725736224</v>
      </c>
      <c r="F8" s="492">
        <f>SUM(ROS!K227:K379)+SUM(ROS!K15:K44)</f>
        <v>0.42999999999999983</v>
      </c>
      <c r="G8" s="492">
        <f>SUM(ROS!M227:M379)+SUM(ROS!M15:M44)</f>
        <v>6.7199999999999926</v>
      </c>
      <c r="H8" s="492">
        <f>SUM(ROS!N227:N379)+SUM(ROS!N15:N44)</f>
        <v>9.0099</v>
      </c>
      <c r="I8" s="440">
        <f>SUM(ROS!L227:L379)+SUM(ROS!L15:L44)</f>
        <v>0</v>
      </c>
      <c r="J8" s="492">
        <f>SUM(E8:I8)</f>
        <v>51.067756725736217</v>
      </c>
      <c r="K8" s="493">
        <f>fill_data!D12</f>
        <v>45731</v>
      </c>
      <c r="L8" s="493">
        <f>fill_data!D34</f>
        <v>67</v>
      </c>
      <c r="M8" s="481"/>
      <c r="N8" s="481"/>
      <c r="O8" s="480">
        <f>fill_data!D54</f>
        <v>0</v>
      </c>
      <c r="P8" s="481"/>
      <c r="Q8" s="480">
        <f>fill_data!K53</f>
        <v>0</v>
      </c>
      <c r="R8" s="448">
        <f>fill_data!K54</f>
        <v>0</v>
      </c>
      <c r="S8" s="481"/>
      <c r="T8" s="493">
        <f>SUM(K8:S8)</f>
        <v>45798</v>
      </c>
      <c r="U8" s="482">
        <f>299+fill_data!D11*7</f>
        <v>551</v>
      </c>
      <c r="V8" s="482">
        <f>299+(fill_data!D11+fill_data!D13+13-2)*7+6</f>
        <v>662</v>
      </c>
    </row>
    <row r="9" spans="1:23" x14ac:dyDescent="0.3">
      <c r="A9" s="495"/>
      <c r="B9" s="495"/>
      <c r="C9" s="495"/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6"/>
      <c r="V9" s="496"/>
    </row>
    <row r="10" spans="1:23" x14ac:dyDescent="0.3">
      <c r="A10" s="495"/>
      <c r="B10" s="495"/>
      <c r="C10" s="495"/>
      <c r="D10" s="495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495"/>
      <c r="P10" s="495"/>
      <c r="Q10" s="495"/>
      <c r="R10" s="495"/>
      <c r="S10" s="495"/>
      <c r="T10" s="495"/>
      <c r="U10" s="495"/>
      <c r="V10" s="495"/>
    </row>
    <row r="11" spans="1:23" x14ac:dyDescent="0.3">
      <c r="A11" s="495"/>
      <c r="B11" s="495"/>
      <c r="C11" s="495"/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</row>
    <row r="12" spans="1:23" x14ac:dyDescent="0.3">
      <c r="A12" s="495"/>
      <c r="B12" s="495"/>
      <c r="C12" s="495"/>
      <c r="D12" s="495"/>
      <c r="E12" s="495"/>
      <c r="F12" s="495"/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5"/>
      <c r="V12" s="495"/>
    </row>
    <row r="13" spans="1:23" x14ac:dyDescent="0.3">
      <c r="A13" s="495"/>
      <c r="B13" s="495"/>
      <c r="C13" s="495"/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</row>
    <row r="14" spans="1:23" x14ac:dyDescent="0.3">
      <c r="A14" s="495"/>
      <c r="B14" s="495"/>
      <c r="C14" s="495"/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</row>
    <row r="15" spans="1:23" x14ac:dyDescent="0.3">
      <c r="A15" s="495"/>
      <c r="B15" s="495"/>
      <c r="C15" s="495"/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</row>
    <row r="16" spans="1:23" x14ac:dyDescent="0.3">
      <c r="A16" s="495"/>
      <c r="B16" s="495"/>
      <c r="C16" s="495"/>
      <c r="D16" s="495"/>
      <c r="E16" s="495"/>
      <c r="F16" s="495"/>
      <c r="G16" s="495"/>
      <c r="H16" s="495"/>
      <c r="I16" s="495"/>
      <c r="J16" s="495"/>
      <c r="K16" s="495"/>
      <c r="L16" s="495"/>
      <c r="M16" s="495"/>
      <c r="N16" s="495"/>
      <c r="O16" s="495"/>
      <c r="P16" s="495"/>
      <c r="Q16" s="495"/>
      <c r="R16" s="495"/>
      <c r="S16" s="495"/>
      <c r="T16" s="495"/>
      <c r="U16" s="495"/>
      <c r="V16" s="495"/>
    </row>
    <row r="17" spans="1:22" x14ac:dyDescent="0.3">
      <c r="A17" s="495"/>
      <c r="B17" s="495"/>
      <c r="C17" s="495"/>
      <c r="D17" s="495"/>
      <c r="E17" s="495"/>
      <c r="F17" s="495"/>
      <c r="G17" s="495"/>
      <c r="H17" s="495"/>
      <c r="I17" s="495"/>
      <c r="J17" s="495"/>
      <c r="K17" s="495"/>
      <c r="L17" s="495"/>
      <c r="M17" s="495"/>
      <c r="N17" s="495"/>
      <c r="O17" s="495"/>
      <c r="P17" s="495"/>
      <c r="Q17" s="495"/>
      <c r="R17" s="495"/>
      <c r="S17" s="495"/>
      <c r="T17" s="495"/>
      <c r="U17" s="495"/>
      <c r="V17" s="495"/>
    </row>
    <row r="18" spans="1:22" x14ac:dyDescent="0.3">
      <c r="A18" s="495"/>
      <c r="B18" s="495"/>
      <c r="C18" s="495"/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</row>
    <row r="19" spans="1:22" x14ac:dyDescent="0.3">
      <c r="A19" s="495"/>
      <c r="B19" s="495"/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</row>
    <row r="20" spans="1:22" x14ac:dyDescent="0.3">
      <c r="A20" s="495"/>
      <c r="B20" s="495"/>
      <c r="C20" s="495"/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</row>
    <row r="21" spans="1:22" x14ac:dyDescent="0.3">
      <c r="A21" s="495"/>
      <c r="B21" s="495"/>
      <c r="C21" s="495"/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</row>
    <row r="22" spans="1:22" x14ac:dyDescent="0.3">
      <c r="A22" s="495"/>
      <c r="B22" s="495"/>
      <c r="C22" s="495"/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</row>
    <row r="23" spans="1:22" x14ac:dyDescent="0.3">
      <c r="A23" s="495"/>
      <c r="B23" s="495"/>
      <c r="C23" s="495"/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</row>
    <row r="24" spans="1:22" x14ac:dyDescent="0.3">
      <c r="A24" s="495"/>
      <c r="B24" s="495"/>
      <c r="C24" s="495"/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</row>
    <row r="25" spans="1:22" x14ac:dyDescent="0.3">
      <c r="A25" s="495"/>
      <c r="B25" s="495"/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</row>
    <row r="26" spans="1:22" x14ac:dyDescent="0.3">
      <c r="A26" s="497"/>
      <c r="B26" s="497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</row>
  </sheetData>
  <sheetProtection password="DD72" sheet="1" formatCells="0" formatColumns="0"/>
  <mergeCells count="28">
    <mergeCell ref="I6:I7"/>
    <mergeCell ref="J6:J7"/>
    <mergeCell ref="S6:S7"/>
    <mergeCell ref="U5:V5"/>
    <mergeCell ref="K5:T5"/>
    <mergeCell ref="Q6:Q7"/>
    <mergeCell ref="R6:R7"/>
    <mergeCell ref="T6:T7"/>
    <mergeCell ref="U6:U7"/>
    <mergeCell ref="V6:V7"/>
    <mergeCell ref="P6:P7"/>
    <mergeCell ref="M6:M7"/>
    <mergeCell ref="N6:N7"/>
    <mergeCell ref="O6:O7"/>
    <mergeCell ref="A1:L1"/>
    <mergeCell ref="A2:G2"/>
    <mergeCell ref="H2:J2"/>
    <mergeCell ref="A3:U3"/>
    <mergeCell ref="K2:L2"/>
    <mergeCell ref="M2:O2"/>
    <mergeCell ref="B5:B7"/>
    <mergeCell ref="A5:A7"/>
    <mergeCell ref="L6:L7"/>
    <mergeCell ref="C5:C7"/>
    <mergeCell ref="E5:J5"/>
    <mergeCell ref="E6:E7"/>
    <mergeCell ref="D5:D7"/>
    <mergeCell ref="K6:K7"/>
  </mergeCells>
  <phoneticPr fontId="0" type="noConversion"/>
  <printOptions horizontalCentered="1"/>
  <pageMargins left="0.19685039370078741" right="0" top="0.59055118110236227" bottom="0.59055118110236227" header="0.51181102362204722" footer="0.51181102362204722"/>
  <pageSetup paperSize="9" scale="63" orientation="landscape"/>
  <headerFooter alignWithMargins="0">
    <oddFooter>&amp;C&amp;"AngsanaUPC,ธรรมดา"&amp;P/&amp;N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49C18-B6A7-114B-8591-7D5924F81EA1}">
  <sheetPr codeName="Sheet28">
    <tabColor rgb="FF00B0F0"/>
  </sheetPr>
  <dimension ref="A1:N61"/>
  <sheetViews>
    <sheetView showGridLines="0" topLeftCell="A10" zoomScale="130" zoomScaleNormal="130" workbookViewId="0">
      <selection activeCell="K21" sqref="K21"/>
    </sheetView>
  </sheetViews>
  <sheetFormatPr baseColWidth="10" defaultColWidth="9.1640625" defaultRowHeight="17" x14ac:dyDescent="0.3"/>
  <cols>
    <col min="1" max="1" width="5.33203125" style="434" customWidth="1"/>
    <col min="2" max="2" width="15.83203125" style="499" customWidth="1"/>
    <col min="3" max="3" width="8.33203125" style="499" customWidth="1"/>
    <col min="4" max="4" width="11" style="499" customWidth="1"/>
    <col min="5" max="5" width="10.33203125" style="499" customWidth="1"/>
    <col min="6" max="6" width="12.5" style="499" customWidth="1"/>
    <col min="7" max="7" width="8.1640625" style="499" customWidth="1"/>
    <col min="8" max="8" width="7.83203125" style="499" customWidth="1"/>
    <col min="9" max="9" width="12.33203125" style="499" customWidth="1"/>
    <col min="10" max="10" width="2" style="499" bestFit="1" customWidth="1"/>
    <col min="11" max="11" width="12" style="434" customWidth="1"/>
    <col min="12" max="16384" width="9.1640625" style="499"/>
  </cols>
  <sheetData>
    <row r="1" spans="1:14" ht="14.25" customHeight="1" x14ac:dyDescent="0.3">
      <c r="A1" s="777" t="s">
        <v>716</v>
      </c>
      <c r="B1" s="777"/>
      <c r="C1" s="777"/>
      <c r="D1" s="777"/>
      <c r="E1" s="777"/>
      <c r="F1" s="777"/>
      <c r="G1" s="777"/>
      <c r="H1" s="777"/>
      <c r="I1" s="777"/>
      <c r="J1" s="777"/>
      <c r="K1" s="777"/>
      <c r="L1" s="498"/>
      <c r="M1" s="498"/>
      <c r="N1" s="498"/>
    </row>
    <row r="2" spans="1:14" ht="14.25" customHeight="1" x14ac:dyDescent="0.3">
      <c r="A2" s="730" t="str">
        <f>"ตารางที่ 1 แผนการจัดสรรน้ำรายสัปดาห์จากอ่างเก็บน้ำ โครงการฯ "&amp;fill_data!D1&amp;" จังหวัด "&amp;fill_data!C4</f>
        <v>ตารางที่ 1 แผนการจัดสรรน้ำรายสัปดาห์จากอ่างเก็บน้ำ โครงการฯ มูลบน จังหวัด นครราชสีมา</v>
      </c>
      <c r="B2" s="730"/>
      <c r="C2" s="730"/>
      <c r="D2" s="730"/>
      <c r="E2" s="730"/>
      <c r="F2" s="730"/>
      <c r="G2" s="730"/>
      <c r="H2" s="730"/>
      <c r="I2" s="730"/>
      <c r="J2" s="730"/>
      <c r="K2" s="730"/>
    </row>
    <row r="3" spans="1:14" ht="14.25" customHeight="1" x14ac:dyDescent="0.3">
      <c r="A3" s="777" t="str">
        <f>"ประจำปี พ.ศ. "&amp;Conclusion!K1&amp;Conclusion!L1</f>
        <v>ประจำปี พ.ศ. 2566/ 2567</v>
      </c>
      <c r="B3" s="777"/>
      <c r="C3" s="777"/>
      <c r="D3" s="777"/>
      <c r="E3" s="777"/>
      <c r="F3" s="777"/>
      <c r="G3" s="777"/>
      <c r="H3" s="777"/>
      <c r="I3" s="777"/>
      <c r="J3" s="777"/>
      <c r="K3" s="777"/>
    </row>
    <row r="4" spans="1:14" ht="6" customHeight="1" x14ac:dyDescent="0.3">
      <c r="A4" s="780"/>
      <c r="B4" s="780"/>
      <c r="C4" s="780"/>
      <c r="D4" s="780"/>
      <c r="E4" s="780"/>
      <c r="F4" s="780"/>
      <c r="G4" s="780"/>
      <c r="H4" s="780"/>
    </row>
    <row r="5" spans="1:14" ht="15" customHeight="1" x14ac:dyDescent="0.3">
      <c r="A5" s="500" t="s">
        <v>2</v>
      </c>
      <c r="B5" s="781" t="s">
        <v>717</v>
      </c>
      <c r="C5" s="783" t="s">
        <v>877</v>
      </c>
      <c r="D5" s="784"/>
      <c r="E5" s="784"/>
      <c r="F5" s="784"/>
      <c r="G5" s="784"/>
      <c r="H5" s="785"/>
      <c r="I5" s="786" t="s">
        <v>431</v>
      </c>
      <c r="J5" s="787"/>
      <c r="K5" s="788"/>
    </row>
    <row r="6" spans="1:14" ht="15" customHeight="1" x14ac:dyDescent="0.3">
      <c r="A6" s="501" t="s">
        <v>402</v>
      </c>
      <c r="B6" s="782"/>
      <c r="C6" s="502" t="s">
        <v>405</v>
      </c>
      <c r="D6" s="502" t="s">
        <v>718</v>
      </c>
      <c r="E6" s="502" t="s">
        <v>420</v>
      </c>
      <c r="F6" s="502" t="s">
        <v>812</v>
      </c>
      <c r="G6" s="502" t="s">
        <v>598</v>
      </c>
      <c r="H6" s="502" t="s">
        <v>415</v>
      </c>
      <c r="I6" s="789"/>
      <c r="J6" s="790"/>
      <c r="K6" s="791"/>
    </row>
    <row r="7" spans="1:14" ht="15" customHeight="1" x14ac:dyDescent="0.3">
      <c r="A7" s="437">
        <v>1</v>
      </c>
      <c r="B7" s="438" t="s">
        <v>813</v>
      </c>
      <c r="C7" s="439">
        <f>SUM(ROS!R15:R21)</f>
        <v>7.9608031089729876E-3</v>
      </c>
      <c r="D7" s="605">
        <f>SUM(ROS!K15:K21)</f>
        <v>1.4E-2</v>
      </c>
      <c r="E7" s="606">
        <f>SUM(ROS!M15:M21)</f>
        <v>0.25783333333333336</v>
      </c>
      <c r="F7" s="503">
        <f>SUM(ROS!N15:N21)</f>
        <v>0.29609999999999997</v>
      </c>
      <c r="G7" s="503">
        <f>SUM(ROS!L15:L21)</f>
        <v>0</v>
      </c>
      <c r="H7" s="504">
        <f>SUM(C7:G7)</f>
        <v>0.57589413644230625</v>
      </c>
      <c r="I7" s="792" t="s">
        <v>878</v>
      </c>
      <c r="J7" s="793"/>
      <c r="K7" s="794"/>
    </row>
    <row r="8" spans="1:14" ht="15" customHeight="1" x14ac:dyDescent="0.3">
      <c r="A8" s="444">
        <f>A7+1</f>
        <v>2</v>
      </c>
      <c r="B8" s="445" t="s">
        <v>814</v>
      </c>
      <c r="C8" s="446">
        <f>SUM(ROS!R22:R28)</f>
        <v>8.0345408596014887E-3</v>
      </c>
      <c r="D8" s="607">
        <f>SUM(ROS!K22:K28)</f>
        <v>1.4E-2</v>
      </c>
      <c r="E8" s="607">
        <f>SUM(ROS!M22:M28)</f>
        <v>0.25783333333333336</v>
      </c>
      <c r="F8" s="608">
        <f>SUM(ROS!N22:N28)</f>
        <v>0.29609999999999997</v>
      </c>
      <c r="G8" s="446">
        <f>SUM(ROS!L22:L28)</f>
        <v>0</v>
      </c>
      <c r="H8" s="505">
        <f>SUM(C8:G8)</f>
        <v>0.57596787419293483</v>
      </c>
      <c r="I8" s="506" t="str">
        <f>"พ.ย. "&amp;fill_data!$E$2</f>
        <v>พ.ย. 2566</v>
      </c>
      <c r="J8" s="507" t="s">
        <v>719</v>
      </c>
      <c r="K8" s="508"/>
    </row>
    <row r="9" spans="1:14" ht="15" customHeight="1" x14ac:dyDescent="0.3">
      <c r="A9" s="444">
        <f t="shared" ref="A9:A58" si="0">A8+1</f>
        <v>3</v>
      </c>
      <c r="B9" s="445" t="s">
        <v>815</v>
      </c>
      <c r="C9" s="446">
        <f>SUM(ROS!R29:R35)</f>
        <v>8.9488889673949076E-3</v>
      </c>
      <c r="D9" s="607">
        <f>SUM(ROS!K29:K35)</f>
        <v>1.4E-2</v>
      </c>
      <c r="E9" s="607">
        <f>SUM(ROS!M29:M35)</f>
        <v>0.25783333333333336</v>
      </c>
      <c r="F9" s="608">
        <f>SUM(ROS!N29:N35)</f>
        <v>0.29609999999999997</v>
      </c>
      <c r="G9" s="446">
        <f>SUM(ROS!L29:L35)</f>
        <v>0</v>
      </c>
      <c r="H9" s="509">
        <f t="shared" ref="H9:H58" si="1">SUM(C9:G9)</f>
        <v>0.57688222230072816</v>
      </c>
      <c r="I9" s="506" t="str">
        <f>"ธ.ค. "&amp;fill_data!$E$2</f>
        <v>ธ.ค. 2566</v>
      </c>
      <c r="J9" s="507" t="s">
        <v>719</v>
      </c>
      <c r="K9" s="508">
        <f>SUM(ROS!S45:S75)</f>
        <v>2.5645452492484564</v>
      </c>
    </row>
    <row r="10" spans="1:14" ht="15" customHeight="1" x14ac:dyDescent="0.3">
      <c r="A10" s="444">
        <f t="shared" si="0"/>
        <v>4</v>
      </c>
      <c r="B10" s="445" t="s">
        <v>816</v>
      </c>
      <c r="C10" s="446">
        <f>SUM(ROS!R36:R42)</f>
        <v>8.9488889673949076E-3</v>
      </c>
      <c r="D10" s="607">
        <f>SUM(ROS!K36:K42)</f>
        <v>1.4E-2</v>
      </c>
      <c r="E10" s="607">
        <f>SUM(ROS!M36:M42)</f>
        <v>0.25783333333333336</v>
      </c>
      <c r="F10" s="608">
        <f>SUM(ROS!N36:N42)</f>
        <v>0.29609999999999997</v>
      </c>
      <c r="G10" s="446">
        <f>SUM(ROS!L36:L42)</f>
        <v>0</v>
      </c>
      <c r="H10" s="505">
        <f t="shared" si="1"/>
        <v>0.57688222230072816</v>
      </c>
      <c r="I10" s="506" t="str">
        <f>"ม.ค. "&amp;fill_data!$E$2+1</f>
        <v>ม.ค. 2567</v>
      </c>
      <c r="J10" s="507" t="s">
        <v>719</v>
      </c>
      <c r="K10" s="508">
        <f>SUM(ROS!S76:S106)</f>
        <v>3.8986622712890595</v>
      </c>
    </row>
    <row r="11" spans="1:14" ht="15" customHeight="1" x14ac:dyDescent="0.3">
      <c r="A11" s="444">
        <f t="shared" si="0"/>
        <v>5</v>
      </c>
      <c r="B11" s="445" t="s">
        <v>817</v>
      </c>
      <c r="C11" s="446">
        <f>SUM(ROS!R43:R49)</f>
        <v>9.3667361137118859E-3</v>
      </c>
      <c r="D11" s="607">
        <f>SUM(ROS!K43:K49)</f>
        <v>1.3677419354838712E-2</v>
      </c>
      <c r="E11" s="607">
        <f>SUM(ROS!M43:M49)</f>
        <v>0.25995698924731181</v>
      </c>
      <c r="F11" s="608">
        <f>SUM(ROS!N43:N49)</f>
        <v>0.29609999999999997</v>
      </c>
      <c r="G11" s="446">
        <f>SUM(ROS!L43:L49)</f>
        <v>0</v>
      </c>
      <c r="H11" s="509">
        <f t="shared" si="1"/>
        <v>0.57910114471586238</v>
      </c>
      <c r="I11" s="506" t="str">
        <f>"ก.พ. "&amp;fill_data!$E$2+1</f>
        <v>ก.พ. 2567</v>
      </c>
      <c r="J11" s="507" t="s">
        <v>719</v>
      </c>
      <c r="K11" s="508">
        <f>SUM(ROS!S107:S134)</f>
        <v>3.8555069692756292</v>
      </c>
    </row>
    <row r="12" spans="1:14" ht="15" customHeight="1" x14ac:dyDescent="0.3">
      <c r="A12" s="444">
        <f t="shared" si="0"/>
        <v>6</v>
      </c>
      <c r="B12" s="445" t="s">
        <v>751</v>
      </c>
      <c r="C12" s="446">
        <f>SUM(ROS!R50:R56)</f>
        <v>9.2761853481973851E-3</v>
      </c>
      <c r="D12" s="607">
        <f>SUM(ROS!K50:K56)</f>
        <v>1.3548387096774195E-2</v>
      </c>
      <c r="E12" s="607">
        <f>SUM(ROS!M50:M56)</f>
        <v>0.26080645161290328</v>
      </c>
      <c r="F12" s="608">
        <f>SUM(ROS!N50:N56)</f>
        <v>0.29609999999999997</v>
      </c>
      <c r="G12" s="446">
        <f>SUM(ROS!L50:L56)</f>
        <v>0</v>
      </c>
      <c r="H12" s="505">
        <f t="shared" si="1"/>
        <v>0.5797310240578748</v>
      </c>
      <c r="I12" s="506" t="str">
        <f>"มี.ค. "&amp;fill_data!$E$2+1</f>
        <v>มี.ค. 2567</v>
      </c>
      <c r="J12" s="507" t="s">
        <v>719</v>
      </c>
      <c r="K12" s="508">
        <f>SUM(ROS!S135:S165)</f>
        <v>3.9976000000000016</v>
      </c>
    </row>
    <row r="13" spans="1:14" ht="15" customHeight="1" x14ac:dyDescent="0.3">
      <c r="A13" s="444">
        <f t="shared" si="0"/>
        <v>7</v>
      </c>
      <c r="B13" s="445" t="s">
        <v>752</v>
      </c>
      <c r="C13" s="446">
        <f>SUM(ROS!R57:R63)</f>
        <v>8.1533558558175862E-3</v>
      </c>
      <c r="D13" s="607">
        <f>SUM(ROS!K57:K63)</f>
        <v>1.3548387096774195E-2</v>
      </c>
      <c r="E13" s="607">
        <f>SUM(ROS!M57:M63)</f>
        <v>0.26080645161290328</v>
      </c>
      <c r="F13" s="608">
        <f>SUM(ROS!N57:N63)</f>
        <v>0.29609999999999997</v>
      </c>
      <c r="G13" s="446">
        <f>SUM(ROS!L57:L63)</f>
        <v>0</v>
      </c>
      <c r="H13" s="509">
        <f t="shared" si="1"/>
        <v>0.57860819456549506</v>
      </c>
      <c r="I13" s="506" t="str">
        <f>"เม.ย. "&amp;fill_data!$E$2+1</f>
        <v>เม.ย. 2567</v>
      </c>
      <c r="J13" s="507" t="s">
        <v>719</v>
      </c>
      <c r="K13" s="508">
        <f>SUM(ROS!S166:S195)</f>
        <v>3.8129999999999997</v>
      </c>
    </row>
    <row r="14" spans="1:14" ht="15" customHeight="1" x14ac:dyDescent="0.3">
      <c r="A14" s="444">
        <f t="shared" si="0"/>
        <v>8</v>
      </c>
      <c r="B14" s="445" t="s">
        <v>753</v>
      </c>
      <c r="C14" s="446">
        <f>SUM(ROS!R64:R70)</f>
        <v>8.1533558558175862E-3</v>
      </c>
      <c r="D14" s="607">
        <f>SUM(ROS!K64:K70)</f>
        <v>1.3548387096774195E-2</v>
      </c>
      <c r="E14" s="607">
        <f>SUM(ROS!M64:M70)</f>
        <v>0.26080645161290328</v>
      </c>
      <c r="F14" s="608">
        <f>SUM(ROS!N64:N70)</f>
        <v>0.29609999999999997</v>
      </c>
      <c r="G14" s="446">
        <f>SUM(ROS!L64:L70)</f>
        <v>0</v>
      </c>
      <c r="H14" s="505">
        <f t="shared" si="1"/>
        <v>0.57860819456549506</v>
      </c>
      <c r="I14" s="506" t="str">
        <f>"พ.ค. "&amp;fill_data!$E$2+1</f>
        <v>พ.ค. 2567</v>
      </c>
      <c r="J14" s="507" t="s">
        <v>719</v>
      </c>
      <c r="K14" s="508">
        <f>SUM(ROS!S196:S226)</f>
        <v>3.897599999999998</v>
      </c>
    </row>
    <row r="15" spans="1:14" ht="15" customHeight="1" x14ac:dyDescent="0.3">
      <c r="A15" s="444">
        <f t="shared" si="0"/>
        <v>9</v>
      </c>
      <c r="B15" s="445" t="s">
        <v>818</v>
      </c>
      <c r="C15" s="446">
        <f>SUM(ROS!R71:R77)</f>
        <v>8.360556950360724E-3</v>
      </c>
      <c r="D15" s="607">
        <f>SUM(ROS!K71:K77)</f>
        <v>1.8064516129032256E-2</v>
      </c>
      <c r="E15" s="607">
        <f>SUM(ROS!M71:M77)</f>
        <v>0.26338709677419359</v>
      </c>
      <c r="F15" s="608">
        <f>SUM(ROS!N71:N77)</f>
        <v>0.37524193548387097</v>
      </c>
      <c r="G15" s="446">
        <f>SUM(ROS!L71:L77)</f>
        <v>0</v>
      </c>
      <c r="H15" s="509">
        <f t="shared" si="1"/>
        <v>0.66505410533745746</v>
      </c>
      <c r="I15" s="506" t="str">
        <f>"มิ.ย. "&amp;fill_data!$E$2+1</f>
        <v>มิ.ย. 2567</v>
      </c>
      <c r="J15" s="507" t="s">
        <v>719</v>
      </c>
      <c r="K15" s="508">
        <f>SUM(ROS!S227:S256)</f>
        <v>3.8129999999999997</v>
      </c>
    </row>
    <row r="16" spans="1:14" ht="15" customHeight="1" x14ac:dyDescent="0.3">
      <c r="A16" s="444">
        <f t="shared" si="0"/>
        <v>10</v>
      </c>
      <c r="B16" s="445" t="s">
        <v>754</v>
      </c>
      <c r="C16" s="446">
        <f>SUM(ROS!R78:R84)</f>
        <v>8.3290845115579111E-3</v>
      </c>
      <c r="D16" s="607">
        <f>SUM(ROS!K78:K84)</f>
        <v>2.9354838709677415E-2</v>
      </c>
      <c r="E16" s="607">
        <f>SUM(ROS!M78:M84)</f>
        <v>0.26983870967741935</v>
      </c>
      <c r="F16" s="608">
        <f>SUM(ROS!N78:N84)</f>
        <v>0.57309677419354832</v>
      </c>
      <c r="G16" s="446">
        <f>SUM(ROS!L78:L84)</f>
        <v>0</v>
      </c>
      <c r="H16" s="505">
        <f t="shared" si="1"/>
        <v>0.88061940709220299</v>
      </c>
      <c r="I16" s="506" t="str">
        <f>"ก.ค. "&amp;fill_data!$E$2+1</f>
        <v>ก.ค. 2567</v>
      </c>
      <c r="J16" s="507" t="s">
        <v>719</v>
      </c>
      <c r="K16" s="508">
        <f>SUM(ROS!S257:S287)</f>
        <v>21.007878358451286</v>
      </c>
    </row>
    <row r="17" spans="1:11" ht="15" customHeight="1" x14ac:dyDescent="0.3">
      <c r="A17" s="444">
        <f t="shared" si="0"/>
        <v>11</v>
      </c>
      <c r="B17" s="445" t="s">
        <v>755</v>
      </c>
      <c r="C17" s="446">
        <f>SUM(ROS!R85:R91)</f>
        <v>7.9388262704030727E-3</v>
      </c>
      <c r="D17" s="607">
        <f>SUM(ROS!K85:K91)</f>
        <v>2.9354838709677415E-2</v>
      </c>
      <c r="E17" s="607">
        <f>SUM(ROS!M85:M91)</f>
        <v>0.26983870967741935</v>
      </c>
      <c r="F17" s="608">
        <f>SUM(ROS!N85:N91)</f>
        <v>0.57309677419354832</v>
      </c>
      <c r="G17" s="446">
        <f>SUM(ROS!L85:L91)</f>
        <v>0</v>
      </c>
      <c r="H17" s="509">
        <f t="shared" si="1"/>
        <v>0.88022914885104808</v>
      </c>
      <c r="I17" s="506" t="str">
        <f>"ส.ค. "&amp;fill_data!$E$2+1</f>
        <v>ส.ค. 2567</v>
      </c>
      <c r="J17" s="507" t="s">
        <v>719</v>
      </c>
      <c r="K17" s="508">
        <f>SUM(ROS!S288:S318)</f>
        <v>15.556928082448529</v>
      </c>
    </row>
    <row r="18" spans="1:11" ht="15" customHeight="1" x14ac:dyDescent="0.3">
      <c r="A18" s="444">
        <f t="shared" si="0"/>
        <v>12</v>
      </c>
      <c r="B18" s="445" t="s">
        <v>757</v>
      </c>
      <c r="C18" s="446">
        <f>SUM(ROS!R92:R98)</f>
        <v>7.9388262704030727E-3</v>
      </c>
      <c r="D18" s="607">
        <f>SUM(ROS!K92:K98)</f>
        <v>2.9354838709677415E-2</v>
      </c>
      <c r="E18" s="607">
        <f>SUM(ROS!M92:M98)</f>
        <v>0.26983870967741935</v>
      </c>
      <c r="F18" s="608">
        <f>SUM(ROS!N92:N98)</f>
        <v>0.57309677419354832</v>
      </c>
      <c r="G18" s="446">
        <f>SUM(ROS!L92:L98)</f>
        <v>0</v>
      </c>
      <c r="H18" s="505">
        <f t="shared" si="1"/>
        <v>0.88022914885104808</v>
      </c>
      <c r="I18" s="506" t="str">
        <f>"ก.ย. "&amp;fill_data!$E$2+1</f>
        <v>ก.ย. 2567</v>
      </c>
      <c r="J18" s="507" t="s">
        <v>719</v>
      </c>
      <c r="K18" s="508">
        <f>SUM(ROS!S319:S348)</f>
        <v>3.750814159588892</v>
      </c>
    </row>
    <row r="19" spans="1:11" ht="15" customHeight="1" x14ac:dyDescent="0.3">
      <c r="A19" s="444">
        <f t="shared" si="0"/>
        <v>13</v>
      </c>
      <c r="B19" s="445" t="s">
        <v>758</v>
      </c>
      <c r="C19" s="446">
        <f>SUM(ROS!R99:R105)</f>
        <v>7.9388262704030727E-3</v>
      </c>
      <c r="D19" s="607">
        <f>SUM(ROS!K99:K105)</f>
        <v>2.9354838709677415E-2</v>
      </c>
      <c r="E19" s="607">
        <f>SUM(ROS!M99:M105)</f>
        <v>0.26983870967741935</v>
      </c>
      <c r="F19" s="608">
        <f>SUM(ROS!N99:N105)</f>
        <v>0.57309677419354832</v>
      </c>
      <c r="G19" s="446">
        <f>SUM(ROS!L99:L105)</f>
        <v>0</v>
      </c>
      <c r="H19" s="509">
        <f t="shared" si="1"/>
        <v>0.88022914885104808</v>
      </c>
      <c r="I19" s="506" t="str">
        <f>"ต.ค. "&amp;fill_data!$E$2+1</f>
        <v>ต.ค. 2567</v>
      </c>
      <c r="J19" s="507" t="s">
        <v>719</v>
      </c>
      <c r="K19" s="508">
        <f>SUM(ROS!S349:S379)</f>
        <v>4.505136125247537</v>
      </c>
    </row>
    <row r="20" spans="1:11" ht="15" customHeight="1" x14ac:dyDescent="0.3">
      <c r="A20" s="444">
        <f t="shared" si="0"/>
        <v>14</v>
      </c>
      <c r="B20" s="445" t="s">
        <v>819</v>
      </c>
      <c r="C20" s="446">
        <f>SUM(ROS!R106:R112)</f>
        <v>7.8958418633161744E-3</v>
      </c>
      <c r="D20" s="607">
        <f>SUM(ROS!K106:K112)</f>
        <v>3.2050691244239635E-2</v>
      </c>
      <c r="E20" s="607">
        <f>SUM(ROS!M106:M112)</f>
        <v>0.30533410138248857</v>
      </c>
      <c r="F20" s="608">
        <f>SUM(ROS!N106:N112)</f>
        <v>0.6075995391705068</v>
      </c>
      <c r="G20" s="446">
        <f>SUM(ROS!L106:L112)</f>
        <v>0</v>
      </c>
      <c r="H20" s="505">
        <f t="shared" si="1"/>
        <v>0.95288017366055122</v>
      </c>
      <c r="I20" s="506" t="str">
        <f>"พ.ย. "&amp;fill_data!$E$2+1</f>
        <v>พ.ย. 2567</v>
      </c>
      <c r="J20" s="507" t="s">
        <v>719</v>
      </c>
      <c r="K20" s="508">
        <f>SUM(ROS!S15:S44)</f>
        <v>2.4705693322215683</v>
      </c>
    </row>
    <row r="21" spans="1:11" ht="15" customHeight="1" x14ac:dyDescent="0.3">
      <c r="A21" s="444">
        <f t="shared" si="0"/>
        <v>15</v>
      </c>
      <c r="B21" s="445" t="s">
        <v>760</v>
      </c>
      <c r="C21" s="446">
        <f>SUM(ROS!R113:R119)</f>
        <v>7.7928874290440712E-3</v>
      </c>
      <c r="D21" s="607">
        <f>SUM(ROS!K113:K119)</f>
        <v>3.2500000000000001E-2</v>
      </c>
      <c r="E21" s="607">
        <f>SUM(ROS!M113:M119)</f>
        <v>0.31125000000000008</v>
      </c>
      <c r="F21" s="608">
        <f>SUM(ROS!N113:N119)</f>
        <v>0.61334999999999984</v>
      </c>
      <c r="G21" s="446">
        <f>SUM(ROS!L113:L119)</f>
        <v>0</v>
      </c>
      <c r="H21" s="509">
        <f t="shared" si="1"/>
        <v>0.964892887429044</v>
      </c>
      <c r="I21" s="510" t="s">
        <v>415</v>
      </c>
      <c r="K21" s="511">
        <f>SUM(K8:K20)</f>
        <v>73.131240547770958</v>
      </c>
    </row>
    <row r="22" spans="1:11" ht="15" customHeight="1" x14ac:dyDescent="0.3">
      <c r="A22" s="444">
        <f t="shared" si="0"/>
        <v>16</v>
      </c>
      <c r="B22" s="445" t="s">
        <v>761</v>
      </c>
      <c r="C22" s="446">
        <f>SUM(ROS!R120:R126)</f>
        <v>6.5162524440700326E-3</v>
      </c>
      <c r="D22" s="607">
        <f>SUM(ROS!K120:K126)</f>
        <v>3.2500000000000001E-2</v>
      </c>
      <c r="E22" s="607">
        <f>SUM(ROS!M120:M126)</f>
        <v>0.31125000000000008</v>
      </c>
      <c r="F22" s="608">
        <f>SUM(ROS!N120:N126)</f>
        <v>0.61334999999999984</v>
      </c>
      <c r="G22" s="446">
        <f>SUM(ROS!L120:L126)</f>
        <v>0</v>
      </c>
      <c r="H22" s="505">
        <f t="shared" si="1"/>
        <v>0.9636162524440699</v>
      </c>
      <c r="I22" s="512"/>
      <c r="K22" s="513"/>
    </row>
    <row r="23" spans="1:11" ht="15" customHeight="1" x14ac:dyDescent="0.3">
      <c r="A23" s="444">
        <f t="shared" si="0"/>
        <v>17</v>
      </c>
      <c r="B23" s="445" t="s">
        <v>762</v>
      </c>
      <c r="C23" s="446">
        <f>SUM(ROS!R127:R133)</f>
        <v>6.0299649482439136E-3</v>
      </c>
      <c r="D23" s="607">
        <f>SUM(ROS!K127:K133)</f>
        <v>3.2500000000000001E-2</v>
      </c>
      <c r="E23" s="607">
        <f>SUM(ROS!M127:M133)</f>
        <v>0.31125000000000008</v>
      </c>
      <c r="F23" s="608">
        <f>SUM(ROS!N127:N133)</f>
        <v>0.61334999999999984</v>
      </c>
      <c r="G23" s="446">
        <f>SUM(ROS!L127:L133)</f>
        <v>0</v>
      </c>
      <c r="H23" s="509">
        <f t="shared" si="1"/>
        <v>0.96312996494824388</v>
      </c>
      <c r="I23" s="512"/>
      <c r="K23" s="513"/>
    </row>
    <row r="24" spans="1:11" ht="15" customHeight="1" x14ac:dyDescent="0.3">
      <c r="A24" s="444">
        <f t="shared" si="0"/>
        <v>18</v>
      </c>
      <c r="B24" s="445" t="s">
        <v>763</v>
      </c>
      <c r="C24" s="446">
        <f>SUM(ROS!R134:R140)</f>
        <v>0</v>
      </c>
      <c r="D24" s="607">
        <f>SUM(ROS!K134:K140)</f>
        <v>2.9804147465437782E-2</v>
      </c>
      <c r="E24" s="607">
        <f>SUM(ROS!M134:M140)</f>
        <v>0.2854320276497696</v>
      </c>
      <c r="F24" s="608">
        <f>SUM(ROS!N134:N140)</f>
        <v>0.59522142857142857</v>
      </c>
      <c r="G24" s="446">
        <f>SUM(ROS!L134:L140)</f>
        <v>0</v>
      </c>
      <c r="H24" s="505">
        <f t="shared" si="1"/>
        <v>0.91045760368663597</v>
      </c>
      <c r="I24" s="512"/>
      <c r="K24" s="513"/>
    </row>
    <row r="25" spans="1:11" ht="15" customHeight="1" x14ac:dyDescent="0.3">
      <c r="A25" s="444">
        <f t="shared" si="0"/>
        <v>19</v>
      </c>
      <c r="B25" s="445" t="s">
        <v>764</v>
      </c>
      <c r="C25" s="446">
        <f>SUM(ROS!R141:R147)</f>
        <v>0</v>
      </c>
      <c r="D25" s="607">
        <f>SUM(ROS!K141:K147)</f>
        <v>2.9354838709677415E-2</v>
      </c>
      <c r="E25" s="607">
        <f>SUM(ROS!M141:M147)</f>
        <v>0.28112903225806457</v>
      </c>
      <c r="F25" s="608">
        <f>SUM(ROS!N141:N147)</f>
        <v>0.59219999999999995</v>
      </c>
      <c r="G25" s="446">
        <f>SUM(ROS!L141:L147)</f>
        <v>0</v>
      </c>
      <c r="H25" s="509">
        <f t="shared" si="1"/>
        <v>0.90268387096774194</v>
      </c>
      <c r="I25" s="512"/>
      <c r="K25" s="513"/>
    </row>
    <row r="26" spans="1:11" ht="15" customHeight="1" x14ac:dyDescent="0.3">
      <c r="A26" s="444">
        <f t="shared" si="0"/>
        <v>20</v>
      </c>
      <c r="B26" s="445" t="s">
        <v>765</v>
      </c>
      <c r="C26" s="446">
        <f>SUM(ROS!R148:R154)</f>
        <v>0</v>
      </c>
      <c r="D26" s="607">
        <f>SUM(ROS!K148:K154)</f>
        <v>2.9354838709677415E-2</v>
      </c>
      <c r="E26" s="607">
        <f>SUM(ROS!M148:M154)</f>
        <v>0.28112903225806457</v>
      </c>
      <c r="F26" s="608">
        <f>SUM(ROS!N148:N154)</f>
        <v>0.59219999999999995</v>
      </c>
      <c r="G26" s="446">
        <f>SUM(ROS!L148:L154)</f>
        <v>0</v>
      </c>
      <c r="H26" s="505">
        <f t="shared" si="1"/>
        <v>0.90268387096774194</v>
      </c>
      <c r="I26" s="512"/>
      <c r="K26" s="513"/>
    </row>
    <row r="27" spans="1:11" ht="15" customHeight="1" x14ac:dyDescent="0.3">
      <c r="A27" s="444">
        <f t="shared" si="0"/>
        <v>21</v>
      </c>
      <c r="B27" s="445" t="s">
        <v>766</v>
      </c>
      <c r="C27" s="446">
        <f>SUM(ROS!R155:R161)</f>
        <v>0</v>
      </c>
      <c r="D27" s="607">
        <f>SUM(ROS!K155:K161)</f>
        <v>2.9354838709677415E-2</v>
      </c>
      <c r="E27" s="607">
        <f>SUM(ROS!M155:M161)</f>
        <v>0.28112903225806457</v>
      </c>
      <c r="F27" s="608">
        <f>SUM(ROS!N155:N161)</f>
        <v>0.59219999999999995</v>
      </c>
      <c r="G27" s="446">
        <f>SUM(ROS!L155:L161)</f>
        <v>0</v>
      </c>
      <c r="H27" s="509">
        <f t="shared" si="1"/>
        <v>0.90268387096774194</v>
      </c>
      <c r="I27" s="512"/>
      <c r="K27" s="513"/>
    </row>
    <row r="28" spans="1:11" ht="15" customHeight="1" x14ac:dyDescent="0.3">
      <c r="A28" s="444">
        <f t="shared" si="0"/>
        <v>22</v>
      </c>
      <c r="B28" s="445" t="s">
        <v>767</v>
      </c>
      <c r="C28" s="446">
        <f>SUM(ROS!R162:R168)</f>
        <v>0</v>
      </c>
      <c r="D28" s="607">
        <f>SUM(ROS!K162:K168)</f>
        <v>2.9774193548387097E-2</v>
      </c>
      <c r="E28" s="607">
        <f>SUM(ROS!M162:M168)</f>
        <v>0.27514516129032263</v>
      </c>
      <c r="F28" s="608">
        <f>SUM(ROS!N162:N168)</f>
        <v>0.59219999999999995</v>
      </c>
      <c r="G28" s="446">
        <f>SUM(ROS!L162:L168)</f>
        <v>0</v>
      </c>
      <c r="H28" s="505">
        <f t="shared" si="1"/>
        <v>0.89711935483870975</v>
      </c>
      <c r="I28" s="512"/>
      <c r="K28" s="513"/>
    </row>
    <row r="29" spans="1:11" ht="15" customHeight="1" x14ac:dyDescent="0.3">
      <c r="A29" s="444">
        <f t="shared" si="0"/>
        <v>23</v>
      </c>
      <c r="B29" s="445" t="s">
        <v>768</v>
      </c>
      <c r="C29" s="446">
        <f>SUM(ROS!R169:R175)</f>
        <v>0</v>
      </c>
      <c r="D29" s="607">
        <f>SUM(ROS!K169:K175)</f>
        <v>3.0333333333333337E-2</v>
      </c>
      <c r="E29" s="607">
        <f>SUM(ROS!M169:M175)</f>
        <v>0.26716666666666672</v>
      </c>
      <c r="F29" s="608">
        <f>SUM(ROS!N169:N175)</f>
        <v>0.59219999999999995</v>
      </c>
      <c r="G29" s="446">
        <f>SUM(ROS!L169:L175)</f>
        <v>0</v>
      </c>
      <c r="H29" s="509">
        <f t="shared" si="1"/>
        <v>0.88969999999999994</v>
      </c>
      <c r="I29" s="512"/>
      <c r="K29" s="513"/>
    </row>
    <row r="30" spans="1:11" ht="15" customHeight="1" x14ac:dyDescent="0.3">
      <c r="A30" s="444">
        <f t="shared" si="0"/>
        <v>24</v>
      </c>
      <c r="B30" s="445" t="s">
        <v>820</v>
      </c>
      <c r="C30" s="446">
        <f>SUM(ROS!R176:R182)</f>
        <v>0</v>
      </c>
      <c r="D30" s="607">
        <f>SUM(ROS!K176:K182)</f>
        <v>3.0333333333333337E-2</v>
      </c>
      <c r="E30" s="607">
        <f>SUM(ROS!M176:M182)</f>
        <v>0.26716666666666672</v>
      </c>
      <c r="F30" s="608">
        <f>SUM(ROS!N176:N182)</f>
        <v>0.59219999999999995</v>
      </c>
      <c r="G30" s="446">
        <f>SUM(ROS!L176:L182)</f>
        <v>0</v>
      </c>
      <c r="H30" s="505">
        <f t="shared" si="1"/>
        <v>0.88969999999999994</v>
      </c>
      <c r="I30" s="512"/>
      <c r="K30" s="513"/>
    </row>
    <row r="31" spans="1:11" ht="15" customHeight="1" x14ac:dyDescent="0.3">
      <c r="A31" s="444">
        <f t="shared" si="0"/>
        <v>25</v>
      </c>
      <c r="B31" s="445" t="s">
        <v>821</v>
      </c>
      <c r="C31" s="446">
        <f>SUM(ROS!R183:R189)</f>
        <v>0</v>
      </c>
      <c r="D31" s="607">
        <f>SUM(ROS!K183:K189)</f>
        <v>3.0333333333333337E-2</v>
      </c>
      <c r="E31" s="607">
        <f>SUM(ROS!M183:M189)</f>
        <v>0.26716666666666672</v>
      </c>
      <c r="F31" s="608">
        <f>SUM(ROS!N183:N189)</f>
        <v>0.59219999999999995</v>
      </c>
      <c r="G31" s="446">
        <f>SUM(ROS!L183:L189)</f>
        <v>0</v>
      </c>
      <c r="H31" s="509">
        <f t="shared" si="1"/>
        <v>0.88969999999999994</v>
      </c>
      <c r="I31" s="512"/>
      <c r="K31" s="513"/>
    </row>
    <row r="32" spans="1:11" ht="15" customHeight="1" x14ac:dyDescent="0.3">
      <c r="A32" s="444">
        <f t="shared" si="0"/>
        <v>26</v>
      </c>
      <c r="B32" s="445" t="s">
        <v>771</v>
      </c>
      <c r="C32" s="446">
        <f>SUM(ROS!R190:R196)</f>
        <v>0</v>
      </c>
      <c r="D32" s="607">
        <f>SUM(ROS!K190:K196)</f>
        <v>3.0193548387096775E-2</v>
      </c>
      <c r="E32" s="607">
        <f>SUM(ROS!M190:M196)</f>
        <v>0.26593548387096777</v>
      </c>
      <c r="F32" s="608">
        <f>SUM(ROS!N190:N196)</f>
        <v>0.59219999999999995</v>
      </c>
      <c r="G32" s="446">
        <f>SUM(ROS!L190:L196)</f>
        <v>0</v>
      </c>
      <c r="H32" s="505">
        <f t="shared" si="1"/>
        <v>0.88832903225806448</v>
      </c>
      <c r="I32" s="512"/>
      <c r="K32" s="513"/>
    </row>
    <row r="33" spans="1:11" ht="15" customHeight="1" x14ac:dyDescent="0.3">
      <c r="A33" s="444">
        <f t="shared" si="0"/>
        <v>27</v>
      </c>
      <c r="B33" s="445" t="s">
        <v>822</v>
      </c>
      <c r="C33" s="446">
        <f>SUM(ROS!R197:R203)</f>
        <v>0</v>
      </c>
      <c r="D33" s="603">
        <f>SUM(ROS!K197:K203)</f>
        <v>2.9354838709677415E-2</v>
      </c>
      <c r="E33" s="603">
        <f>SUM(ROS!M197:M203)</f>
        <v>0.25854838709677419</v>
      </c>
      <c r="F33" s="608">
        <f>SUM(ROS!N197:N203)</f>
        <v>0.59219999999999995</v>
      </c>
      <c r="G33" s="446">
        <f>SUM(ROS!L197:L203)</f>
        <v>0</v>
      </c>
      <c r="H33" s="509">
        <f t="shared" si="1"/>
        <v>0.88010322580645162</v>
      </c>
      <c r="I33" s="512"/>
      <c r="K33" s="513"/>
    </row>
    <row r="34" spans="1:11" ht="15" customHeight="1" x14ac:dyDescent="0.3">
      <c r="A34" s="444">
        <f t="shared" si="0"/>
        <v>28</v>
      </c>
      <c r="B34" s="445" t="s">
        <v>823</v>
      </c>
      <c r="C34" s="446">
        <f>SUM(ROS!R204:R210)</f>
        <v>0</v>
      </c>
      <c r="D34" s="603">
        <f>SUM(ROS!K204:K210)</f>
        <v>2.9354838709677415E-2</v>
      </c>
      <c r="E34" s="603">
        <f>SUM(ROS!M204:M210)</f>
        <v>0.25854838709677419</v>
      </c>
      <c r="F34" s="608">
        <f>SUM(ROS!N204:N210)</f>
        <v>0.59219999999999995</v>
      </c>
      <c r="G34" s="446">
        <f>SUM(ROS!L204:L210)</f>
        <v>0</v>
      </c>
      <c r="H34" s="509">
        <f t="shared" si="1"/>
        <v>0.88010322580645162</v>
      </c>
      <c r="I34" s="512"/>
      <c r="K34" s="513"/>
    </row>
    <row r="35" spans="1:11" ht="15" customHeight="1" x14ac:dyDescent="0.3">
      <c r="A35" s="444">
        <f t="shared" si="0"/>
        <v>29</v>
      </c>
      <c r="B35" s="445" t="s">
        <v>824</v>
      </c>
      <c r="C35" s="446">
        <f>SUM(ROS!R211:R217)</f>
        <v>0</v>
      </c>
      <c r="D35" s="603">
        <f>SUM(ROS!K211:K217)</f>
        <v>2.9354838709677415E-2</v>
      </c>
      <c r="E35" s="603">
        <f>SUM(ROS!M211:M217)</f>
        <v>0.25854838709677419</v>
      </c>
      <c r="F35" s="608">
        <f>SUM(ROS!N211:N217)</f>
        <v>0.59219999999999995</v>
      </c>
      <c r="G35" s="446">
        <f>SUM(ROS!L211:L217)</f>
        <v>0</v>
      </c>
      <c r="H35" s="509">
        <f t="shared" si="1"/>
        <v>0.88010322580645162</v>
      </c>
      <c r="I35" s="512"/>
      <c r="K35" s="513"/>
    </row>
    <row r="36" spans="1:11" ht="15" customHeight="1" x14ac:dyDescent="0.3">
      <c r="A36" s="444">
        <f t="shared" si="0"/>
        <v>30</v>
      </c>
      <c r="B36" s="445" t="s">
        <v>775</v>
      </c>
      <c r="C36" s="446">
        <f>SUM(ROS!R218:R224)</f>
        <v>0</v>
      </c>
      <c r="D36" s="603">
        <f>SUM(ROS!K218:K224)</f>
        <v>2.9354838709677415E-2</v>
      </c>
      <c r="E36" s="603">
        <f>SUM(ROS!M218:M224)</f>
        <v>0.25854838709677419</v>
      </c>
      <c r="F36" s="608">
        <f>SUM(ROS!N218:N224)</f>
        <v>0.59219999999999995</v>
      </c>
      <c r="G36" s="446">
        <f>SUM(ROS!L218:L224)</f>
        <v>0</v>
      </c>
      <c r="H36" s="509">
        <f t="shared" si="1"/>
        <v>0.88010322580645162</v>
      </c>
      <c r="I36" s="512"/>
      <c r="K36" s="513"/>
    </row>
    <row r="37" spans="1:11" ht="15" customHeight="1" x14ac:dyDescent="0.3">
      <c r="A37" s="444">
        <f t="shared" si="0"/>
        <v>31</v>
      </c>
      <c r="B37" s="445" t="s">
        <v>825</v>
      </c>
      <c r="C37" s="446">
        <f>SUM(ROS!R225:R231)</f>
        <v>0</v>
      </c>
      <c r="D37" s="603">
        <f>SUM(ROS!K225:K231)</f>
        <v>3.0053763440860221E-2</v>
      </c>
      <c r="E37" s="603">
        <f>SUM(ROS!M225:M231)</f>
        <v>0.26470430107526888</v>
      </c>
      <c r="F37" s="608">
        <f>SUM(ROS!N225:N231)</f>
        <v>0.59219999999999995</v>
      </c>
      <c r="G37" s="446">
        <f>SUM(ROS!L225:L231)</f>
        <v>0</v>
      </c>
      <c r="H37" s="509">
        <f t="shared" si="1"/>
        <v>0.88695806451612902</v>
      </c>
      <c r="I37" s="512"/>
      <c r="K37" s="513"/>
    </row>
    <row r="38" spans="1:11" ht="15" customHeight="1" x14ac:dyDescent="0.3">
      <c r="A38" s="444">
        <f t="shared" si="0"/>
        <v>32</v>
      </c>
      <c r="B38" s="445" t="s">
        <v>777</v>
      </c>
      <c r="C38" s="446">
        <f>SUM(ROS!R232:R238)</f>
        <v>0</v>
      </c>
      <c r="D38" s="603">
        <f>SUM(ROS!K232:K238)</f>
        <v>3.0333333333333337E-2</v>
      </c>
      <c r="E38" s="603">
        <f>SUM(ROS!M232:M238)</f>
        <v>0.26716666666666672</v>
      </c>
      <c r="F38" s="608">
        <f>SUM(ROS!N232:N238)</f>
        <v>0.59219999999999995</v>
      </c>
      <c r="G38" s="446">
        <f>SUM(ROS!L232:L238)</f>
        <v>0</v>
      </c>
      <c r="H38" s="509">
        <f t="shared" si="1"/>
        <v>0.88969999999999994</v>
      </c>
      <c r="I38" s="512"/>
      <c r="K38" s="513"/>
    </row>
    <row r="39" spans="1:11" ht="15" customHeight="1" x14ac:dyDescent="0.3">
      <c r="A39" s="444">
        <f t="shared" si="0"/>
        <v>33</v>
      </c>
      <c r="B39" s="445" t="s">
        <v>778</v>
      </c>
      <c r="C39" s="446">
        <f>SUM(ROS!R239:R245)</f>
        <v>0</v>
      </c>
      <c r="D39" s="603">
        <f>SUM(ROS!K239:K245)</f>
        <v>3.0333333333333337E-2</v>
      </c>
      <c r="E39" s="603">
        <f>SUM(ROS!M239:M245)</f>
        <v>0.26716666666666672</v>
      </c>
      <c r="F39" s="608">
        <f>SUM(ROS!N239:N245)</f>
        <v>0.59219999999999995</v>
      </c>
      <c r="G39" s="446">
        <f>SUM(ROS!L239:L245)</f>
        <v>0</v>
      </c>
      <c r="H39" s="509">
        <f t="shared" si="1"/>
        <v>0.88969999999999994</v>
      </c>
      <c r="I39" s="512"/>
      <c r="K39" s="513"/>
    </row>
    <row r="40" spans="1:11" ht="15" customHeight="1" x14ac:dyDescent="0.3">
      <c r="A40" s="444">
        <f t="shared" si="0"/>
        <v>34</v>
      </c>
      <c r="B40" s="445" t="s">
        <v>779</v>
      </c>
      <c r="C40" s="446">
        <f>SUM(ROS!R246:R252)</f>
        <v>0</v>
      </c>
      <c r="D40" s="603">
        <f>SUM(ROS!K246:K252)</f>
        <v>3.0333333333333337E-2</v>
      </c>
      <c r="E40" s="603">
        <f>SUM(ROS!M246:M252)</f>
        <v>0.26716666666666672</v>
      </c>
      <c r="F40" s="608">
        <f>SUM(ROS!N246:N252)</f>
        <v>0.59219999999999995</v>
      </c>
      <c r="G40" s="446">
        <f>SUM(ROS!L246:L252)</f>
        <v>0</v>
      </c>
      <c r="H40" s="509">
        <f t="shared" si="1"/>
        <v>0.88969999999999994</v>
      </c>
      <c r="I40" s="512"/>
      <c r="K40" s="513"/>
    </row>
    <row r="41" spans="1:11" ht="15" customHeight="1" x14ac:dyDescent="0.3">
      <c r="A41" s="444">
        <f t="shared" si="0"/>
        <v>35</v>
      </c>
      <c r="B41" s="445" t="s">
        <v>780</v>
      </c>
      <c r="C41" s="446">
        <f>SUM(ROS!R253:R259)</f>
        <v>0</v>
      </c>
      <c r="D41" s="603">
        <f>SUM(ROS!K253:K259)</f>
        <v>2.3139784946236554E-2</v>
      </c>
      <c r="E41" s="603">
        <f>SUM(ROS!M253:M259)</f>
        <v>0.24992473118279568</v>
      </c>
      <c r="F41" s="608">
        <f>SUM(ROS!N253:N259)</f>
        <v>0.46529999999999999</v>
      </c>
      <c r="G41" s="446">
        <f>SUM(ROS!L253:L259)</f>
        <v>0</v>
      </c>
      <c r="H41" s="509">
        <f t="shared" si="1"/>
        <v>0.7383645161290322</v>
      </c>
      <c r="I41" s="512"/>
      <c r="K41" s="513"/>
    </row>
    <row r="42" spans="1:11" ht="15" customHeight="1" x14ac:dyDescent="0.3">
      <c r="A42" s="444">
        <f t="shared" si="0"/>
        <v>36</v>
      </c>
      <c r="B42" s="445" t="s">
        <v>781</v>
      </c>
      <c r="C42" s="446">
        <f>SUM(ROS!R260:R266)</f>
        <v>3.1548079154487576</v>
      </c>
      <c r="D42" s="603">
        <f>SUM(ROS!K260:K266)</f>
        <v>1.3548387096774195E-2</v>
      </c>
      <c r="E42" s="603">
        <f>SUM(ROS!M260:M266)</f>
        <v>0.22693548387096771</v>
      </c>
      <c r="F42" s="608">
        <f>SUM(ROS!N260:N266)</f>
        <v>0.29609999999999997</v>
      </c>
      <c r="G42" s="446">
        <f>SUM(ROS!L260:L266)</f>
        <v>0</v>
      </c>
      <c r="H42" s="509">
        <f t="shared" si="1"/>
        <v>3.6913917864164998</v>
      </c>
      <c r="I42" s="512"/>
      <c r="K42" s="513"/>
    </row>
    <row r="43" spans="1:11" ht="15" customHeight="1" x14ac:dyDescent="0.3">
      <c r="A43" s="444">
        <f t="shared" si="0"/>
        <v>37</v>
      </c>
      <c r="B43" s="445" t="s">
        <v>782</v>
      </c>
      <c r="C43" s="446">
        <f>SUM(ROS!R267:R273)</f>
        <v>3.9250955590406251</v>
      </c>
      <c r="D43" s="603">
        <f>SUM(ROS!K267:K273)</f>
        <v>1.3548387096774195E-2</v>
      </c>
      <c r="E43" s="603">
        <f>SUM(ROS!M267:M273)</f>
        <v>0.22693548387096771</v>
      </c>
      <c r="F43" s="608">
        <f>SUM(ROS!N267:N273)</f>
        <v>0.29609999999999997</v>
      </c>
      <c r="G43" s="446">
        <f>SUM(ROS!L267:L273)</f>
        <v>0</v>
      </c>
      <c r="H43" s="509">
        <f t="shared" si="1"/>
        <v>4.4616794300083669</v>
      </c>
      <c r="I43" s="512"/>
      <c r="K43" s="513"/>
    </row>
    <row r="44" spans="1:11" ht="15" customHeight="1" x14ac:dyDescent="0.3">
      <c r="A44" s="444">
        <f t="shared" si="0"/>
        <v>38</v>
      </c>
      <c r="B44" s="445" t="s">
        <v>783</v>
      </c>
      <c r="C44" s="446">
        <f>SUM(ROS!R274:R280)</f>
        <v>5.238952962057394</v>
      </c>
      <c r="D44" s="603">
        <f>SUM(ROS!K274:K280)</f>
        <v>1.3548387096774195E-2</v>
      </c>
      <c r="E44" s="603">
        <f>SUM(ROS!M274:M280)</f>
        <v>0.22693548387096771</v>
      </c>
      <c r="F44" s="608">
        <f>SUM(ROS!N274:N280)</f>
        <v>0.29609999999999997</v>
      </c>
      <c r="G44" s="446">
        <f>SUM(ROS!L274:L280)</f>
        <v>0</v>
      </c>
      <c r="H44" s="509">
        <f t="shared" si="1"/>
        <v>5.7755368330251358</v>
      </c>
      <c r="I44" s="512"/>
      <c r="K44" s="513"/>
    </row>
    <row r="45" spans="1:11" ht="15" customHeight="1" x14ac:dyDescent="0.3">
      <c r="A45" s="444">
        <f t="shared" si="0"/>
        <v>39</v>
      </c>
      <c r="B45" s="445" t="s">
        <v>784</v>
      </c>
      <c r="C45" s="446">
        <f>SUM(ROS!R281:R287)</f>
        <v>6.3127219219045116</v>
      </c>
      <c r="D45" s="603">
        <f>SUM(ROS!K281:K287)</f>
        <v>1.3548387096774195E-2</v>
      </c>
      <c r="E45" s="603">
        <f>SUM(ROS!M281:M287)</f>
        <v>0.22693548387096771</v>
      </c>
      <c r="F45" s="608">
        <f>SUM(ROS!N281:N287)</f>
        <v>0.29609999999999997</v>
      </c>
      <c r="G45" s="446">
        <f>SUM(ROS!L281:L287)</f>
        <v>0</v>
      </c>
      <c r="H45" s="509">
        <f t="shared" si="1"/>
        <v>6.8493057928722534</v>
      </c>
      <c r="I45" s="512"/>
      <c r="K45" s="513"/>
    </row>
    <row r="46" spans="1:11" ht="15" customHeight="1" x14ac:dyDescent="0.3">
      <c r="A46" s="444">
        <f t="shared" si="0"/>
        <v>40</v>
      </c>
      <c r="B46" s="445" t="s">
        <v>785</v>
      </c>
      <c r="C46" s="446">
        <f>SUM(ROS!R288:R294)</f>
        <v>2.7291257291553985</v>
      </c>
      <c r="D46" s="603">
        <f>SUM(ROS!K288:K294)</f>
        <v>1.3548387096774195E-2</v>
      </c>
      <c r="E46" s="603">
        <f>SUM(ROS!M288:M294)</f>
        <v>0.26080645161290328</v>
      </c>
      <c r="F46" s="608">
        <f>SUM(ROS!N288:N294)</f>
        <v>0.29609999999999997</v>
      </c>
      <c r="G46" s="446">
        <f>SUM(ROS!L288:L294)</f>
        <v>0</v>
      </c>
      <c r="H46" s="509">
        <f t="shared" si="1"/>
        <v>3.299580567865076</v>
      </c>
      <c r="I46" s="512"/>
      <c r="K46" s="513"/>
    </row>
    <row r="47" spans="1:11" ht="15" customHeight="1" x14ac:dyDescent="0.3">
      <c r="A47" s="444">
        <f t="shared" si="0"/>
        <v>41</v>
      </c>
      <c r="B47" s="445" t="s">
        <v>786</v>
      </c>
      <c r="C47" s="446">
        <f>SUM(ROS!R295:R301)</f>
        <v>3.0934425131306429</v>
      </c>
      <c r="D47" s="603">
        <f>SUM(ROS!K295:K301)</f>
        <v>1.3548387096774195E-2</v>
      </c>
      <c r="E47" s="603">
        <f>SUM(ROS!M295:M301)</f>
        <v>0.26080645161290328</v>
      </c>
      <c r="F47" s="608">
        <f>SUM(ROS!N295:N301)</f>
        <v>0.29609999999999997</v>
      </c>
      <c r="G47" s="446">
        <f>SUM(ROS!L295:L301)</f>
        <v>0</v>
      </c>
      <c r="H47" s="509">
        <f t="shared" si="1"/>
        <v>3.6638973518403204</v>
      </c>
      <c r="I47" s="512"/>
      <c r="K47" s="513"/>
    </row>
    <row r="48" spans="1:11" ht="15" customHeight="1" x14ac:dyDescent="0.3">
      <c r="A48" s="444">
        <f t="shared" si="0"/>
        <v>42</v>
      </c>
      <c r="B48" s="445" t="s">
        <v>787</v>
      </c>
      <c r="C48" s="446">
        <f>SUM(ROS!R302:R308)</f>
        <v>3.4713683659343566</v>
      </c>
      <c r="D48" s="603">
        <f>SUM(ROS!K302:K308)</f>
        <v>1.3548387096774195E-2</v>
      </c>
      <c r="E48" s="603">
        <f>SUM(ROS!M302:M308)</f>
        <v>0.26080645161290328</v>
      </c>
      <c r="F48" s="608">
        <f>SUM(ROS!N302:N308)</f>
        <v>0.29609999999999997</v>
      </c>
      <c r="G48" s="446">
        <f>SUM(ROS!L302:L308)</f>
        <v>0</v>
      </c>
      <c r="H48" s="509">
        <f t="shared" si="1"/>
        <v>4.0418232046440341</v>
      </c>
      <c r="I48" s="512"/>
      <c r="K48" s="513"/>
    </row>
    <row r="49" spans="1:11" ht="15" customHeight="1" x14ac:dyDescent="0.3">
      <c r="A49" s="444">
        <f t="shared" si="0"/>
        <v>43</v>
      </c>
      <c r="B49" s="445" t="s">
        <v>788</v>
      </c>
      <c r="C49" s="446">
        <f>SUM(ROS!R309:R315)</f>
        <v>3.6674056738666883</v>
      </c>
      <c r="D49" s="603">
        <f>SUM(ROS!K309:K315)</f>
        <v>1.3548387096774195E-2</v>
      </c>
      <c r="E49" s="603">
        <f>SUM(ROS!M309:M315)</f>
        <v>0.26080645161290328</v>
      </c>
      <c r="F49" s="608">
        <f>SUM(ROS!N309:N315)</f>
        <v>0.29609999999999997</v>
      </c>
      <c r="G49" s="446">
        <f>SUM(ROS!L309:L315)</f>
        <v>0</v>
      </c>
      <c r="H49" s="509">
        <f t="shared" si="1"/>
        <v>4.2378605125763658</v>
      </c>
      <c r="I49" s="512"/>
      <c r="K49" s="513"/>
    </row>
    <row r="50" spans="1:11" ht="15" customHeight="1" x14ac:dyDescent="0.3">
      <c r="A50" s="444">
        <f t="shared" si="0"/>
        <v>44</v>
      </c>
      <c r="B50" s="445" t="s">
        <v>789</v>
      </c>
      <c r="C50" s="446">
        <f>SUM(ROS!R316:R322)</f>
        <v>0.16166686751004078</v>
      </c>
      <c r="D50" s="603">
        <f>SUM(ROS!K316:K322)</f>
        <v>1.3806451612903226E-2</v>
      </c>
      <c r="E50" s="603">
        <f>SUM(ROS!M316:M322)</f>
        <v>0.26577419354838711</v>
      </c>
      <c r="F50" s="608">
        <f>SUM(ROS!N316:N322)</f>
        <v>0.29609999999999997</v>
      </c>
      <c r="G50" s="446">
        <f>SUM(ROS!L316:L322)</f>
        <v>0</v>
      </c>
      <c r="H50" s="509">
        <f t="shared" si="1"/>
        <v>0.73734751267133114</v>
      </c>
      <c r="I50" s="512"/>
      <c r="K50" s="513"/>
    </row>
    <row r="51" spans="1:11" ht="15" customHeight="1" x14ac:dyDescent="0.3">
      <c r="A51" s="444">
        <f t="shared" si="0"/>
        <v>45</v>
      </c>
      <c r="B51" s="445" t="s">
        <v>790</v>
      </c>
      <c r="C51" s="446">
        <f>SUM(ROS!R323:R329)</f>
        <v>8.4804206763701151E-2</v>
      </c>
      <c r="D51" s="603">
        <f>SUM(ROS!K323:K329)</f>
        <v>1.4E-2</v>
      </c>
      <c r="E51" s="603">
        <f>SUM(ROS!M323:M329)</f>
        <v>0.26950000000000002</v>
      </c>
      <c r="F51" s="608">
        <f>SUM(ROS!N323:N329)</f>
        <v>0.29609999999999997</v>
      </c>
      <c r="G51" s="446">
        <f>SUM(ROS!L323:L329)</f>
        <v>0</v>
      </c>
      <c r="H51" s="509">
        <f t="shared" si="1"/>
        <v>0.66440420676370116</v>
      </c>
      <c r="I51" s="512"/>
      <c r="K51" s="513"/>
    </row>
    <row r="52" spans="1:11" ht="15" customHeight="1" x14ac:dyDescent="0.3">
      <c r="A52" s="444">
        <f t="shared" si="0"/>
        <v>46</v>
      </c>
      <c r="B52" s="445" t="s">
        <v>791</v>
      </c>
      <c r="C52" s="446">
        <f>SUM(ROS!R330:R336)</f>
        <v>0</v>
      </c>
      <c r="D52" s="603">
        <f>SUM(ROS!K330:K336)</f>
        <v>1.4E-2</v>
      </c>
      <c r="E52" s="603">
        <f>SUM(ROS!M330:M336)</f>
        <v>0.26950000000000002</v>
      </c>
      <c r="F52" s="608">
        <f>SUM(ROS!N330:N336)</f>
        <v>0.29609999999999997</v>
      </c>
      <c r="G52" s="446">
        <f>SUM(ROS!L330:L336)</f>
        <v>0</v>
      </c>
      <c r="H52" s="509">
        <f t="shared" si="1"/>
        <v>0.5796</v>
      </c>
      <c r="I52" s="512"/>
      <c r="K52" s="513"/>
    </row>
    <row r="53" spans="1:11" ht="15" customHeight="1" x14ac:dyDescent="0.3">
      <c r="A53" s="444">
        <f t="shared" si="0"/>
        <v>47</v>
      </c>
      <c r="B53" s="445" t="s">
        <v>792</v>
      </c>
      <c r="C53" s="446">
        <f>SUM(ROS!R337:R343)</f>
        <v>0</v>
      </c>
      <c r="D53" s="603">
        <f>SUM(ROS!K337:K343)</f>
        <v>1.4E-2</v>
      </c>
      <c r="E53" s="603">
        <f>SUM(ROS!M337:M343)</f>
        <v>0.26950000000000002</v>
      </c>
      <c r="F53" s="608">
        <f>SUM(ROS!N337:N343)</f>
        <v>0.29609999999999997</v>
      </c>
      <c r="G53" s="446">
        <f>SUM(ROS!L337:L343)</f>
        <v>0</v>
      </c>
      <c r="H53" s="509">
        <f t="shared" si="1"/>
        <v>0.5796</v>
      </c>
      <c r="I53" s="512"/>
      <c r="K53" s="513"/>
    </row>
    <row r="54" spans="1:11" ht="15" customHeight="1" x14ac:dyDescent="0.3">
      <c r="A54" s="444">
        <f t="shared" si="0"/>
        <v>48</v>
      </c>
      <c r="B54" s="445" t="s">
        <v>793</v>
      </c>
      <c r="C54" s="446">
        <f>SUM(ROS!R344:R350)</f>
        <v>1.525480439947235</v>
      </c>
      <c r="D54" s="603">
        <f>SUM(ROS!K344:K350)</f>
        <v>1.3870967741935485E-2</v>
      </c>
      <c r="E54" s="603">
        <f>SUM(ROS!M344:M350)</f>
        <v>0.26701612903225808</v>
      </c>
      <c r="F54" s="608">
        <f>SUM(ROS!N344:N350)</f>
        <v>0.29609999999999997</v>
      </c>
      <c r="G54" s="446">
        <f>SUM(ROS!L344:L350)</f>
        <v>0</v>
      </c>
      <c r="H54" s="509">
        <f t="shared" si="1"/>
        <v>2.1024675367214285</v>
      </c>
      <c r="I54" s="512"/>
      <c r="K54" s="513"/>
    </row>
    <row r="55" spans="1:11" ht="15" customHeight="1" x14ac:dyDescent="0.3">
      <c r="A55" s="444">
        <f t="shared" si="0"/>
        <v>49</v>
      </c>
      <c r="B55" s="445" t="s">
        <v>794</v>
      </c>
      <c r="C55" s="446">
        <f>SUM(ROS!R351:R357)</f>
        <v>0.93422569642279396</v>
      </c>
      <c r="D55" s="603">
        <f>SUM(ROS!K351:K357)</f>
        <v>1.3548387096774195E-2</v>
      </c>
      <c r="E55" s="603">
        <f>SUM(ROS!M351:M357)</f>
        <v>0.26080645161290328</v>
      </c>
      <c r="F55" s="608">
        <f>SUM(ROS!N351:N357)</f>
        <v>0.29609999999999997</v>
      </c>
      <c r="G55" s="446">
        <f>SUM(ROS!L351:L357)</f>
        <v>0</v>
      </c>
      <c r="H55" s="509">
        <f t="shared" si="1"/>
        <v>1.5046805351324715</v>
      </c>
      <c r="I55" s="512"/>
      <c r="K55" s="513"/>
    </row>
    <row r="56" spans="1:11" ht="15" customHeight="1" x14ac:dyDescent="0.3">
      <c r="A56" s="444">
        <f t="shared" si="0"/>
        <v>50</v>
      </c>
      <c r="B56" s="445" t="s">
        <v>826</v>
      </c>
      <c r="C56" s="446">
        <f>SUM(ROS!R358:R364)</f>
        <v>0.42398285165529592</v>
      </c>
      <c r="D56" s="603">
        <f>SUM(ROS!K358:K364)</f>
        <v>1.3548387096774195E-2</v>
      </c>
      <c r="E56" s="603">
        <f>SUM(ROS!M358:M364)</f>
        <v>0.26080645161290328</v>
      </c>
      <c r="F56" s="608">
        <f>SUM(ROS!N358:N364)</f>
        <v>0.29609999999999997</v>
      </c>
      <c r="G56" s="446">
        <f>SUM(ROS!L358:L364)</f>
        <v>0</v>
      </c>
      <c r="H56" s="509">
        <f t="shared" si="1"/>
        <v>0.99443769036497343</v>
      </c>
      <c r="I56" s="512"/>
      <c r="K56" s="513"/>
    </row>
    <row r="57" spans="1:11" ht="15" customHeight="1" x14ac:dyDescent="0.3">
      <c r="A57" s="444">
        <f t="shared" si="0"/>
        <v>51</v>
      </c>
      <c r="B57" s="445" t="s">
        <v>827</v>
      </c>
      <c r="C57" s="446">
        <f>SUM(ROS!R365:R371)</f>
        <v>0.17758139431894263</v>
      </c>
      <c r="D57" s="603">
        <f>SUM(ROS!K365:K371)</f>
        <v>1.3548387096774195E-2</v>
      </c>
      <c r="E57" s="603">
        <f>SUM(ROS!M365:M371)</f>
        <v>0.26080645161290328</v>
      </c>
      <c r="F57" s="608">
        <f>SUM(ROS!N365:N371)</f>
        <v>0.29609999999999997</v>
      </c>
      <c r="G57" s="446">
        <f>SUM(ROS!L365:L371)</f>
        <v>0</v>
      </c>
      <c r="H57" s="509">
        <f t="shared" si="1"/>
        <v>0.7480362330286201</v>
      </c>
      <c r="I57" s="512"/>
      <c r="K57" s="513"/>
    </row>
    <row r="58" spans="1:11" ht="15" customHeight="1" x14ac:dyDescent="0.3">
      <c r="A58" s="452">
        <f t="shared" si="0"/>
        <v>52</v>
      </c>
      <c r="B58" s="453" t="s">
        <v>828</v>
      </c>
      <c r="C58" s="454">
        <f>SUM(ROS!R372:R379)</f>
        <v>7.1946285798670396E-3</v>
      </c>
      <c r="D58" s="604">
        <f>SUM(ROS!K372:K379)</f>
        <v>1.5483870967741937E-2</v>
      </c>
      <c r="E58" s="604">
        <f>SUM(ROS!M372:M379)</f>
        <v>0.29806451612903229</v>
      </c>
      <c r="F58" s="609">
        <f>SUM(ROS!N372:N379)</f>
        <v>0.33839999999999998</v>
      </c>
      <c r="G58" s="454">
        <f>SUM(ROS!L372:L379)</f>
        <v>0</v>
      </c>
      <c r="H58" s="514">
        <f t="shared" si="1"/>
        <v>0.65914301567664124</v>
      </c>
      <c r="I58" s="512"/>
      <c r="K58" s="513"/>
    </row>
    <row r="59" spans="1:11" ht="15" customHeight="1" x14ac:dyDescent="0.3">
      <c r="A59" s="778" t="s">
        <v>879</v>
      </c>
      <c r="B59" s="779"/>
      <c r="C59" s="515">
        <f t="shared" ref="C59:H59" si="2">SUM(C7:C58)</f>
        <v>35.045440547770959</v>
      </c>
      <c r="D59" s="515">
        <f t="shared" si="2"/>
        <v>1.1400000000000003</v>
      </c>
      <c r="E59" s="515">
        <f t="shared" si="2"/>
        <v>13.850000000000009</v>
      </c>
      <c r="F59" s="515">
        <f t="shared" si="2"/>
        <v>23.095799999999979</v>
      </c>
      <c r="G59" s="515">
        <f t="shared" si="2"/>
        <v>0</v>
      </c>
      <c r="H59" s="515">
        <f t="shared" si="2"/>
        <v>73.131240547770972</v>
      </c>
      <c r="I59" s="516"/>
      <c r="J59" s="517"/>
      <c r="K59" s="518"/>
    </row>
    <row r="60" spans="1:11" ht="8.25" customHeight="1" x14ac:dyDescent="0.3">
      <c r="A60" s="519"/>
      <c r="B60" s="436"/>
      <c r="C60" s="436"/>
      <c r="D60" s="436"/>
      <c r="E60" s="436"/>
      <c r="F60" s="436"/>
      <c r="G60" s="436"/>
      <c r="H60" s="436"/>
    </row>
    <row r="61" spans="1:11" ht="14.25" customHeight="1" x14ac:dyDescent="0.3">
      <c r="A61" s="520" t="s">
        <v>880</v>
      </c>
      <c r="B61" s="436"/>
      <c r="C61" s="436"/>
      <c r="D61" s="436"/>
      <c r="E61" s="436"/>
      <c r="F61" s="436"/>
      <c r="G61" s="436"/>
      <c r="H61" s="436"/>
    </row>
  </sheetData>
  <sheetProtection formatCells="0" formatColumns="0"/>
  <mergeCells count="9">
    <mergeCell ref="A1:K1"/>
    <mergeCell ref="A2:K2"/>
    <mergeCell ref="A3:K3"/>
    <mergeCell ref="A59:B59"/>
    <mergeCell ref="A4:H4"/>
    <mergeCell ref="B5:B6"/>
    <mergeCell ref="C5:H5"/>
    <mergeCell ref="I5:K6"/>
    <mergeCell ref="I7:K7"/>
  </mergeCells>
  <phoneticPr fontId="0" type="noConversion"/>
  <pageMargins left="0.70866141732283472" right="0" top="0.55118110236220474" bottom="0.15748031496062992" header="0.31496062992125984" footer="0.31496062992125984"/>
  <pageSetup paperSize="9" scale="9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3A85-C567-7A48-A304-BCCB1BB454E3}">
  <sheetPr>
    <tabColor rgb="FFFFC000"/>
  </sheetPr>
  <dimension ref="A1:AD61"/>
  <sheetViews>
    <sheetView showGridLines="0" zoomScaleNormal="100" zoomScaleSheetLayoutView="70" workbookViewId="0">
      <pane xSplit="3" ySplit="7" topLeftCell="D14" activePane="bottomRight" state="frozen"/>
      <selection activeCell="K30" sqref="K30"/>
      <selection pane="topRight" activeCell="K30" sqref="K30"/>
      <selection pane="bottomLeft" activeCell="K30" sqref="K30"/>
      <selection pane="bottomRight" activeCell="T41" sqref="T41"/>
    </sheetView>
  </sheetViews>
  <sheetFormatPr baseColWidth="10" defaultColWidth="9.1640625" defaultRowHeight="17" x14ac:dyDescent="0.3"/>
  <cols>
    <col min="1" max="1" width="7" style="522" customWidth="1"/>
    <col min="2" max="2" width="9.1640625" style="522"/>
    <col min="3" max="3" width="9.83203125" style="522" bestFit="1" customWidth="1"/>
    <col min="4" max="17" width="9.1640625" style="522"/>
    <col min="18" max="18" width="18.83203125" style="522" customWidth="1"/>
    <col min="19" max="22" width="10.33203125" style="522" bestFit="1" customWidth="1"/>
    <col min="23" max="24" width="11.5" style="522" customWidth="1"/>
    <col min="25" max="25" width="10.33203125" style="522" bestFit="1" customWidth="1"/>
    <col min="26" max="26" width="11.83203125" style="522" customWidth="1"/>
    <col min="27" max="27" width="11.5" style="522" customWidth="1"/>
    <col min="28" max="29" width="10.83203125" style="522" customWidth="1"/>
    <col min="30" max="30" width="11" style="522" customWidth="1"/>
    <col min="31" max="16384" width="9.1640625" style="522"/>
  </cols>
  <sheetData>
    <row r="1" spans="1:30" x14ac:dyDescent="0.3">
      <c r="A1" s="799" t="s">
        <v>881</v>
      </c>
      <c r="B1" s="799"/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799"/>
      <c r="Q1" s="799"/>
      <c r="R1" s="799"/>
      <c r="S1" s="799" t="str">
        <f>A1&amp;" "&amp;F2&amp;H2</f>
        <v>สถิติข้อมูลพื้นที่การเพาะปลูกข้าวนาปรัง อ่างเก็บน้ำมูลบน</v>
      </c>
      <c r="T1" s="799"/>
      <c r="U1" s="799"/>
      <c r="V1" s="799"/>
      <c r="W1" s="799"/>
      <c r="X1" s="799"/>
      <c r="Y1" s="799"/>
      <c r="Z1" s="799"/>
      <c r="AA1" s="799"/>
      <c r="AB1" s="799"/>
      <c r="AC1" s="799"/>
      <c r="AD1" s="799"/>
    </row>
    <row r="2" spans="1:30" s="523" customFormat="1" x14ac:dyDescent="0.3">
      <c r="F2" s="807" t="str">
        <f>fill_data!A1</f>
        <v>อ่างเก็บน้ำ</v>
      </c>
      <c r="G2" s="807"/>
      <c r="H2" s="796" t="str">
        <f>fill_data!D1</f>
        <v>มูลบน</v>
      </c>
      <c r="I2" s="796"/>
      <c r="J2" s="523" t="str">
        <f>fill_data!A4</f>
        <v>จังหวัด</v>
      </c>
      <c r="K2" s="796" t="str">
        <f>fill_data!C4</f>
        <v>นครราชสีมา</v>
      </c>
      <c r="L2" s="796"/>
    </row>
    <row r="3" spans="1:30" x14ac:dyDescent="0.3">
      <c r="E3" s="523" t="s">
        <v>664</v>
      </c>
      <c r="G3" s="808">
        <f>fill_data!R15</f>
        <v>45798</v>
      </c>
      <c r="H3" s="808"/>
      <c r="I3" s="523" t="s">
        <v>665</v>
      </c>
      <c r="J3" s="523" t="str">
        <f>fill_data!Q13</f>
        <v>ปริมาณน้ำที่ระดับเก็บกัก</v>
      </c>
      <c r="M3" s="524">
        <f>fill_data!R13</f>
        <v>141</v>
      </c>
      <c r="N3" s="523" t="s">
        <v>831</v>
      </c>
    </row>
    <row r="5" spans="1:30" s="523" customFormat="1" x14ac:dyDescent="0.3">
      <c r="A5" s="806" t="s">
        <v>832</v>
      </c>
      <c r="B5" s="798" t="s">
        <v>833</v>
      </c>
      <c r="C5" s="798"/>
      <c r="D5" s="795" t="s">
        <v>834</v>
      </c>
      <c r="E5" s="795"/>
      <c r="F5" s="795"/>
      <c r="G5" s="795"/>
      <c r="H5" s="795"/>
      <c r="I5" s="795"/>
      <c r="J5" s="795"/>
      <c r="K5" s="795"/>
      <c r="L5" s="795"/>
      <c r="M5" s="795"/>
      <c r="N5" s="795"/>
      <c r="O5" s="795"/>
      <c r="P5" s="795"/>
      <c r="Q5" s="795"/>
      <c r="R5" s="798" t="s">
        <v>431</v>
      </c>
      <c r="S5" s="800" t="s">
        <v>835</v>
      </c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2"/>
    </row>
    <row r="6" spans="1:30" s="523" customFormat="1" x14ac:dyDescent="0.3">
      <c r="A6" s="806"/>
      <c r="B6" s="798"/>
      <c r="C6" s="798"/>
      <c r="D6" s="795" t="s">
        <v>836</v>
      </c>
      <c r="E6" s="795"/>
      <c r="F6" s="795" t="s">
        <v>837</v>
      </c>
      <c r="G6" s="795"/>
      <c r="H6" s="795" t="s">
        <v>838</v>
      </c>
      <c r="I6" s="795"/>
      <c r="J6" s="795" t="s">
        <v>839</v>
      </c>
      <c r="K6" s="795"/>
      <c r="L6" s="795" t="s">
        <v>840</v>
      </c>
      <c r="M6" s="795"/>
      <c r="N6" s="795" t="s">
        <v>841</v>
      </c>
      <c r="O6" s="795"/>
      <c r="P6" s="803" t="s">
        <v>842</v>
      </c>
      <c r="Q6" s="803"/>
      <c r="R6" s="798"/>
      <c r="S6" s="795" t="s">
        <v>836</v>
      </c>
      <c r="T6" s="795"/>
      <c r="U6" s="795" t="s">
        <v>837</v>
      </c>
      <c r="V6" s="795"/>
      <c r="W6" s="795" t="s">
        <v>838</v>
      </c>
      <c r="X6" s="795"/>
      <c r="Y6" s="795" t="s">
        <v>839</v>
      </c>
      <c r="Z6" s="795"/>
      <c r="AA6" s="795" t="s">
        <v>840</v>
      </c>
      <c r="AB6" s="795"/>
      <c r="AC6" s="795" t="str">
        <f>P6</f>
        <v>กำหนดแผน</v>
      </c>
      <c r="AD6" s="795"/>
    </row>
    <row r="7" spans="1:30" s="523" customFormat="1" x14ac:dyDescent="0.3">
      <c r="A7" s="806"/>
      <c r="B7" s="525" t="s">
        <v>164</v>
      </c>
      <c r="C7" s="525" t="s">
        <v>165</v>
      </c>
      <c r="D7" s="525" t="s">
        <v>843</v>
      </c>
      <c r="E7" s="525" t="s">
        <v>844</v>
      </c>
      <c r="F7" s="525" t="s">
        <v>843</v>
      </c>
      <c r="G7" s="525" t="s">
        <v>844</v>
      </c>
      <c r="H7" s="525" t="s">
        <v>843</v>
      </c>
      <c r="I7" s="525" t="s">
        <v>844</v>
      </c>
      <c r="J7" s="525" t="s">
        <v>843</v>
      </c>
      <c r="K7" s="525" t="s">
        <v>844</v>
      </c>
      <c r="L7" s="525" t="s">
        <v>843</v>
      </c>
      <c r="M7" s="525" t="s">
        <v>844</v>
      </c>
      <c r="N7" s="525" t="s">
        <v>843</v>
      </c>
      <c r="O7" s="525" t="s">
        <v>844</v>
      </c>
      <c r="P7" s="525" t="s">
        <v>843</v>
      </c>
      <c r="Q7" s="525" t="s">
        <v>844</v>
      </c>
      <c r="R7" s="798"/>
      <c r="S7" s="525" t="s">
        <v>845</v>
      </c>
      <c r="T7" s="525" t="s">
        <v>846</v>
      </c>
      <c r="U7" s="525" t="s">
        <v>847</v>
      </c>
      <c r="V7" s="525" t="s">
        <v>848</v>
      </c>
      <c r="W7" s="525" t="s">
        <v>849</v>
      </c>
      <c r="X7" s="525" t="s">
        <v>850</v>
      </c>
      <c r="Y7" s="525" t="s">
        <v>851</v>
      </c>
      <c r="Z7" s="525" t="s">
        <v>852</v>
      </c>
      <c r="AA7" s="525" t="s">
        <v>853</v>
      </c>
      <c r="AB7" s="525" t="s">
        <v>854</v>
      </c>
      <c r="AC7" s="525" t="s">
        <v>855</v>
      </c>
      <c r="AD7" s="525" t="s">
        <v>856</v>
      </c>
    </row>
    <row r="8" spans="1:30" x14ac:dyDescent="0.3">
      <c r="A8" s="526">
        <v>1</v>
      </c>
      <c r="B8" s="527">
        <v>39753</v>
      </c>
      <c r="C8" s="527">
        <v>39759</v>
      </c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529"/>
      <c r="O8" s="529"/>
      <c r="P8" s="529"/>
      <c r="Q8" s="529"/>
      <c r="R8" s="530"/>
      <c r="S8" s="531">
        <f t="shared" ref="S8:Z8" si="0">D8</f>
        <v>0</v>
      </c>
      <c r="T8" s="531">
        <f t="shared" si="0"/>
        <v>0</v>
      </c>
      <c r="U8" s="531">
        <f t="shared" si="0"/>
        <v>0</v>
      </c>
      <c r="V8" s="531">
        <f t="shared" si="0"/>
        <v>0</v>
      </c>
      <c r="W8" s="531">
        <f t="shared" si="0"/>
        <v>0</v>
      </c>
      <c r="X8" s="531">
        <f t="shared" si="0"/>
        <v>0</v>
      </c>
      <c r="Y8" s="531">
        <f t="shared" si="0"/>
        <v>0</v>
      </c>
      <c r="Z8" s="531">
        <f t="shared" si="0"/>
        <v>0</v>
      </c>
      <c r="AA8" s="531">
        <f>L8</f>
        <v>0</v>
      </c>
      <c r="AB8" s="531">
        <f>M8</f>
        <v>0</v>
      </c>
      <c r="AC8" s="531">
        <f>P8</f>
        <v>0</v>
      </c>
      <c r="AD8" s="531">
        <f>Q8</f>
        <v>0</v>
      </c>
    </row>
    <row r="9" spans="1:30" x14ac:dyDescent="0.3">
      <c r="A9" s="532">
        <v>2</v>
      </c>
      <c r="B9" s="533">
        <v>39760</v>
      </c>
      <c r="C9" s="533">
        <v>39766</v>
      </c>
      <c r="D9" s="528"/>
      <c r="E9" s="528"/>
      <c r="F9" s="528"/>
      <c r="G9" s="528"/>
      <c r="H9" s="528"/>
      <c r="I9" s="528"/>
      <c r="J9" s="528"/>
      <c r="K9" s="528"/>
      <c r="L9" s="528"/>
      <c r="M9" s="528"/>
      <c r="N9" s="534"/>
      <c r="O9" s="534"/>
      <c r="P9" s="534"/>
      <c r="Q9" s="534"/>
      <c r="R9" s="535"/>
      <c r="S9" s="531">
        <f>IF(AND(S8=D$60,T8=E$60),"",IF(S8="","",S8+D9))</f>
        <v>0</v>
      </c>
      <c r="T9" s="531">
        <f>IF(AND(S8=D$60,T8=E$60),"",IF(T8="","",T8+E9))</f>
        <v>0</v>
      </c>
      <c r="U9" s="531">
        <f>IF(AND(U8=F$60,V8=G$60),"",IF(U8="","",U8+F9))</f>
        <v>0</v>
      </c>
      <c r="V9" s="531">
        <f>IF(AND(U8=F$60,V8=G$60),"",IF(V8="","",V8+G9))</f>
        <v>0</v>
      </c>
      <c r="W9" s="531">
        <f>IF(AND(W8=H$60,X8=I$60),"",IF(W8="","",W8+H9))</f>
        <v>0</v>
      </c>
      <c r="X9" s="531">
        <f>IF(AND(W8=H$60,X8=I$60),"",IF(X8="","",X8+I9))</f>
        <v>0</v>
      </c>
      <c r="Y9" s="531">
        <f>IF(AND(Y8=J$60,Z8=K$60),"",IF(Y8="","",Y8+J9))</f>
        <v>0</v>
      </c>
      <c r="Z9" s="531">
        <f>IF(AND(Y8=J$60,Z8=K$60),"",IF(Z8="","",Z8+K9))</f>
        <v>0</v>
      </c>
      <c r="AA9" s="531">
        <f>IF(AND(AA8=L$60,AB8=M$60),"",IF(AA8="","",AA8+L9))</f>
        <v>0</v>
      </c>
      <c r="AB9" s="531">
        <f>IF(AND(AA8=L$60,AB8=M$60),"",IF(AB8="","",AB8+M9))</f>
        <v>0</v>
      </c>
      <c r="AC9" s="531">
        <f>IF(AND(AC8=P$60,AD8=Q$60),"",IF(AC8="","",AC8+P9))</f>
        <v>0</v>
      </c>
      <c r="AD9" s="531">
        <f>IF(AND(AC8=P$60,AD8=Q$60),"",IF(AD8="","",AD8+Q9))</f>
        <v>0</v>
      </c>
    </row>
    <row r="10" spans="1:30" x14ac:dyDescent="0.3">
      <c r="A10" s="532">
        <v>3</v>
      </c>
      <c r="B10" s="533">
        <v>39767</v>
      </c>
      <c r="C10" s="533">
        <v>39773</v>
      </c>
      <c r="D10" s="528"/>
      <c r="E10" s="528"/>
      <c r="F10" s="528"/>
      <c r="G10" s="528"/>
      <c r="H10" s="528"/>
      <c r="I10" s="528"/>
      <c r="J10" s="528"/>
      <c r="K10" s="528"/>
      <c r="L10" s="528"/>
      <c r="M10" s="528"/>
      <c r="N10" s="534"/>
      <c r="O10" s="534"/>
      <c r="P10" s="534"/>
      <c r="Q10" s="534"/>
      <c r="R10" s="535"/>
      <c r="S10" s="531">
        <f t="shared" ref="S10:S59" si="1">IF(AND(S9=D$60,T9=E$60),"",IF(S9="","",S9+D10))</f>
        <v>0</v>
      </c>
      <c r="T10" s="531">
        <f t="shared" ref="T10:T59" si="2">IF(AND(S9=D$60,T9=E$60),"",IF(T9="","",T9+E10))</f>
        <v>0</v>
      </c>
      <c r="U10" s="531">
        <f t="shared" ref="U10:U22" si="3">IF(AND(U9=F$60,V9=G$60),"",IF(U9="","",U9+F10))</f>
        <v>0</v>
      </c>
      <c r="V10" s="531">
        <f t="shared" ref="V10:V22" si="4">IF(AND(U9=F$60,V9=G$60),"",IF(V9="","",V9+G10))</f>
        <v>0</v>
      </c>
      <c r="W10" s="531">
        <f t="shared" ref="W10:W59" si="5">IF(AND(W9=H$60,X9=I$60),"",IF(W9="","",W9+H10))</f>
        <v>0</v>
      </c>
      <c r="X10" s="531">
        <f t="shared" ref="X10:X59" si="6">IF(AND(W9=H$60,X9=I$60),"",IF(X9="","",X9+I10))</f>
        <v>0</v>
      </c>
      <c r="Y10" s="531">
        <f t="shared" ref="Y10:Y59" si="7">IF(AND(Y9=J$60,Z9=K$60),"",IF(Y9="","",Y9+J10))</f>
        <v>0</v>
      </c>
      <c r="Z10" s="531">
        <f t="shared" ref="Z10:Z59" si="8">IF(AND(Y9=J$60,Z9=K$60),"",IF(Z9="","",Z9+K10))</f>
        <v>0</v>
      </c>
      <c r="AA10" s="531">
        <f t="shared" ref="AA10:AA59" si="9">IF(AND(AA9=L$60,AB9=M$60),"",IF(AA9="","",AA9+L10))</f>
        <v>0</v>
      </c>
      <c r="AB10" s="531">
        <f t="shared" ref="AB10:AB59" si="10">IF(AND(AA9=L$60,AB9=M$60),"",IF(AB9="","",AB9+M10))</f>
        <v>0</v>
      </c>
      <c r="AC10" s="531">
        <f t="shared" ref="AC10:AC59" si="11">IF(AND(AC9=P$60,AD9=Q$60),"",IF(AC9="","",AC9+P10))</f>
        <v>0</v>
      </c>
      <c r="AD10" s="531">
        <f t="shared" ref="AD10:AD59" si="12">IF(AND(AC9=P$60,AD9=Q$60),"",IF(AD9="","",AD9+Q10))</f>
        <v>0</v>
      </c>
    </row>
    <row r="11" spans="1:30" x14ac:dyDescent="0.3">
      <c r="A11" s="532">
        <v>4</v>
      </c>
      <c r="B11" s="533">
        <v>39774</v>
      </c>
      <c r="C11" s="533">
        <v>39780</v>
      </c>
      <c r="D11" s="528"/>
      <c r="E11" s="528"/>
      <c r="F11" s="528"/>
      <c r="G11" s="528"/>
      <c r="H11" s="528"/>
      <c r="I11" s="528"/>
      <c r="J11" s="528"/>
      <c r="K11" s="528"/>
      <c r="L11" s="528"/>
      <c r="M11" s="528"/>
      <c r="N11" s="534"/>
      <c r="O11" s="534"/>
      <c r="P11" s="534"/>
      <c r="Q11" s="534"/>
      <c r="R11" s="535"/>
      <c r="S11" s="531">
        <f t="shared" si="1"/>
        <v>0</v>
      </c>
      <c r="T11" s="531">
        <f t="shared" si="2"/>
        <v>0</v>
      </c>
      <c r="U11" s="531">
        <f t="shared" si="3"/>
        <v>0</v>
      </c>
      <c r="V11" s="531">
        <f t="shared" si="4"/>
        <v>0</v>
      </c>
      <c r="W11" s="531">
        <f t="shared" si="5"/>
        <v>0</v>
      </c>
      <c r="X11" s="531">
        <f t="shared" si="6"/>
        <v>0</v>
      </c>
      <c r="Y11" s="531">
        <f t="shared" si="7"/>
        <v>0</v>
      </c>
      <c r="Z11" s="531">
        <f t="shared" si="8"/>
        <v>0</v>
      </c>
      <c r="AA11" s="531">
        <f t="shared" si="9"/>
        <v>0</v>
      </c>
      <c r="AB11" s="531">
        <f t="shared" si="10"/>
        <v>0</v>
      </c>
      <c r="AC11" s="531">
        <f t="shared" si="11"/>
        <v>0</v>
      </c>
      <c r="AD11" s="531">
        <f t="shared" si="12"/>
        <v>0</v>
      </c>
    </row>
    <row r="12" spans="1:30" x14ac:dyDescent="0.3">
      <c r="A12" s="532">
        <v>5</v>
      </c>
      <c r="B12" s="533">
        <v>39781</v>
      </c>
      <c r="C12" s="533">
        <v>39787</v>
      </c>
      <c r="D12" s="528"/>
      <c r="E12" s="528"/>
      <c r="F12" s="528"/>
      <c r="G12" s="528"/>
      <c r="H12" s="528"/>
      <c r="I12" s="528"/>
      <c r="J12" s="528"/>
      <c r="K12" s="528"/>
      <c r="L12" s="528"/>
      <c r="M12" s="528"/>
      <c r="N12" s="534"/>
      <c r="O12" s="534"/>
      <c r="P12" s="534"/>
      <c r="Q12" s="534"/>
      <c r="R12" s="535"/>
      <c r="S12" s="531">
        <f t="shared" si="1"/>
        <v>0</v>
      </c>
      <c r="T12" s="531">
        <f t="shared" si="2"/>
        <v>0</v>
      </c>
      <c r="U12" s="531">
        <f t="shared" si="3"/>
        <v>0</v>
      </c>
      <c r="V12" s="531">
        <f t="shared" si="4"/>
        <v>0</v>
      </c>
      <c r="W12" s="531">
        <f t="shared" si="5"/>
        <v>0</v>
      </c>
      <c r="X12" s="531">
        <f t="shared" si="6"/>
        <v>0</v>
      </c>
      <c r="Y12" s="531">
        <f t="shared" si="7"/>
        <v>0</v>
      </c>
      <c r="Z12" s="531">
        <f t="shared" si="8"/>
        <v>0</v>
      </c>
      <c r="AA12" s="531">
        <f t="shared" si="9"/>
        <v>0</v>
      </c>
      <c r="AB12" s="531">
        <f t="shared" si="10"/>
        <v>0</v>
      </c>
      <c r="AC12" s="531">
        <f t="shared" si="11"/>
        <v>0</v>
      </c>
      <c r="AD12" s="531">
        <f t="shared" si="12"/>
        <v>0</v>
      </c>
    </row>
    <row r="13" spans="1:30" x14ac:dyDescent="0.3">
      <c r="A13" s="532">
        <v>6</v>
      </c>
      <c r="B13" s="533">
        <v>39788</v>
      </c>
      <c r="C13" s="533">
        <v>39794</v>
      </c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34"/>
      <c r="O13" s="534"/>
      <c r="P13" s="534"/>
      <c r="Q13" s="534"/>
      <c r="R13" s="535"/>
      <c r="S13" s="531">
        <f t="shared" si="1"/>
        <v>0</v>
      </c>
      <c r="T13" s="531">
        <f t="shared" si="2"/>
        <v>0</v>
      </c>
      <c r="U13" s="531">
        <f t="shared" si="3"/>
        <v>0</v>
      </c>
      <c r="V13" s="531">
        <f t="shared" si="4"/>
        <v>0</v>
      </c>
      <c r="W13" s="531">
        <f t="shared" si="5"/>
        <v>0</v>
      </c>
      <c r="X13" s="531">
        <f t="shared" si="6"/>
        <v>0</v>
      </c>
      <c r="Y13" s="531">
        <f t="shared" si="7"/>
        <v>0</v>
      </c>
      <c r="Z13" s="531">
        <f t="shared" si="8"/>
        <v>0</v>
      </c>
      <c r="AA13" s="531">
        <f t="shared" si="9"/>
        <v>0</v>
      </c>
      <c r="AB13" s="531">
        <f t="shared" si="10"/>
        <v>0</v>
      </c>
      <c r="AC13" s="531">
        <f t="shared" si="11"/>
        <v>0</v>
      </c>
      <c r="AD13" s="531">
        <f t="shared" si="12"/>
        <v>0</v>
      </c>
    </row>
    <row r="14" spans="1:30" x14ac:dyDescent="0.3">
      <c r="A14" s="532">
        <v>7</v>
      </c>
      <c r="B14" s="533">
        <v>39795</v>
      </c>
      <c r="C14" s="533">
        <v>39801</v>
      </c>
      <c r="D14" s="528"/>
      <c r="E14" s="528"/>
      <c r="F14" s="528"/>
      <c r="G14" s="528"/>
      <c r="H14" s="528"/>
      <c r="I14" s="528"/>
      <c r="J14" s="528"/>
      <c r="K14" s="528"/>
      <c r="L14" s="528"/>
      <c r="M14" s="528"/>
      <c r="N14" s="534"/>
      <c r="O14" s="534"/>
      <c r="P14" s="534"/>
      <c r="Q14" s="534"/>
      <c r="R14" s="535"/>
      <c r="S14" s="531">
        <f t="shared" si="1"/>
        <v>0</v>
      </c>
      <c r="T14" s="531">
        <f t="shared" si="2"/>
        <v>0</v>
      </c>
      <c r="U14" s="531">
        <f t="shared" si="3"/>
        <v>0</v>
      </c>
      <c r="V14" s="531">
        <f t="shared" si="4"/>
        <v>0</v>
      </c>
      <c r="W14" s="531">
        <f t="shared" si="5"/>
        <v>0</v>
      </c>
      <c r="X14" s="531">
        <f t="shared" si="6"/>
        <v>0</v>
      </c>
      <c r="Y14" s="531">
        <f t="shared" si="7"/>
        <v>0</v>
      </c>
      <c r="Z14" s="531">
        <f t="shared" si="8"/>
        <v>0</v>
      </c>
      <c r="AA14" s="531">
        <f t="shared" si="9"/>
        <v>0</v>
      </c>
      <c r="AB14" s="531">
        <f t="shared" si="10"/>
        <v>0</v>
      </c>
      <c r="AC14" s="531">
        <f t="shared" si="11"/>
        <v>0</v>
      </c>
      <c r="AD14" s="531">
        <f t="shared" si="12"/>
        <v>0</v>
      </c>
    </row>
    <row r="15" spans="1:30" x14ac:dyDescent="0.3">
      <c r="A15" s="532">
        <v>8</v>
      </c>
      <c r="B15" s="533">
        <v>39802</v>
      </c>
      <c r="C15" s="533">
        <v>39808</v>
      </c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34"/>
      <c r="O15" s="534"/>
      <c r="P15" s="534"/>
      <c r="Q15" s="534"/>
      <c r="R15" s="535"/>
      <c r="S15" s="531">
        <f t="shared" si="1"/>
        <v>0</v>
      </c>
      <c r="T15" s="531">
        <f t="shared" si="2"/>
        <v>0</v>
      </c>
      <c r="U15" s="531">
        <f t="shared" si="3"/>
        <v>0</v>
      </c>
      <c r="V15" s="531">
        <f t="shared" si="4"/>
        <v>0</v>
      </c>
      <c r="W15" s="531">
        <f t="shared" si="5"/>
        <v>0</v>
      </c>
      <c r="X15" s="531">
        <f t="shared" si="6"/>
        <v>0</v>
      </c>
      <c r="Y15" s="531">
        <f t="shared" si="7"/>
        <v>0</v>
      </c>
      <c r="Z15" s="531">
        <f t="shared" si="8"/>
        <v>0</v>
      </c>
      <c r="AA15" s="531">
        <f t="shared" si="9"/>
        <v>0</v>
      </c>
      <c r="AB15" s="531">
        <f t="shared" si="10"/>
        <v>0</v>
      </c>
      <c r="AC15" s="531">
        <f t="shared" si="11"/>
        <v>0</v>
      </c>
      <c r="AD15" s="531">
        <f t="shared" si="12"/>
        <v>0</v>
      </c>
    </row>
    <row r="16" spans="1:30" x14ac:dyDescent="0.3">
      <c r="A16" s="532">
        <v>9</v>
      </c>
      <c r="B16" s="533">
        <v>39809</v>
      </c>
      <c r="C16" s="533">
        <v>39815</v>
      </c>
      <c r="D16" s="528"/>
      <c r="E16" s="528"/>
      <c r="F16" s="528"/>
      <c r="G16" s="528"/>
      <c r="H16" s="528"/>
      <c r="I16" s="528"/>
      <c r="J16" s="528"/>
      <c r="K16" s="528"/>
      <c r="L16" s="528"/>
      <c r="M16" s="528"/>
      <c r="N16" s="534"/>
      <c r="O16" s="534"/>
      <c r="P16" s="534"/>
      <c r="Q16" s="534"/>
      <c r="R16" s="535"/>
      <c r="S16" s="531">
        <f t="shared" si="1"/>
        <v>0</v>
      </c>
      <c r="T16" s="531">
        <f t="shared" si="2"/>
        <v>0</v>
      </c>
      <c r="U16" s="531">
        <f t="shared" si="3"/>
        <v>0</v>
      </c>
      <c r="V16" s="531">
        <f t="shared" si="4"/>
        <v>0</v>
      </c>
      <c r="W16" s="531">
        <f t="shared" si="5"/>
        <v>0</v>
      </c>
      <c r="X16" s="531">
        <f t="shared" si="6"/>
        <v>0</v>
      </c>
      <c r="Y16" s="531">
        <f t="shared" si="7"/>
        <v>0</v>
      </c>
      <c r="Z16" s="531">
        <f t="shared" si="8"/>
        <v>0</v>
      </c>
      <c r="AA16" s="531">
        <f t="shared" si="9"/>
        <v>0</v>
      </c>
      <c r="AB16" s="531">
        <f t="shared" si="10"/>
        <v>0</v>
      </c>
      <c r="AC16" s="531">
        <f t="shared" si="11"/>
        <v>0</v>
      </c>
      <c r="AD16" s="531">
        <f t="shared" si="12"/>
        <v>0</v>
      </c>
    </row>
    <row r="17" spans="1:30" x14ac:dyDescent="0.3">
      <c r="A17" s="532">
        <v>10</v>
      </c>
      <c r="B17" s="533">
        <v>39816</v>
      </c>
      <c r="C17" s="533">
        <v>39822</v>
      </c>
      <c r="D17" s="528"/>
      <c r="E17" s="528"/>
      <c r="F17" s="528"/>
      <c r="G17" s="528"/>
      <c r="H17" s="528"/>
      <c r="I17" s="528"/>
      <c r="J17" s="528"/>
      <c r="K17" s="528"/>
      <c r="L17" s="528"/>
      <c r="M17" s="528"/>
      <c r="N17" s="534"/>
      <c r="O17" s="534"/>
      <c r="P17" s="534"/>
      <c r="Q17" s="534"/>
      <c r="R17" s="535"/>
      <c r="S17" s="531">
        <f t="shared" si="1"/>
        <v>0</v>
      </c>
      <c r="T17" s="531">
        <f t="shared" si="2"/>
        <v>0</v>
      </c>
      <c r="U17" s="531">
        <f t="shared" si="3"/>
        <v>0</v>
      </c>
      <c r="V17" s="531">
        <f t="shared" si="4"/>
        <v>0</v>
      </c>
      <c r="W17" s="531">
        <f t="shared" si="5"/>
        <v>0</v>
      </c>
      <c r="X17" s="531">
        <f t="shared" si="6"/>
        <v>0</v>
      </c>
      <c r="Y17" s="531">
        <f t="shared" si="7"/>
        <v>0</v>
      </c>
      <c r="Z17" s="531">
        <f t="shared" si="8"/>
        <v>0</v>
      </c>
      <c r="AA17" s="531">
        <f t="shared" si="9"/>
        <v>0</v>
      </c>
      <c r="AB17" s="531">
        <f t="shared" si="10"/>
        <v>0</v>
      </c>
      <c r="AC17" s="531">
        <f t="shared" si="11"/>
        <v>0</v>
      </c>
      <c r="AD17" s="531">
        <f t="shared" si="12"/>
        <v>0</v>
      </c>
    </row>
    <row r="18" spans="1:30" x14ac:dyDescent="0.3">
      <c r="A18" s="532">
        <v>11</v>
      </c>
      <c r="B18" s="533">
        <v>39823</v>
      </c>
      <c r="C18" s="533">
        <v>39829</v>
      </c>
      <c r="D18" s="528"/>
      <c r="E18" s="528"/>
      <c r="F18" s="528"/>
      <c r="G18" s="528"/>
      <c r="H18" s="528"/>
      <c r="I18" s="528"/>
      <c r="J18" s="528"/>
      <c r="K18" s="528"/>
      <c r="L18" s="528"/>
      <c r="M18" s="528"/>
      <c r="N18" s="534"/>
      <c r="O18" s="534"/>
      <c r="P18" s="534"/>
      <c r="Q18" s="534"/>
      <c r="R18" s="535"/>
      <c r="S18" s="531">
        <f t="shared" si="1"/>
        <v>0</v>
      </c>
      <c r="T18" s="531">
        <f t="shared" si="2"/>
        <v>0</v>
      </c>
      <c r="U18" s="531">
        <f t="shared" si="3"/>
        <v>0</v>
      </c>
      <c r="V18" s="531">
        <f t="shared" si="4"/>
        <v>0</v>
      </c>
      <c r="W18" s="531">
        <f t="shared" si="5"/>
        <v>0</v>
      </c>
      <c r="X18" s="531">
        <f t="shared" si="6"/>
        <v>0</v>
      </c>
      <c r="Y18" s="531">
        <f t="shared" si="7"/>
        <v>0</v>
      </c>
      <c r="Z18" s="531">
        <f t="shared" si="8"/>
        <v>0</v>
      </c>
      <c r="AA18" s="531">
        <f t="shared" si="9"/>
        <v>0</v>
      </c>
      <c r="AB18" s="531">
        <f t="shared" si="10"/>
        <v>0</v>
      </c>
      <c r="AC18" s="531">
        <f t="shared" si="11"/>
        <v>0</v>
      </c>
      <c r="AD18" s="531">
        <f t="shared" si="12"/>
        <v>0</v>
      </c>
    </row>
    <row r="19" spans="1:30" x14ac:dyDescent="0.3">
      <c r="A19" s="532">
        <v>12</v>
      </c>
      <c r="B19" s="533">
        <v>39830</v>
      </c>
      <c r="C19" s="533">
        <v>39836</v>
      </c>
      <c r="D19" s="528"/>
      <c r="E19" s="528"/>
      <c r="F19" s="528"/>
      <c r="G19" s="528"/>
      <c r="H19" s="528"/>
      <c r="I19" s="528"/>
      <c r="J19" s="528"/>
      <c r="K19" s="528"/>
      <c r="L19" s="528">
        <v>12875</v>
      </c>
      <c r="M19" s="528"/>
      <c r="N19" s="534"/>
      <c r="O19" s="534"/>
      <c r="P19" s="534"/>
      <c r="Q19" s="534"/>
      <c r="R19" s="535"/>
      <c r="S19" s="531">
        <f t="shared" si="1"/>
        <v>0</v>
      </c>
      <c r="T19" s="531">
        <f t="shared" si="2"/>
        <v>0</v>
      </c>
      <c r="U19" s="531">
        <f t="shared" si="3"/>
        <v>0</v>
      </c>
      <c r="V19" s="531">
        <f t="shared" si="4"/>
        <v>0</v>
      </c>
      <c r="W19" s="531">
        <f t="shared" si="5"/>
        <v>0</v>
      </c>
      <c r="X19" s="531">
        <f t="shared" si="6"/>
        <v>0</v>
      </c>
      <c r="Y19" s="531">
        <f t="shared" si="7"/>
        <v>0</v>
      </c>
      <c r="Z19" s="531">
        <f t="shared" si="8"/>
        <v>0</v>
      </c>
      <c r="AA19" s="531">
        <f t="shared" si="9"/>
        <v>12875</v>
      </c>
      <c r="AB19" s="531">
        <f t="shared" si="10"/>
        <v>0</v>
      </c>
      <c r="AC19" s="531">
        <f t="shared" si="11"/>
        <v>0</v>
      </c>
      <c r="AD19" s="531">
        <f t="shared" si="12"/>
        <v>0</v>
      </c>
    </row>
    <row r="20" spans="1:30" x14ac:dyDescent="0.3">
      <c r="A20" s="532">
        <v>13</v>
      </c>
      <c r="B20" s="533">
        <v>39837</v>
      </c>
      <c r="C20" s="533">
        <v>39843</v>
      </c>
      <c r="D20" s="528"/>
      <c r="E20" s="528"/>
      <c r="F20" s="528">
        <v>11569</v>
      </c>
      <c r="G20" s="528"/>
      <c r="H20" s="528"/>
      <c r="I20" s="528"/>
      <c r="J20" s="528"/>
      <c r="K20" s="528"/>
      <c r="L20" s="528">
        <v>13713</v>
      </c>
      <c r="M20" s="528"/>
      <c r="N20" s="534">
        <f t="shared" ref="N20:N25" si="13">AVERAGE(D20:M20)</f>
        <v>12641</v>
      </c>
      <c r="O20" s="534"/>
      <c r="P20" s="534">
        <v>3000</v>
      </c>
      <c r="Q20" s="534"/>
      <c r="R20" s="535"/>
      <c r="S20" s="531">
        <f t="shared" si="1"/>
        <v>0</v>
      </c>
      <c r="T20" s="531">
        <f t="shared" si="2"/>
        <v>0</v>
      </c>
      <c r="U20" s="531">
        <f t="shared" si="3"/>
        <v>11569</v>
      </c>
      <c r="V20" s="531">
        <f t="shared" si="4"/>
        <v>0</v>
      </c>
      <c r="W20" s="531">
        <f t="shared" si="5"/>
        <v>0</v>
      </c>
      <c r="X20" s="531">
        <f t="shared" si="6"/>
        <v>0</v>
      </c>
      <c r="Y20" s="531">
        <f t="shared" si="7"/>
        <v>0</v>
      </c>
      <c r="Z20" s="531">
        <f t="shared" si="8"/>
        <v>0</v>
      </c>
      <c r="AA20" s="531">
        <f t="shared" si="9"/>
        <v>26588</v>
      </c>
      <c r="AB20" s="531">
        <f t="shared" si="10"/>
        <v>0</v>
      </c>
      <c r="AC20" s="531">
        <f t="shared" si="11"/>
        <v>3000</v>
      </c>
      <c r="AD20" s="531">
        <f t="shared" si="12"/>
        <v>0</v>
      </c>
    </row>
    <row r="21" spans="1:30" x14ac:dyDescent="0.3">
      <c r="A21" s="532">
        <v>14</v>
      </c>
      <c r="B21" s="533">
        <v>39844</v>
      </c>
      <c r="C21" s="533">
        <v>39850</v>
      </c>
      <c r="D21" s="528">
        <v>550</v>
      </c>
      <c r="E21" s="528"/>
      <c r="F21" s="528">
        <v>8554</v>
      </c>
      <c r="G21" s="528"/>
      <c r="H21" s="528">
        <v>1057</v>
      </c>
      <c r="I21" s="528"/>
      <c r="J21" s="528"/>
      <c r="K21" s="528"/>
      <c r="L21" s="528">
        <v>18038</v>
      </c>
      <c r="M21" s="528"/>
      <c r="N21" s="534">
        <f t="shared" si="13"/>
        <v>7049.75</v>
      </c>
      <c r="O21" s="534"/>
      <c r="P21" s="534">
        <v>5000</v>
      </c>
      <c r="Q21" s="534"/>
      <c r="R21" s="535"/>
      <c r="S21" s="531">
        <f t="shared" si="1"/>
        <v>550</v>
      </c>
      <c r="T21" s="531">
        <f t="shared" si="2"/>
        <v>0</v>
      </c>
      <c r="U21" s="531">
        <f t="shared" si="3"/>
        <v>20123</v>
      </c>
      <c r="V21" s="531">
        <f t="shared" si="4"/>
        <v>0</v>
      </c>
      <c r="W21" s="531">
        <f t="shared" si="5"/>
        <v>1057</v>
      </c>
      <c r="X21" s="531">
        <f t="shared" si="6"/>
        <v>0</v>
      </c>
      <c r="Y21" s="531">
        <f t="shared" si="7"/>
        <v>0</v>
      </c>
      <c r="Z21" s="531">
        <f t="shared" si="8"/>
        <v>0</v>
      </c>
      <c r="AA21" s="531">
        <f t="shared" si="9"/>
        <v>44626</v>
      </c>
      <c r="AB21" s="531">
        <f t="shared" si="10"/>
        <v>0</v>
      </c>
      <c r="AC21" s="531">
        <f t="shared" si="11"/>
        <v>8000</v>
      </c>
      <c r="AD21" s="531">
        <f t="shared" si="12"/>
        <v>0</v>
      </c>
    </row>
    <row r="22" spans="1:30" x14ac:dyDescent="0.3">
      <c r="A22" s="532">
        <v>15</v>
      </c>
      <c r="B22" s="533">
        <v>39851</v>
      </c>
      <c r="C22" s="533">
        <v>39857</v>
      </c>
      <c r="D22" s="528">
        <v>1050</v>
      </c>
      <c r="E22" s="528"/>
      <c r="F22" s="528">
        <v>10429</v>
      </c>
      <c r="G22" s="528"/>
      <c r="H22" s="528">
        <v>2400</v>
      </c>
      <c r="I22" s="528"/>
      <c r="J22" s="528">
        <v>552</v>
      </c>
      <c r="K22" s="528"/>
      <c r="L22" s="528"/>
      <c r="M22" s="528"/>
      <c r="N22" s="534">
        <f t="shared" si="13"/>
        <v>3607.75</v>
      </c>
      <c r="O22" s="534"/>
      <c r="P22" s="534">
        <v>3737</v>
      </c>
      <c r="Q22" s="534"/>
      <c r="R22" s="535"/>
      <c r="S22" s="531">
        <f t="shared" si="1"/>
        <v>1600</v>
      </c>
      <c r="T22" s="531">
        <f t="shared" si="2"/>
        <v>0</v>
      </c>
      <c r="U22" s="531">
        <f t="shared" si="3"/>
        <v>30552</v>
      </c>
      <c r="V22" s="531">
        <f t="shared" si="4"/>
        <v>0</v>
      </c>
      <c r="W22" s="531">
        <f t="shared" si="5"/>
        <v>3457</v>
      </c>
      <c r="X22" s="531">
        <f t="shared" si="6"/>
        <v>0</v>
      </c>
      <c r="Y22" s="531">
        <f t="shared" si="7"/>
        <v>552</v>
      </c>
      <c r="Z22" s="531">
        <f t="shared" si="8"/>
        <v>0</v>
      </c>
      <c r="AA22" s="531">
        <f t="shared" si="9"/>
        <v>44626</v>
      </c>
      <c r="AB22" s="531">
        <f t="shared" si="10"/>
        <v>0</v>
      </c>
      <c r="AC22" s="531">
        <f t="shared" si="11"/>
        <v>11737</v>
      </c>
      <c r="AD22" s="531">
        <f t="shared" si="12"/>
        <v>0</v>
      </c>
    </row>
    <row r="23" spans="1:30" x14ac:dyDescent="0.3">
      <c r="A23" s="532">
        <v>16</v>
      </c>
      <c r="B23" s="533">
        <v>39858</v>
      </c>
      <c r="C23" s="533">
        <v>39864</v>
      </c>
      <c r="D23" s="528">
        <v>2000</v>
      </c>
      <c r="E23" s="528"/>
      <c r="F23" s="528">
        <v>14054</v>
      </c>
      <c r="G23" s="528"/>
      <c r="H23" s="528">
        <v>2535</v>
      </c>
      <c r="I23" s="528"/>
      <c r="J23" s="528">
        <v>12718</v>
      </c>
      <c r="K23" s="528"/>
      <c r="L23" s="528"/>
      <c r="M23" s="528"/>
      <c r="N23" s="534">
        <f t="shared" si="13"/>
        <v>7826.75</v>
      </c>
      <c r="O23" s="534"/>
      <c r="P23" s="534"/>
      <c r="Q23" s="534"/>
      <c r="R23" s="535"/>
      <c r="S23" s="531">
        <f t="shared" si="1"/>
        <v>3600</v>
      </c>
      <c r="T23" s="531">
        <f t="shared" si="2"/>
        <v>0</v>
      </c>
      <c r="U23" s="531">
        <f>IF(AND(U22=F$60,V22=G$60),"",IF(U22="","",U22+F23))</f>
        <v>44606</v>
      </c>
      <c r="V23" s="531">
        <f>IF(AND(U22=F$60,V22=G$60),"",IF(V22="","",V22+G23))</f>
        <v>0</v>
      </c>
      <c r="W23" s="531">
        <f t="shared" si="5"/>
        <v>5992</v>
      </c>
      <c r="X23" s="531">
        <f t="shared" si="6"/>
        <v>0</v>
      </c>
      <c r="Y23" s="531">
        <f t="shared" si="7"/>
        <v>13270</v>
      </c>
      <c r="Z23" s="531">
        <f t="shared" si="8"/>
        <v>0</v>
      </c>
      <c r="AA23" s="531">
        <f t="shared" si="9"/>
        <v>44626</v>
      </c>
      <c r="AB23" s="531">
        <f t="shared" si="10"/>
        <v>0</v>
      </c>
      <c r="AC23" s="531">
        <f t="shared" si="11"/>
        <v>11737</v>
      </c>
      <c r="AD23" s="531">
        <f t="shared" si="12"/>
        <v>0</v>
      </c>
    </row>
    <row r="24" spans="1:30" x14ac:dyDescent="0.3">
      <c r="A24" s="532">
        <v>17</v>
      </c>
      <c r="B24" s="533">
        <v>39865</v>
      </c>
      <c r="C24" s="533">
        <v>39871</v>
      </c>
      <c r="D24" s="528">
        <v>1429</v>
      </c>
      <c r="E24" s="528"/>
      <c r="F24" s="528"/>
      <c r="G24" s="528"/>
      <c r="H24" s="528">
        <v>10473</v>
      </c>
      <c r="I24" s="528"/>
      <c r="J24" s="528">
        <v>15730</v>
      </c>
      <c r="K24" s="528"/>
      <c r="L24" s="528"/>
      <c r="M24" s="528"/>
      <c r="N24" s="534">
        <f t="shared" si="13"/>
        <v>9210.6666666666661</v>
      </c>
      <c r="O24" s="534"/>
      <c r="P24" s="534"/>
      <c r="Q24" s="534"/>
      <c r="R24" s="535"/>
      <c r="S24" s="531">
        <f t="shared" si="1"/>
        <v>5029</v>
      </c>
      <c r="T24" s="531">
        <f t="shared" si="2"/>
        <v>0</v>
      </c>
      <c r="U24" s="531">
        <f>IF(AND(U23=F$60,V23=G$60),"",IF(U23="","",U23+F24))</f>
        <v>44606</v>
      </c>
      <c r="V24" s="531">
        <f>IF(AND(U23=F$60,V23=G$60),"",IF(V23="","",V23+G24))</f>
        <v>0</v>
      </c>
      <c r="W24" s="531">
        <f t="shared" si="5"/>
        <v>16465</v>
      </c>
      <c r="X24" s="531">
        <f t="shared" si="6"/>
        <v>0</v>
      </c>
      <c r="Y24" s="531">
        <f t="shared" si="7"/>
        <v>29000</v>
      </c>
      <c r="Z24" s="531">
        <f t="shared" si="8"/>
        <v>0</v>
      </c>
      <c r="AA24" s="531">
        <f t="shared" si="9"/>
        <v>44626</v>
      </c>
      <c r="AB24" s="531">
        <f t="shared" si="10"/>
        <v>0</v>
      </c>
      <c r="AC24" s="531">
        <f t="shared" si="11"/>
        <v>11737</v>
      </c>
      <c r="AD24" s="531">
        <f t="shared" si="12"/>
        <v>0</v>
      </c>
    </row>
    <row r="25" spans="1:30" x14ac:dyDescent="0.3">
      <c r="A25" s="532">
        <v>18</v>
      </c>
      <c r="B25" s="533">
        <v>39872</v>
      </c>
      <c r="C25" s="533">
        <v>39878</v>
      </c>
      <c r="D25" s="528"/>
      <c r="E25" s="528"/>
      <c r="F25" s="528"/>
      <c r="G25" s="528"/>
      <c r="H25" s="528">
        <v>4250</v>
      </c>
      <c r="I25" s="528"/>
      <c r="J25" s="528">
        <v>5584</v>
      </c>
      <c r="K25" s="528"/>
      <c r="L25" s="528"/>
      <c r="M25" s="528"/>
      <c r="N25" s="534">
        <f t="shared" si="13"/>
        <v>4917</v>
      </c>
      <c r="O25" s="534"/>
      <c r="P25" s="534"/>
      <c r="Q25" s="534"/>
      <c r="R25" s="535"/>
      <c r="S25" s="531">
        <f t="shared" si="1"/>
        <v>5029</v>
      </c>
      <c r="T25" s="531">
        <f t="shared" si="2"/>
        <v>0</v>
      </c>
      <c r="U25" s="531">
        <f>IF(AND(U24=F$60,V24=G$60),"",IF(U24="","",U24+F25))</f>
        <v>44606</v>
      </c>
      <c r="V25" s="531">
        <f>IF(AND(U24=F$60,V24=G$60),"",IF(V24="","",V24+G25))</f>
        <v>0</v>
      </c>
      <c r="W25" s="531">
        <f t="shared" si="5"/>
        <v>20715</v>
      </c>
      <c r="X25" s="531">
        <f t="shared" si="6"/>
        <v>0</v>
      </c>
      <c r="Y25" s="531">
        <f t="shared" si="7"/>
        <v>34584</v>
      </c>
      <c r="Z25" s="531">
        <f t="shared" si="8"/>
        <v>0</v>
      </c>
      <c r="AA25" s="531">
        <f t="shared" si="9"/>
        <v>44626</v>
      </c>
      <c r="AB25" s="531">
        <f t="shared" si="10"/>
        <v>0</v>
      </c>
      <c r="AC25" s="531">
        <f t="shared" si="11"/>
        <v>11737</v>
      </c>
      <c r="AD25" s="531">
        <f t="shared" si="12"/>
        <v>0</v>
      </c>
    </row>
    <row r="26" spans="1:30" x14ac:dyDescent="0.3">
      <c r="A26" s="532">
        <v>19</v>
      </c>
      <c r="B26" s="533">
        <v>39879</v>
      </c>
      <c r="C26" s="533">
        <v>39885</v>
      </c>
      <c r="D26" s="528"/>
      <c r="E26" s="528"/>
      <c r="F26" s="528"/>
      <c r="G26" s="528"/>
      <c r="H26" s="528"/>
      <c r="I26" s="528"/>
      <c r="J26" s="528"/>
      <c r="K26" s="528"/>
      <c r="L26" s="528"/>
      <c r="M26" s="528"/>
      <c r="N26" s="534"/>
      <c r="O26" s="534"/>
      <c r="P26" s="534"/>
      <c r="Q26" s="534"/>
      <c r="R26" s="535"/>
      <c r="S26" s="531">
        <f t="shared" si="1"/>
        <v>5029</v>
      </c>
      <c r="T26" s="531">
        <f t="shared" si="2"/>
        <v>0</v>
      </c>
      <c r="U26" s="531">
        <f>IF(AND(U25=F$60,V25=G$60),"",IF(U25="","",U25+F26))</f>
        <v>44606</v>
      </c>
      <c r="V26" s="531">
        <f>IF(AND(U25=F$60,V25=G$60),"",IF(V25="","",V25+G26))</f>
        <v>0</v>
      </c>
      <c r="W26" s="531">
        <f t="shared" si="5"/>
        <v>20715</v>
      </c>
      <c r="X26" s="531">
        <f t="shared" si="6"/>
        <v>0</v>
      </c>
      <c r="Y26" s="531">
        <f t="shared" si="7"/>
        <v>34584</v>
      </c>
      <c r="Z26" s="531">
        <f t="shared" si="8"/>
        <v>0</v>
      </c>
      <c r="AA26" s="531">
        <f t="shared" si="9"/>
        <v>44626</v>
      </c>
      <c r="AB26" s="531">
        <f t="shared" si="10"/>
        <v>0</v>
      </c>
      <c r="AC26" s="531">
        <f t="shared" si="11"/>
        <v>11737</v>
      </c>
      <c r="AD26" s="531">
        <f t="shared" si="12"/>
        <v>0</v>
      </c>
    </row>
    <row r="27" spans="1:30" x14ac:dyDescent="0.3">
      <c r="A27" s="532">
        <v>20</v>
      </c>
      <c r="B27" s="533">
        <v>39886</v>
      </c>
      <c r="C27" s="533">
        <v>39892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34"/>
      <c r="O27" s="534"/>
      <c r="P27" s="534"/>
      <c r="Q27" s="534"/>
      <c r="R27" s="535"/>
      <c r="S27" s="531">
        <f t="shared" si="1"/>
        <v>5029</v>
      </c>
      <c r="T27" s="531">
        <f t="shared" si="2"/>
        <v>0</v>
      </c>
      <c r="U27" s="531">
        <f t="shared" ref="U27:U43" si="14">IF(AND(U26=F$60,V26=G$60),"",IF(U26="","",U26+F27))</f>
        <v>44606</v>
      </c>
      <c r="V27" s="531">
        <f t="shared" ref="V27:V43" si="15">IF(AND(U26=F$60,V26=G$60),"",IF(V26="","",V26+G27))</f>
        <v>0</v>
      </c>
      <c r="W27" s="531">
        <f t="shared" si="5"/>
        <v>20715</v>
      </c>
      <c r="X27" s="531">
        <f t="shared" si="6"/>
        <v>0</v>
      </c>
      <c r="Y27" s="531">
        <f t="shared" si="7"/>
        <v>34584</v>
      </c>
      <c r="Z27" s="531">
        <f t="shared" si="8"/>
        <v>0</v>
      </c>
      <c r="AA27" s="531">
        <f t="shared" si="9"/>
        <v>44626</v>
      </c>
      <c r="AB27" s="531">
        <f t="shared" si="10"/>
        <v>0</v>
      </c>
      <c r="AC27" s="531">
        <f t="shared" si="11"/>
        <v>11737</v>
      </c>
      <c r="AD27" s="531">
        <f t="shared" si="12"/>
        <v>0</v>
      </c>
    </row>
    <row r="28" spans="1:30" x14ac:dyDescent="0.3">
      <c r="A28" s="532">
        <v>21</v>
      </c>
      <c r="B28" s="533">
        <v>39893</v>
      </c>
      <c r="C28" s="533">
        <v>39899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34"/>
      <c r="O28" s="534"/>
      <c r="P28" s="534"/>
      <c r="Q28" s="534"/>
      <c r="R28" s="535"/>
      <c r="S28" s="531">
        <f t="shared" si="1"/>
        <v>5029</v>
      </c>
      <c r="T28" s="531">
        <f t="shared" si="2"/>
        <v>0</v>
      </c>
      <c r="U28" s="531">
        <f t="shared" si="14"/>
        <v>44606</v>
      </c>
      <c r="V28" s="531">
        <f t="shared" si="15"/>
        <v>0</v>
      </c>
      <c r="W28" s="531">
        <f t="shared" si="5"/>
        <v>20715</v>
      </c>
      <c r="X28" s="531">
        <f t="shared" si="6"/>
        <v>0</v>
      </c>
      <c r="Y28" s="531">
        <f t="shared" si="7"/>
        <v>34584</v>
      </c>
      <c r="Z28" s="531">
        <f t="shared" si="8"/>
        <v>0</v>
      </c>
      <c r="AA28" s="531">
        <f t="shared" si="9"/>
        <v>44626</v>
      </c>
      <c r="AB28" s="531">
        <f t="shared" si="10"/>
        <v>0</v>
      </c>
      <c r="AC28" s="531">
        <f t="shared" si="11"/>
        <v>11737</v>
      </c>
      <c r="AD28" s="531">
        <f t="shared" si="12"/>
        <v>0</v>
      </c>
    </row>
    <row r="29" spans="1:30" x14ac:dyDescent="0.3">
      <c r="A29" s="532">
        <v>22</v>
      </c>
      <c r="B29" s="533">
        <v>39900</v>
      </c>
      <c r="C29" s="533">
        <v>39906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534"/>
      <c r="O29" s="534"/>
      <c r="P29" s="534"/>
      <c r="Q29" s="534"/>
      <c r="R29" s="535"/>
      <c r="S29" s="531">
        <f t="shared" si="1"/>
        <v>5029</v>
      </c>
      <c r="T29" s="531">
        <f t="shared" si="2"/>
        <v>0</v>
      </c>
      <c r="U29" s="531">
        <f t="shared" si="14"/>
        <v>44606</v>
      </c>
      <c r="V29" s="531">
        <f t="shared" si="15"/>
        <v>0</v>
      </c>
      <c r="W29" s="531">
        <f t="shared" si="5"/>
        <v>20715</v>
      </c>
      <c r="X29" s="531">
        <f t="shared" si="6"/>
        <v>0</v>
      </c>
      <c r="Y29" s="531">
        <f t="shared" si="7"/>
        <v>34584</v>
      </c>
      <c r="Z29" s="531">
        <f t="shared" si="8"/>
        <v>0</v>
      </c>
      <c r="AA29" s="531">
        <f t="shared" si="9"/>
        <v>44626</v>
      </c>
      <c r="AB29" s="531">
        <f t="shared" si="10"/>
        <v>0</v>
      </c>
      <c r="AC29" s="531">
        <f t="shared" si="11"/>
        <v>11737</v>
      </c>
      <c r="AD29" s="531">
        <f t="shared" si="12"/>
        <v>0</v>
      </c>
    </row>
    <row r="30" spans="1:30" x14ac:dyDescent="0.3">
      <c r="A30" s="532">
        <v>23</v>
      </c>
      <c r="B30" s="533">
        <v>39907</v>
      </c>
      <c r="C30" s="533">
        <v>39913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34"/>
      <c r="O30" s="534"/>
      <c r="P30" s="534"/>
      <c r="Q30" s="534"/>
      <c r="R30" s="535"/>
      <c r="S30" s="531">
        <f t="shared" si="1"/>
        <v>5029</v>
      </c>
      <c r="T30" s="531">
        <f t="shared" si="2"/>
        <v>0</v>
      </c>
      <c r="U30" s="531">
        <f t="shared" si="14"/>
        <v>44606</v>
      </c>
      <c r="V30" s="531">
        <f t="shared" si="15"/>
        <v>0</v>
      </c>
      <c r="W30" s="531">
        <f t="shared" si="5"/>
        <v>20715</v>
      </c>
      <c r="X30" s="531">
        <f t="shared" si="6"/>
        <v>0</v>
      </c>
      <c r="Y30" s="531">
        <f t="shared" si="7"/>
        <v>34584</v>
      </c>
      <c r="Z30" s="531">
        <f t="shared" si="8"/>
        <v>0</v>
      </c>
      <c r="AA30" s="531">
        <f t="shared" si="9"/>
        <v>44626</v>
      </c>
      <c r="AB30" s="531">
        <f t="shared" si="10"/>
        <v>0</v>
      </c>
      <c r="AC30" s="531">
        <f t="shared" si="11"/>
        <v>11737</v>
      </c>
      <c r="AD30" s="531">
        <f t="shared" si="12"/>
        <v>0</v>
      </c>
    </row>
    <row r="31" spans="1:30" x14ac:dyDescent="0.3">
      <c r="A31" s="532">
        <v>24</v>
      </c>
      <c r="B31" s="533">
        <v>39914</v>
      </c>
      <c r="C31" s="533">
        <v>39920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34"/>
      <c r="O31" s="534"/>
      <c r="P31" s="534"/>
      <c r="Q31" s="534"/>
      <c r="R31" s="535"/>
      <c r="S31" s="531">
        <f t="shared" si="1"/>
        <v>5029</v>
      </c>
      <c r="T31" s="531">
        <f t="shared" si="2"/>
        <v>0</v>
      </c>
      <c r="U31" s="531">
        <f t="shared" si="14"/>
        <v>44606</v>
      </c>
      <c r="V31" s="531">
        <f t="shared" si="15"/>
        <v>0</v>
      </c>
      <c r="W31" s="531">
        <f t="shared" si="5"/>
        <v>20715</v>
      </c>
      <c r="X31" s="531">
        <f t="shared" si="6"/>
        <v>0</v>
      </c>
      <c r="Y31" s="531">
        <f t="shared" si="7"/>
        <v>34584</v>
      </c>
      <c r="Z31" s="531">
        <f t="shared" si="8"/>
        <v>0</v>
      </c>
      <c r="AA31" s="531">
        <f t="shared" si="9"/>
        <v>44626</v>
      </c>
      <c r="AB31" s="531">
        <f t="shared" si="10"/>
        <v>0</v>
      </c>
      <c r="AC31" s="531">
        <f t="shared" si="11"/>
        <v>11737</v>
      </c>
      <c r="AD31" s="531">
        <f t="shared" si="12"/>
        <v>0</v>
      </c>
    </row>
    <row r="32" spans="1:30" x14ac:dyDescent="0.3">
      <c r="A32" s="532">
        <v>25</v>
      </c>
      <c r="B32" s="533">
        <v>39921</v>
      </c>
      <c r="C32" s="533">
        <v>39927</v>
      </c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34"/>
      <c r="O32" s="534"/>
      <c r="P32" s="534"/>
      <c r="Q32" s="534"/>
      <c r="R32" s="535"/>
      <c r="S32" s="531">
        <f t="shared" si="1"/>
        <v>5029</v>
      </c>
      <c r="T32" s="531">
        <f t="shared" si="2"/>
        <v>0</v>
      </c>
      <c r="U32" s="531">
        <f t="shared" si="14"/>
        <v>44606</v>
      </c>
      <c r="V32" s="531">
        <f t="shared" si="15"/>
        <v>0</v>
      </c>
      <c r="W32" s="531">
        <f t="shared" si="5"/>
        <v>20715</v>
      </c>
      <c r="X32" s="531">
        <f t="shared" si="6"/>
        <v>0</v>
      </c>
      <c r="Y32" s="531">
        <f t="shared" si="7"/>
        <v>34584</v>
      </c>
      <c r="Z32" s="531">
        <f t="shared" si="8"/>
        <v>0</v>
      </c>
      <c r="AA32" s="531">
        <f t="shared" si="9"/>
        <v>44626</v>
      </c>
      <c r="AB32" s="531">
        <f t="shared" si="10"/>
        <v>0</v>
      </c>
      <c r="AC32" s="531">
        <f t="shared" si="11"/>
        <v>11737</v>
      </c>
      <c r="AD32" s="531">
        <f t="shared" si="12"/>
        <v>0</v>
      </c>
    </row>
    <row r="33" spans="1:30" x14ac:dyDescent="0.3">
      <c r="A33" s="532">
        <v>26</v>
      </c>
      <c r="B33" s="533">
        <v>39928</v>
      </c>
      <c r="C33" s="533">
        <v>39934</v>
      </c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34"/>
      <c r="O33" s="534"/>
      <c r="P33" s="534"/>
      <c r="Q33" s="534"/>
      <c r="R33" s="535"/>
      <c r="S33" s="531">
        <f t="shared" si="1"/>
        <v>5029</v>
      </c>
      <c r="T33" s="531">
        <f t="shared" si="2"/>
        <v>0</v>
      </c>
      <c r="U33" s="531">
        <f t="shared" si="14"/>
        <v>44606</v>
      </c>
      <c r="V33" s="531">
        <f t="shared" si="15"/>
        <v>0</v>
      </c>
      <c r="W33" s="531">
        <f t="shared" si="5"/>
        <v>20715</v>
      </c>
      <c r="X33" s="531">
        <f t="shared" si="6"/>
        <v>0</v>
      </c>
      <c r="Y33" s="531">
        <f t="shared" si="7"/>
        <v>34584</v>
      </c>
      <c r="Z33" s="531">
        <f t="shared" si="8"/>
        <v>0</v>
      </c>
      <c r="AA33" s="531">
        <f t="shared" si="9"/>
        <v>44626</v>
      </c>
      <c r="AB33" s="531">
        <f t="shared" si="10"/>
        <v>0</v>
      </c>
      <c r="AC33" s="531">
        <f t="shared" si="11"/>
        <v>11737</v>
      </c>
      <c r="AD33" s="531">
        <f t="shared" si="12"/>
        <v>0</v>
      </c>
    </row>
    <row r="34" spans="1:30" x14ac:dyDescent="0.3">
      <c r="A34" s="532">
        <v>27</v>
      </c>
      <c r="B34" s="533">
        <v>39935</v>
      </c>
      <c r="C34" s="533">
        <v>39941</v>
      </c>
      <c r="D34" s="528"/>
      <c r="E34" s="528"/>
      <c r="F34" s="528"/>
      <c r="G34" s="528"/>
      <c r="H34" s="528"/>
      <c r="I34" s="528"/>
      <c r="J34" s="528"/>
      <c r="K34" s="528"/>
      <c r="L34" s="528"/>
      <c r="M34" s="528">
        <v>11145</v>
      </c>
      <c r="N34" s="534"/>
      <c r="O34" s="534"/>
      <c r="P34" s="534"/>
      <c r="Q34" s="534"/>
      <c r="R34" s="535"/>
      <c r="S34" s="531">
        <f t="shared" si="1"/>
        <v>5029</v>
      </c>
      <c r="T34" s="531">
        <f t="shared" si="2"/>
        <v>0</v>
      </c>
      <c r="U34" s="531">
        <f t="shared" si="14"/>
        <v>44606</v>
      </c>
      <c r="V34" s="531">
        <f t="shared" si="15"/>
        <v>0</v>
      </c>
      <c r="W34" s="531">
        <f t="shared" si="5"/>
        <v>20715</v>
      </c>
      <c r="X34" s="531">
        <f t="shared" si="6"/>
        <v>0</v>
      </c>
      <c r="Y34" s="531">
        <f t="shared" si="7"/>
        <v>34584</v>
      </c>
      <c r="Z34" s="531">
        <f t="shared" si="8"/>
        <v>0</v>
      </c>
      <c r="AA34" s="531">
        <f t="shared" si="9"/>
        <v>44626</v>
      </c>
      <c r="AB34" s="531">
        <f t="shared" si="10"/>
        <v>11145</v>
      </c>
      <c r="AC34" s="531">
        <f t="shared" si="11"/>
        <v>11737</v>
      </c>
      <c r="AD34" s="531">
        <f t="shared" si="12"/>
        <v>0</v>
      </c>
    </row>
    <row r="35" spans="1:30" x14ac:dyDescent="0.3">
      <c r="A35" s="532">
        <v>28</v>
      </c>
      <c r="B35" s="533">
        <v>39942</v>
      </c>
      <c r="C35" s="533">
        <v>39948</v>
      </c>
      <c r="D35" s="528"/>
      <c r="E35" s="528"/>
      <c r="F35" s="528"/>
      <c r="G35" s="528"/>
      <c r="H35" s="528"/>
      <c r="I35" s="528"/>
      <c r="J35" s="528"/>
      <c r="K35" s="528"/>
      <c r="L35" s="528"/>
      <c r="M35" s="528">
        <v>9761</v>
      </c>
      <c r="N35" s="534"/>
      <c r="O35" s="534"/>
      <c r="P35" s="534"/>
      <c r="Q35" s="534"/>
      <c r="R35" s="535"/>
      <c r="S35" s="531">
        <f t="shared" si="1"/>
        <v>5029</v>
      </c>
      <c r="T35" s="531">
        <f t="shared" si="2"/>
        <v>0</v>
      </c>
      <c r="U35" s="531">
        <f t="shared" si="14"/>
        <v>44606</v>
      </c>
      <c r="V35" s="531">
        <f t="shared" si="15"/>
        <v>0</v>
      </c>
      <c r="W35" s="531">
        <f t="shared" si="5"/>
        <v>20715</v>
      </c>
      <c r="X35" s="531">
        <f t="shared" si="6"/>
        <v>0</v>
      </c>
      <c r="Y35" s="531">
        <f t="shared" si="7"/>
        <v>34584</v>
      </c>
      <c r="Z35" s="531">
        <f t="shared" si="8"/>
        <v>0</v>
      </c>
      <c r="AA35" s="531">
        <f t="shared" si="9"/>
        <v>44626</v>
      </c>
      <c r="AB35" s="531">
        <f t="shared" si="10"/>
        <v>20906</v>
      </c>
      <c r="AC35" s="531">
        <f t="shared" si="11"/>
        <v>11737</v>
      </c>
      <c r="AD35" s="531">
        <f t="shared" si="12"/>
        <v>0</v>
      </c>
    </row>
    <row r="36" spans="1:30" x14ac:dyDescent="0.3">
      <c r="A36" s="532">
        <v>29</v>
      </c>
      <c r="B36" s="533">
        <v>39949</v>
      </c>
      <c r="C36" s="533">
        <v>39955</v>
      </c>
      <c r="D36" s="528"/>
      <c r="E36" s="528"/>
      <c r="F36" s="528"/>
      <c r="G36" s="528"/>
      <c r="H36" s="528"/>
      <c r="I36" s="528">
        <v>140</v>
      </c>
      <c r="J36" s="528"/>
      <c r="K36" s="528"/>
      <c r="L36" s="528"/>
      <c r="M36" s="528">
        <v>14509</v>
      </c>
      <c r="N36" s="534"/>
      <c r="O36" s="534">
        <f t="shared" ref="O36:O42" si="16">AVERAGE(E36:N36)</f>
        <v>7324.5</v>
      </c>
      <c r="P36" s="534"/>
      <c r="Q36" s="534">
        <v>3000</v>
      </c>
      <c r="R36" s="535"/>
      <c r="S36" s="531">
        <f t="shared" si="1"/>
        <v>5029</v>
      </c>
      <c r="T36" s="531">
        <f t="shared" si="2"/>
        <v>0</v>
      </c>
      <c r="U36" s="531">
        <f t="shared" si="14"/>
        <v>44606</v>
      </c>
      <c r="V36" s="531">
        <f t="shared" si="15"/>
        <v>0</v>
      </c>
      <c r="W36" s="531">
        <f t="shared" si="5"/>
        <v>20715</v>
      </c>
      <c r="X36" s="531">
        <f t="shared" si="6"/>
        <v>140</v>
      </c>
      <c r="Y36" s="531">
        <f t="shared" si="7"/>
        <v>34584</v>
      </c>
      <c r="Z36" s="531">
        <f t="shared" si="8"/>
        <v>0</v>
      </c>
      <c r="AA36" s="531">
        <f t="shared" si="9"/>
        <v>44626</v>
      </c>
      <c r="AB36" s="531">
        <f t="shared" si="10"/>
        <v>35415</v>
      </c>
      <c r="AC36" s="531">
        <f t="shared" si="11"/>
        <v>11737</v>
      </c>
      <c r="AD36" s="531">
        <f t="shared" si="12"/>
        <v>3000</v>
      </c>
    </row>
    <row r="37" spans="1:30" x14ac:dyDescent="0.3">
      <c r="A37" s="532">
        <v>30</v>
      </c>
      <c r="B37" s="533">
        <v>39956</v>
      </c>
      <c r="C37" s="533">
        <v>39962</v>
      </c>
      <c r="D37" s="528"/>
      <c r="E37" s="528"/>
      <c r="F37" s="528"/>
      <c r="G37" s="528">
        <v>3087</v>
      </c>
      <c r="H37" s="528"/>
      <c r="I37" s="528">
        <v>262</v>
      </c>
      <c r="J37" s="528"/>
      <c r="K37" s="528">
        <v>2049</v>
      </c>
      <c r="L37" s="528"/>
      <c r="M37" s="528">
        <v>9211</v>
      </c>
      <c r="N37" s="534"/>
      <c r="O37" s="534">
        <f t="shared" si="16"/>
        <v>3652.25</v>
      </c>
      <c r="P37" s="534"/>
      <c r="Q37" s="534">
        <v>5000</v>
      </c>
      <c r="R37" s="535"/>
      <c r="S37" s="531">
        <f t="shared" si="1"/>
        <v>5029</v>
      </c>
      <c r="T37" s="531">
        <f t="shared" si="2"/>
        <v>0</v>
      </c>
      <c r="U37" s="531">
        <f t="shared" si="14"/>
        <v>44606</v>
      </c>
      <c r="V37" s="531">
        <f t="shared" si="15"/>
        <v>3087</v>
      </c>
      <c r="W37" s="531">
        <f t="shared" si="5"/>
        <v>20715</v>
      </c>
      <c r="X37" s="531">
        <f t="shared" si="6"/>
        <v>402</v>
      </c>
      <c r="Y37" s="531">
        <f t="shared" si="7"/>
        <v>34584</v>
      </c>
      <c r="Z37" s="531">
        <f t="shared" si="8"/>
        <v>2049</v>
      </c>
      <c r="AA37" s="531">
        <f t="shared" si="9"/>
        <v>44626</v>
      </c>
      <c r="AB37" s="531">
        <f t="shared" si="10"/>
        <v>44626</v>
      </c>
      <c r="AC37" s="531">
        <f t="shared" si="11"/>
        <v>11737</v>
      </c>
      <c r="AD37" s="531">
        <f t="shared" si="12"/>
        <v>8000</v>
      </c>
    </row>
    <row r="38" spans="1:30" x14ac:dyDescent="0.3">
      <c r="A38" s="532">
        <v>31</v>
      </c>
      <c r="B38" s="533">
        <v>39963</v>
      </c>
      <c r="C38" s="533">
        <v>39969</v>
      </c>
      <c r="D38" s="528"/>
      <c r="E38" s="528">
        <v>400</v>
      </c>
      <c r="F38" s="528"/>
      <c r="G38" s="528">
        <v>28694</v>
      </c>
      <c r="H38" s="528"/>
      <c r="I38" s="528">
        <v>2097</v>
      </c>
      <c r="J38" s="528"/>
      <c r="K38" s="528">
        <v>1700</v>
      </c>
      <c r="L38" s="528"/>
      <c r="M38" s="528"/>
      <c r="N38" s="534"/>
      <c r="O38" s="534">
        <f t="shared" si="16"/>
        <v>8222.75</v>
      </c>
      <c r="P38" s="534"/>
      <c r="Q38" s="534">
        <v>3737</v>
      </c>
      <c r="R38" s="535"/>
      <c r="S38" s="531">
        <f t="shared" si="1"/>
        <v>5029</v>
      </c>
      <c r="T38" s="531">
        <f t="shared" si="2"/>
        <v>400</v>
      </c>
      <c r="U38" s="531">
        <f t="shared" si="14"/>
        <v>44606</v>
      </c>
      <c r="V38" s="531">
        <f t="shared" si="15"/>
        <v>31781</v>
      </c>
      <c r="W38" s="531">
        <f t="shared" si="5"/>
        <v>20715</v>
      </c>
      <c r="X38" s="531">
        <f t="shared" si="6"/>
        <v>2499</v>
      </c>
      <c r="Y38" s="531">
        <f t="shared" si="7"/>
        <v>34584</v>
      </c>
      <c r="Z38" s="531">
        <f t="shared" si="8"/>
        <v>3749</v>
      </c>
      <c r="AA38" s="531" t="str">
        <f t="shared" si="9"/>
        <v/>
      </c>
      <c r="AB38" s="531" t="str">
        <f t="shared" si="10"/>
        <v/>
      </c>
      <c r="AC38" s="531">
        <f t="shared" si="11"/>
        <v>11737</v>
      </c>
      <c r="AD38" s="531">
        <f t="shared" si="12"/>
        <v>11737</v>
      </c>
    </row>
    <row r="39" spans="1:30" x14ac:dyDescent="0.3">
      <c r="A39" s="532">
        <v>32</v>
      </c>
      <c r="B39" s="533">
        <v>39970</v>
      </c>
      <c r="C39" s="533">
        <v>39976</v>
      </c>
      <c r="D39" s="528"/>
      <c r="E39" s="528">
        <v>1900</v>
      </c>
      <c r="F39" s="528"/>
      <c r="G39" s="528">
        <v>8921</v>
      </c>
      <c r="H39" s="528"/>
      <c r="I39" s="528">
        <v>4542</v>
      </c>
      <c r="J39" s="528"/>
      <c r="K39" s="528">
        <v>9187</v>
      </c>
      <c r="L39" s="528"/>
      <c r="M39" s="528"/>
      <c r="N39" s="534"/>
      <c r="O39" s="534">
        <f t="shared" si="16"/>
        <v>6137.5</v>
      </c>
      <c r="P39" s="534"/>
      <c r="Q39" s="534"/>
      <c r="R39" s="535"/>
      <c r="S39" s="531">
        <f t="shared" si="1"/>
        <v>5029</v>
      </c>
      <c r="T39" s="531">
        <f t="shared" si="2"/>
        <v>2300</v>
      </c>
      <c r="U39" s="531">
        <f t="shared" si="14"/>
        <v>44606</v>
      </c>
      <c r="V39" s="531">
        <f t="shared" si="15"/>
        <v>40702</v>
      </c>
      <c r="W39" s="531">
        <f t="shared" si="5"/>
        <v>20715</v>
      </c>
      <c r="X39" s="531">
        <f t="shared" si="6"/>
        <v>7041</v>
      </c>
      <c r="Y39" s="531">
        <f t="shared" si="7"/>
        <v>34584</v>
      </c>
      <c r="Z39" s="531">
        <f t="shared" si="8"/>
        <v>12936</v>
      </c>
      <c r="AA39" s="531" t="str">
        <f t="shared" si="9"/>
        <v/>
      </c>
      <c r="AB39" s="531" t="str">
        <f t="shared" si="10"/>
        <v/>
      </c>
      <c r="AC39" s="531" t="str">
        <f t="shared" si="11"/>
        <v/>
      </c>
      <c r="AD39" s="531" t="str">
        <f t="shared" si="12"/>
        <v/>
      </c>
    </row>
    <row r="40" spans="1:30" x14ac:dyDescent="0.3">
      <c r="A40" s="532">
        <v>33</v>
      </c>
      <c r="B40" s="533">
        <v>39977</v>
      </c>
      <c r="C40" s="533">
        <v>39983</v>
      </c>
      <c r="D40" s="528"/>
      <c r="E40" s="528">
        <v>709</v>
      </c>
      <c r="F40" s="528"/>
      <c r="G40" s="528">
        <v>3904</v>
      </c>
      <c r="H40" s="528"/>
      <c r="I40" s="528">
        <v>5949</v>
      </c>
      <c r="J40" s="528"/>
      <c r="K40" s="528">
        <v>8426</v>
      </c>
      <c r="L40" s="528"/>
      <c r="M40" s="528"/>
      <c r="N40" s="534"/>
      <c r="O40" s="534">
        <f t="shared" si="16"/>
        <v>4747</v>
      </c>
      <c r="P40" s="534"/>
      <c r="Q40" s="534"/>
      <c r="R40" s="535"/>
      <c r="S40" s="531">
        <f t="shared" si="1"/>
        <v>5029</v>
      </c>
      <c r="T40" s="531">
        <f t="shared" si="2"/>
        <v>3009</v>
      </c>
      <c r="U40" s="531">
        <f t="shared" si="14"/>
        <v>44606</v>
      </c>
      <c r="V40" s="531">
        <f t="shared" si="15"/>
        <v>44606</v>
      </c>
      <c r="W40" s="531">
        <f t="shared" si="5"/>
        <v>20715</v>
      </c>
      <c r="X40" s="531">
        <f t="shared" si="6"/>
        <v>12990</v>
      </c>
      <c r="Y40" s="531">
        <f t="shared" si="7"/>
        <v>34584</v>
      </c>
      <c r="Z40" s="531">
        <f t="shared" si="8"/>
        <v>21362</v>
      </c>
      <c r="AA40" s="531" t="str">
        <f t="shared" si="9"/>
        <v/>
      </c>
      <c r="AB40" s="531" t="str">
        <f t="shared" si="10"/>
        <v/>
      </c>
      <c r="AC40" s="531" t="str">
        <f t="shared" si="11"/>
        <v/>
      </c>
      <c r="AD40" s="531" t="str">
        <f t="shared" si="12"/>
        <v/>
      </c>
    </row>
    <row r="41" spans="1:30" x14ac:dyDescent="0.3">
      <c r="A41" s="532">
        <v>34</v>
      </c>
      <c r="B41" s="533">
        <v>39984</v>
      </c>
      <c r="C41" s="533">
        <v>39990</v>
      </c>
      <c r="D41" s="528"/>
      <c r="E41" s="528">
        <v>2020</v>
      </c>
      <c r="F41" s="528"/>
      <c r="G41" s="528"/>
      <c r="H41" s="528"/>
      <c r="I41" s="528">
        <v>4680</v>
      </c>
      <c r="J41" s="528"/>
      <c r="K41" s="528">
        <v>8116</v>
      </c>
      <c r="L41" s="528"/>
      <c r="M41" s="528"/>
      <c r="N41" s="534"/>
      <c r="O41" s="534">
        <f t="shared" si="16"/>
        <v>4938.666666666667</v>
      </c>
      <c r="P41" s="534"/>
      <c r="Q41" s="534"/>
      <c r="R41" s="535"/>
      <c r="S41" s="531">
        <f t="shared" si="1"/>
        <v>5029</v>
      </c>
      <c r="T41" s="531">
        <f t="shared" si="2"/>
        <v>5029</v>
      </c>
      <c r="U41" s="531" t="str">
        <f t="shared" si="14"/>
        <v/>
      </c>
      <c r="V41" s="531" t="str">
        <f t="shared" si="15"/>
        <v/>
      </c>
      <c r="W41" s="531">
        <f t="shared" si="5"/>
        <v>20715</v>
      </c>
      <c r="X41" s="531">
        <f t="shared" si="6"/>
        <v>17670</v>
      </c>
      <c r="Y41" s="531">
        <f t="shared" si="7"/>
        <v>34584</v>
      </c>
      <c r="Z41" s="531">
        <f t="shared" si="8"/>
        <v>29478</v>
      </c>
      <c r="AA41" s="531" t="str">
        <f t="shared" si="9"/>
        <v/>
      </c>
      <c r="AB41" s="531" t="str">
        <f t="shared" si="10"/>
        <v/>
      </c>
      <c r="AC41" s="531" t="str">
        <f t="shared" si="11"/>
        <v/>
      </c>
      <c r="AD41" s="531" t="str">
        <f t="shared" si="12"/>
        <v/>
      </c>
    </row>
    <row r="42" spans="1:30" x14ac:dyDescent="0.3">
      <c r="A42" s="532">
        <v>35</v>
      </c>
      <c r="B42" s="533">
        <v>39991</v>
      </c>
      <c r="C42" s="533">
        <v>39997</v>
      </c>
      <c r="D42" s="528"/>
      <c r="E42" s="528"/>
      <c r="F42" s="528"/>
      <c r="G42" s="528"/>
      <c r="H42" s="528"/>
      <c r="I42" s="528">
        <v>3045</v>
      </c>
      <c r="J42" s="528"/>
      <c r="K42" s="528">
        <v>5106</v>
      </c>
      <c r="L42" s="528"/>
      <c r="M42" s="528"/>
      <c r="N42" s="534"/>
      <c r="O42" s="534">
        <f t="shared" si="16"/>
        <v>4075.5</v>
      </c>
      <c r="P42" s="534"/>
      <c r="Q42" s="534"/>
      <c r="R42" s="535"/>
      <c r="S42" s="531" t="str">
        <f t="shared" si="1"/>
        <v/>
      </c>
      <c r="T42" s="531" t="str">
        <f t="shared" si="2"/>
        <v/>
      </c>
      <c r="U42" s="531" t="str">
        <f t="shared" si="14"/>
        <v/>
      </c>
      <c r="V42" s="531" t="str">
        <f t="shared" si="15"/>
        <v/>
      </c>
      <c r="W42" s="531">
        <f t="shared" si="5"/>
        <v>20715</v>
      </c>
      <c r="X42" s="531">
        <f t="shared" si="6"/>
        <v>20715</v>
      </c>
      <c r="Y42" s="531">
        <f t="shared" si="7"/>
        <v>34584</v>
      </c>
      <c r="Z42" s="531">
        <f t="shared" si="8"/>
        <v>34584</v>
      </c>
      <c r="AA42" s="531" t="str">
        <f t="shared" si="9"/>
        <v/>
      </c>
      <c r="AB42" s="531" t="str">
        <f t="shared" si="10"/>
        <v/>
      </c>
      <c r="AC42" s="531" t="str">
        <f t="shared" si="11"/>
        <v/>
      </c>
      <c r="AD42" s="531" t="str">
        <f t="shared" si="12"/>
        <v/>
      </c>
    </row>
    <row r="43" spans="1:30" x14ac:dyDescent="0.3">
      <c r="A43" s="532">
        <v>36</v>
      </c>
      <c r="B43" s="533">
        <v>39998</v>
      </c>
      <c r="C43" s="533">
        <v>40004</v>
      </c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34"/>
      <c r="O43" s="534"/>
      <c r="P43" s="534"/>
      <c r="Q43" s="534"/>
      <c r="R43" s="535"/>
      <c r="S43" s="531" t="str">
        <f t="shared" si="1"/>
        <v/>
      </c>
      <c r="T43" s="531" t="str">
        <f t="shared" si="2"/>
        <v/>
      </c>
      <c r="U43" s="531" t="str">
        <f t="shared" si="14"/>
        <v/>
      </c>
      <c r="V43" s="531" t="str">
        <f t="shared" si="15"/>
        <v/>
      </c>
      <c r="W43" s="531" t="str">
        <f t="shared" si="5"/>
        <v/>
      </c>
      <c r="X43" s="531" t="str">
        <f t="shared" si="6"/>
        <v/>
      </c>
      <c r="Y43" s="531" t="str">
        <f t="shared" si="7"/>
        <v/>
      </c>
      <c r="Z43" s="531" t="str">
        <f t="shared" si="8"/>
        <v/>
      </c>
      <c r="AA43" s="531" t="str">
        <f t="shared" si="9"/>
        <v/>
      </c>
      <c r="AB43" s="531" t="str">
        <f t="shared" si="10"/>
        <v/>
      </c>
      <c r="AC43" s="531" t="str">
        <f t="shared" si="11"/>
        <v/>
      </c>
      <c r="AD43" s="531" t="str">
        <f t="shared" si="12"/>
        <v/>
      </c>
    </row>
    <row r="44" spans="1:30" x14ac:dyDescent="0.3">
      <c r="A44" s="532">
        <v>37</v>
      </c>
      <c r="B44" s="533">
        <v>40005</v>
      </c>
      <c r="C44" s="533">
        <v>40011</v>
      </c>
      <c r="D44" s="528"/>
      <c r="E44" s="528"/>
      <c r="F44" s="528"/>
      <c r="G44" s="528"/>
      <c r="H44" s="528"/>
      <c r="I44" s="528"/>
      <c r="J44" s="528"/>
      <c r="K44" s="528"/>
      <c r="L44" s="528"/>
      <c r="M44" s="528"/>
      <c r="N44" s="534"/>
      <c r="O44" s="534"/>
      <c r="P44" s="534"/>
      <c r="Q44" s="534"/>
      <c r="R44" s="535"/>
      <c r="S44" s="531" t="str">
        <f t="shared" si="1"/>
        <v/>
      </c>
      <c r="T44" s="531" t="str">
        <f t="shared" si="2"/>
        <v/>
      </c>
      <c r="U44" s="531" t="str">
        <f>IF(AND(U43=F$60,V43=G$60),"",IF(U43="","",U43+F44))</f>
        <v/>
      </c>
      <c r="V44" s="531" t="str">
        <f>IF(AND(U43=F$60,V43=G$60),"",IF(V43="","",V43+G44))</f>
        <v/>
      </c>
      <c r="W44" s="531" t="str">
        <f t="shared" si="5"/>
        <v/>
      </c>
      <c r="X44" s="531" t="str">
        <f t="shared" si="6"/>
        <v/>
      </c>
      <c r="Y44" s="531" t="str">
        <f t="shared" si="7"/>
        <v/>
      </c>
      <c r="Z44" s="531" t="str">
        <f t="shared" si="8"/>
        <v/>
      </c>
      <c r="AA44" s="531" t="str">
        <f t="shared" si="9"/>
        <v/>
      </c>
      <c r="AB44" s="531" t="str">
        <f t="shared" si="10"/>
        <v/>
      </c>
      <c r="AC44" s="531" t="str">
        <f t="shared" si="11"/>
        <v/>
      </c>
      <c r="AD44" s="531" t="str">
        <f t="shared" si="12"/>
        <v/>
      </c>
    </row>
    <row r="45" spans="1:30" x14ac:dyDescent="0.3">
      <c r="A45" s="532">
        <v>38</v>
      </c>
      <c r="B45" s="533">
        <v>40012</v>
      </c>
      <c r="C45" s="533">
        <v>40018</v>
      </c>
      <c r="D45" s="528"/>
      <c r="E45" s="528"/>
      <c r="F45" s="528"/>
      <c r="G45" s="528"/>
      <c r="H45" s="528"/>
      <c r="I45" s="528"/>
      <c r="J45" s="528"/>
      <c r="K45" s="528"/>
      <c r="L45" s="528"/>
      <c r="M45" s="528"/>
      <c r="N45" s="534"/>
      <c r="O45" s="534"/>
      <c r="P45" s="534"/>
      <c r="Q45" s="534"/>
      <c r="R45" s="535"/>
      <c r="S45" s="531" t="str">
        <f t="shared" si="1"/>
        <v/>
      </c>
      <c r="T45" s="531" t="str">
        <f t="shared" si="2"/>
        <v/>
      </c>
      <c r="U45" s="531" t="str">
        <f>IF(AND(U44=F$60,V44=G$60),"",IF(U44="","",U44+F45))</f>
        <v/>
      </c>
      <c r="V45" s="531" t="str">
        <f>IF(AND(U44=F$60,V44=G$60),"",IF(V44="","",V44+G45))</f>
        <v/>
      </c>
      <c r="W45" s="531" t="str">
        <f t="shared" si="5"/>
        <v/>
      </c>
      <c r="X45" s="531" t="str">
        <f t="shared" si="6"/>
        <v/>
      </c>
      <c r="Y45" s="531" t="str">
        <f t="shared" si="7"/>
        <v/>
      </c>
      <c r="Z45" s="531" t="str">
        <f t="shared" si="8"/>
        <v/>
      </c>
      <c r="AA45" s="531" t="str">
        <f t="shared" si="9"/>
        <v/>
      </c>
      <c r="AB45" s="531" t="str">
        <f t="shared" si="10"/>
        <v/>
      </c>
      <c r="AC45" s="531" t="str">
        <f t="shared" si="11"/>
        <v/>
      </c>
      <c r="AD45" s="531" t="str">
        <f t="shared" si="12"/>
        <v/>
      </c>
    </row>
    <row r="46" spans="1:30" x14ac:dyDescent="0.3">
      <c r="A46" s="532">
        <v>39</v>
      </c>
      <c r="B46" s="533">
        <v>40019</v>
      </c>
      <c r="C46" s="533">
        <v>40025</v>
      </c>
      <c r="D46" s="528"/>
      <c r="E46" s="528"/>
      <c r="F46" s="528"/>
      <c r="G46" s="528"/>
      <c r="H46" s="528"/>
      <c r="I46" s="528"/>
      <c r="J46" s="528"/>
      <c r="K46" s="528"/>
      <c r="L46" s="528"/>
      <c r="M46" s="528"/>
      <c r="N46" s="534"/>
      <c r="O46" s="534"/>
      <c r="P46" s="534"/>
      <c r="Q46" s="534"/>
      <c r="R46" s="535"/>
      <c r="S46" s="531" t="str">
        <f t="shared" si="1"/>
        <v/>
      </c>
      <c r="T46" s="531" t="str">
        <f t="shared" si="2"/>
        <v/>
      </c>
      <c r="U46" s="531" t="str">
        <f>IF(AND(U45=F$60,V45=G$60),"",IF(U45="","",U45+F46))</f>
        <v/>
      </c>
      <c r="V46" s="531" t="str">
        <f>IF(AND(U45=F$60,V45=G$60),"",IF(V45="","",V45+G46))</f>
        <v/>
      </c>
      <c r="W46" s="531" t="str">
        <f t="shared" si="5"/>
        <v/>
      </c>
      <c r="X46" s="531" t="str">
        <f t="shared" si="6"/>
        <v/>
      </c>
      <c r="Y46" s="531" t="str">
        <f t="shared" si="7"/>
        <v/>
      </c>
      <c r="Z46" s="531" t="str">
        <f t="shared" si="8"/>
        <v/>
      </c>
      <c r="AA46" s="531" t="str">
        <f t="shared" si="9"/>
        <v/>
      </c>
      <c r="AB46" s="531" t="str">
        <f t="shared" si="10"/>
        <v/>
      </c>
      <c r="AC46" s="531" t="str">
        <f t="shared" si="11"/>
        <v/>
      </c>
      <c r="AD46" s="531" t="str">
        <f t="shared" si="12"/>
        <v/>
      </c>
    </row>
    <row r="47" spans="1:30" x14ac:dyDescent="0.3">
      <c r="A47" s="532">
        <v>40</v>
      </c>
      <c r="B47" s="533">
        <v>40026</v>
      </c>
      <c r="C47" s="533">
        <v>40032</v>
      </c>
      <c r="D47" s="528"/>
      <c r="E47" s="528"/>
      <c r="F47" s="528"/>
      <c r="G47" s="528"/>
      <c r="H47" s="528"/>
      <c r="I47" s="528"/>
      <c r="J47" s="528"/>
      <c r="K47" s="528"/>
      <c r="L47" s="528"/>
      <c r="M47" s="528"/>
      <c r="N47" s="534"/>
      <c r="O47" s="534"/>
      <c r="P47" s="534"/>
      <c r="Q47" s="534"/>
      <c r="R47" s="535"/>
      <c r="S47" s="531" t="str">
        <f t="shared" si="1"/>
        <v/>
      </c>
      <c r="T47" s="531" t="str">
        <f t="shared" si="2"/>
        <v/>
      </c>
      <c r="U47" s="531" t="str">
        <f>IF(AND(U46=F$60,V46=G$60),"",IF(U46="","",U46+F47))</f>
        <v/>
      </c>
      <c r="V47" s="531" t="str">
        <f>IF(AND(U46=F$60,V46=G$60),"",IF(V46="","",V46+G47))</f>
        <v/>
      </c>
      <c r="W47" s="531" t="str">
        <f t="shared" si="5"/>
        <v/>
      </c>
      <c r="X47" s="531" t="str">
        <f t="shared" si="6"/>
        <v/>
      </c>
      <c r="Y47" s="531" t="str">
        <f t="shared" si="7"/>
        <v/>
      </c>
      <c r="Z47" s="531" t="str">
        <f t="shared" si="8"/>
        <v/>
      </c>
      <c r="AA47" s="531" t="str">
        <f t="shared" si="9"/>
        <v/>
      </c>
      <c r="AB47" s="531" t="str">
        <f t="shared" si="10"/>
        <v/>
      </c>
      <c r="AC47" s="531" t="str">
        <f t="shared" si="11"/>
        <v/>
      </c>
      <c r="AD47" s="531" t="str">
        <f t="shared" si="12"/>
        <v/>
      </c>
    </row>
    <row r="48" spans="1:30" x14ac:dyDescent="0.3">
      <c r="A48" s="532">
        <v>41</v>
      </c>
      <c r="B48" s="533">
        <v>40033</v>
      </c>
      <c r="C48" s="533">
        <v>40039</v>
      </c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34"/>
      <c r="O48" s="534"/>
      <c r="P48" s="534"/>
      <c r="Q48" s="534"/>
      <c r="R48" s="535"/>
      <c r="S48" s="531" t="str">
        <f t="shared" si="1"/>
        <v/>
      </c>
      <c r="T48" s="531" t="str">
        <f t="shared" si="2"/>
        <v/>
      </c>
      <c r="U48" s="531" t="str">
        <f t="shared" ref="U48:U59" si="17">IF(AND(U47=F$60,V47=G$60),"",IF(U47="","",U47+F48))</f>
        <v/>
      </c>
      <c r="V48" s="531" t="str">
        <f t="shared" ref="V48:V59" si="18">IF(AND(U47=F$60,V47=G$60),"",IF(V47="","",V47+G48))</f>
        <v/>
      </c>
      <c r="W48" s="531" t="str">
        <f t="shared" si="5"/>
        <v/>
      </c>
      <c r="X48" s="531" t="str">
        <f t="shared" si="6"/>
        <v/>
      </c>
      <c r="Y48" s="531" t="str">
        <f t="shared" si="7"/>
        <v/>
      </c>
      <c r="Z48" s="531" t="str">
        <f t="shared" si="8"/>
        <v/>
      </c>
      <c r="AA48" s="531" t="str">
        <f t="shared" si="9"/>
        <v/>
      </c>
      <c r="AB48" s="531" t="str">
        <f t="shared" si="10"/>
        <v/>
      </c>
      <c r="AC48" s="531" t="str">
        <f t="shared" si="11"/>
        <v/>
      </c>
      <c r="AD48" s="531" t="str">
        <f t="shared" si="12"/>
        <v/>
      </c>
    </row>
    <row r="49" spans="1:30" x14ac:dyDescent="0.3">
      <c r="A49" s="532">
        <v>42</v>
      </c>
      <c r="B49" s="533">
        <v>40040</v>
      </c>
      <c r="C49" s="533">
        <v>40046</v>
      </c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34"/>
      <c r="O49" s="534"/>
      <c r="P49" s="534"/>
      <c r="Q49" s="534"/>
      <c r="R49" s="535"/>
      <c r="S49" s="531" t="str">
        <f t="shared" si="1"/>
        <v/>
      </c>
      <c r="T49" s="531" t="str">
        <f t="shared" si="2"/>
        <v/>
      </c>
      <c r="U49" s="531" t="str">
        <f t="shared" si="17"/>
        <v/>
      </c>
      <c r="V49" s="531" t="str">
        <f t="shared" si="18"/>
        <v/>
      </c>
      <c r="W49" s="531" t="str">
        <f t="shared" si="5"/>
        <v/>
      </c>
      <c r="X49" s="531" t="str">
        <f t="shared" si="6"/>
        <v/>
      </c>
      <c r="Y49" s="531" t="str">
        <f t="shared" si="7"/>
        <v/>
      </c>
      <c r="Z49" s="531" t="str">
        <f t="shared" si="8"/>
        <v/>
      </c>
      <c r="AA49" s="531" t="str">
        <f t="shared" si="9"/>
        <v/>
      </c>
      <c r="AB49" s="531" t="str">
        <f t="shared" si="10"/>
        <v/>
      </c>
      <c r="AC49" s="531" t="str">
        <f t="shared" si="11"/>
        <v/>
      </c>
      <c r="AD49" s="531" t="str">
        <f t="shared" si="12"/>
        <v/>
      </c>
    </row>
    <row r="50" spans="1:30" x14ac:dyDescent="0.3">
      <c r="A50" s="532">
        <v>43</v>
      </c>
      <c r="B50" s="533">
        <v>40047</v>
      </c>
      <c r="C50" s="533">
        <v>40053</v>
      </c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34"/>
      <c r="O50" s="534"/>
      <c r="P50" s="534"/>
      <c r="Q50" s="534"/>
      <c r="R50" s="535"/>
      <c r="S50" s="531" t="str">
        <f t="shared" si="1"/>
        <v/>
      </c>
      <c r="T50" s="531" t="str">
        <f t="shared" si="2"/>
        <v/>
      </c>
      <c r="U50" s="531" t="str">
        <f t="shared" si="17"/>
        <v/>
      </c>
      <c r="V50" s="531" t="str">
        <f t="shared" si="18"/>
        <v/>
      </c>
      <c r="W50" s="531" t="str">
        <f t="shared" si="5"/>
        <v/>
      </c>
      <c r="X50" s="531" t="str">
        <f t="shared" si="6"/>
        <v/>
      </c>
      <c r="Y50" s="531" t="str">
        <f t="shared" si="7"/>
        <v/>
      </c>
      <c r="Z50" s="531" t="str">
        <f t="shared" si="8"/>
        <v/>
      </c>
      <c r="AA50" s="531" t="str">
        <f t="shared" si="9"/>
        <v/>
      </c>
      <c r="AB50" s="531" t="str">
        <f t="shared" si="10"/>
        <v/>
      </c>
      <c r="AC50" s="531" t="str">
        <f t="shared" si="11"/>
        <v/>
      </c>
      <c r="AD50" s="531" t="str">
        <f t="shared" si="12"/>
        <v/>
      </c>
    </row>
    <row r="51" spans="1:30" x14ac:dyDescent="0.3">
      <c r="A51" s="532">
        <v>44</v>
      </c>
      <c r="B51" s="533">
        <v>40054</v>
      </c>
      <c r="C51" s="533">
        <v>40060</v>
      </c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34"/>
      <c r="O51" s="534"/>
      <c r="P51" s="534"/>
      <c r="Q51" s="534"/>
      <c r="R51" s="535"/>
      <c r="S51" s="531" t="str">
        <f t="shared" si="1"/>
        <v/>
      </c>
      <c r="T51" s="531" t="str">
        <f t="shared" si="2"/>
        <v/>
      </c>
      <c r="U51" s="531" t="str">
        <f t="shared" si="17"/>
        <v/>
      </c>
      <c r="V51" s="531" t="str">
        <f t="shared" si="18"/>
        <v/>
      </c>
      <c r="W51" s="531" t="str">
        <f t="shared" si="5"/>
        <v/>
      </c>
      <c r="X51" s="531" t="str">
        <f t="shared" si="6"/>
        <v/>
      </c>
      <c r="Y51" s="531" t="str">
        <f t="shared" si="7"/>
        <v/>
      </c>
      <c r="Z51" s="531" t="str">
        <f t="shared" si="8"/>
        <v/>
      </c>
      <c r="AA51" s="531" t="str">
        <f t="shared" si="9"/>
        <v/>
      </c>
      <c r="AB51" s="531" t="str">
        <f t="shared" si="10"/>
        <v/>
      </c>
      <c r="AC51" s="531" t="str">
        <f t="shared" si="11"/>
        <v/>
      </c>
      <c r="AD51" s="531" t="str">
        <f t="shared" si="12"/>
        <v/>
      </c>
    </row>
    <row r="52" spans="1:30" x14ac:dyDescent="0.3">
      <c r="A52" s="532">
        <v>45</v>
      </c>
      <c r="B52" s="533">
        <v>40061</v>
      </c>
      <c r="C52" s="533">
        <v>40067</v>
      </c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34"/>
      <c r="O52" s="534"/>
      <c r="P52" s="534"/>
      <c r="Q52" s="534"/>
      <c r="R52" s="535"/>
      <c r="S52" s="531" t="str">
        <f t="shared" si="1"/>
        <v/>
      </c>
      <c r="T52" s="531" t="str">
        <f t="shared" si="2"/>
        <v/>
      </c>
      <c r="U52" s="531" t="str">
        <f t="shared" si="17"/>
        <v/>
      </c>
      <c r="V52" s="531" t="str">
        <f t="shared" si="18"/>
        <v/>
      </c>
      <c r="W52" s="531" t="str">
        <f t="shared" si="5"/>
        <v/>
      </c>
      <c r="X52" s="531" t="str">
        <f t="shared" si="6"/>
        <v/>
      </c>
      <c r="Y52" s="531" t="str">
        <f t="shared" si="7"/>
        <v/>
      </c>
      <c r="Z52" s="531" t="str">
        <f t="shared" si="8"/>
        <v/>
      </c>
      <c r="AA52" s="531" t="str">
        <f t="shared" si="9"/>
        <v/>
      </c>
      <c r="AB52" s="531" t="str">
        <f t="shared" si="10"/>
        <v/>
      </c>
      <c r="AC52" s="531" t="str">
        <f t="shared" si="11"/>
        <v/>
      </c>
      <c r="AD52" s="531" t="str">
        <f t="shared" si="12"/>
        <v/>
      </c>
    </row>
    <row r="53" spans="1:30" x14ac:dyDescent="0.3">
      <c r="A53" s="532">
        <v>46</v>
      </c>
      <c r="B53" s="533">
        <v>40068</v>
      </c>
      <c r="C53" s="533">
        <v>40074</v>
      </c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34"/>
      <c r="O53" s="534"/>
      <c r="P53" s="534"/>
      <c r="Q53" s="534"/>
      <c r="R53" s="535"/>
      <c r="S53" s="531" t="str">
        <f t="shared" si="1"/>
        <v/>
      </c>
      <c r="T53" s="531" t="str">
        <f t="shared" si="2"/>
        <v/>
      </c>
      <c r="U53" s="531" t="str">
        <f t="shared" si="17"/>
        <v/>
      </c>
      <c r="V53" s="531" t="str">
        <f t="shared" si="18"/>
        <v/>
      </c>
      <c r="W53" s="531" t="str">
        <f t="shared" si="5"/>
        <v/>
      </c>
      <c r="X53" s="531" t="str">
        <f t="shared" si="6"/>
        <v/>
      </c>
      <c r="Y53" s="531" t="str">
        <f t="shared" si="7"/>
        <v/>
      </c>
      <c r="Z53" s="531" t="str">
        <f t="shared" si="8"/>
        <v/>
      </c>
      <c r="AA53" s="531" t="str">
        <f t="shared" si="9"/>
        <v/>
      </c>
      <c r="AB53" s="531" t="str">
        <f t="shared" si="10"/>
        <v/>
      </c>
      <c r="AC53" s="531" t="str">
        <f t="shared" si="11"/>
        <v/>
      </c>
      <c r="AD53" s="531" t="str">
        <f t="shared" si="12"/>
        <v/>
      </c>
    </row>
    <row r="54" spans="1:30" x14ac:dyDescent="0.3">
      <c r="A54" s="532">
        <v>47</v>
      </c>
      <c r="B54" s="533">
        <v>40075</v>
      </c>
      <c r="C54" s="533">
        <v>40081</v>
      </c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34"/>
      <c r="O54" s="534"/>
      <c r="P54" s="534"/>
      <c r="Q54" s="534"/>
      <c r="R54" s="535"/>
      <c r="S54" s="531" t="str">
        <f t="shared" si="1"/>
        <v/>
      </c>
      <c r="T54" s="531" t="str">
        <f t="shared" si="2"/>
        <v/>
      </c>
      <c r="U54" s="531" t="str">
        <f t="shared" si="17"/>
        <v/>
      </c>
      <c r="V54" s="531" t="str">
        <f t="shared" si="18"/>
        <v/>
      </c>
      <c r="W54" s="531" t="str">
        <f t="shared" si="5"/>
        <v/>
      </c>
      <c r="X54" s="531" t="str">
        <f t="shared" si="6"/>
        <v/>
      </c>
      <c r="Y54" s="531" t="str">
        <f t="shared" si="7"/>
        <v/>
      </c>
      <c r="Z54" s="531" t="str">
        <f t="shared" si="8"/>
        <v/>
      </c>
      <c r="AA54" s="531" t="str">
        <f t="shared" si="9"/>
        <v/>
      </c>
      <c r="AB54" s="531" t="str">
        <f t="shared" si="10"/>
        <v/>
      </c>
      <c r="AC54" s="531" t="str">
        <f t="shared" si="11"/>
        <v/>
      </c>
      <c r="AD54" s="531" t="str">
        <f t="shared" si="12"/>
        <v/>
      </c>
    </row>
    <row r="55" spans="1:30" x14ac:dyDescent="0.3">
      <c r="A55" s="532">
        <v>48</v>
      </c>
      <c r="B55" s="533">
        <v>40082</v>
      </c>
      <c r="C55" s="533">
        <v>40088</v>
      </c>
      <c r="D55" s="528"/>
      <c r="E55" s="528"/>
      <c r="F55" s="528"/>
      <c r="G55" s="528"/>
      <c r="H55" s="528"/>
      <c r="I55" s="528"/>
      <c r="J55" s="528"/>
      <c r="K55" s="528"/>
      <c r="L55" s="528"/>
      <c r="M55" s="528"/>
      <c r="N55" s="534"/>
      <c r="O55" s="534"/>
      <c r="P55" s="534"/>
      <c r="Q55" s="534"/>
      <c r="R55" s="535"/>
      <c r="S55" s="531" t="str">
        <f t="shared" si="1"/>
        <v/>
      </c>
      <c r="T55" s="531" t="str">
        <f t="shared" si="2"/>
        <v/>
      </c>
      <c r="U55" s="531" t="str">
        <f t="shared" si="17"/>
        <v/>
      </c>
      <c r="V55" s="531" t="str">
        <f t="shared" si="18"/>
        <v/>
      </c>
      <c r="W55" s="531" t="str">
        <f t="shared" si="5"/>
        <v/>
      </c>
      <c r="X55" s="531" t="str">
        <f t="shared" si="6"/>
        <v/>
      </c>
      <c r="Y55" s="531" t="str">
        <f t="shared" si="7"/>
        <v/>
      </c>
      <c r="Z55" s="531" t="str">
        <f t="shared" si="8"/>
        <v/>
      </c>
      <c r="AA55" s="531" t="str">
        <f t="shared" si="9"/>
        <v/>
      </c>
      <c r="AB55" s="531" t="str">
        <f t="shared" si="10"/>
        <v/>
      </c>
      <c r="AC55" s="531" t="str">
        <f t="shared" si="11"/>
        <v/>
      </c>
      <c r="AD55" s="531" t="str">
        <f t="shared" si="12"/>
        <v/>
      </c>
    </row>
    <row r="56" spans="1:30" x14ac:dyDescent="0.3">
      <c r="A56" s="532">
        <v>49</v>
      </c>
      <c r="B56" s="533">
        <v>40089</v>
      </c>
      <c r="C56" s="533">
        <v>40095</v>
      </c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34"/>
      <c r="O56" s="534"/>
      <c r="P56" s="534"/>
      <c r="Q56" s="534"/>
      <c r="R56" s="535"/>
      <c r="S56" s="531" t="str">
        <f t="shared" si="1"/>
        <v/>
      </c>
      <c r="T56" s="531" t="str">
        <f t="shared" si="2"/>
        <v/>
      </c>
      <c r="U56" s="531" t="str">
        <f t="shared" si="17"/>
        <v/>
      </c>
      <c r="V56" s="531" t="str">
        <f t="shared" si="18"/>
        <v/>
      </c>
      <c r="W56" s="531" t="str">
        <f t="shared" si="5"/>
        <v/>
      </c>
      <c r="X56" s="531" t="str">
        <f t="shared" si="6"/>
        <v/>
      </c>
      <c r="Y56" s="531" t="str">
        <f t="shared" si="7"/>
        <v/>
      </c>
      <c r="Z56" s="531" t="str">
        <f t="shared" si="8"/>
        <v/>
      </c>
      <c r="AA56" s="531" t="str">
        <f t="shared" si="9"/>
        <v/>
      </c>
      <c r="AB56" s="531" t="str">
        <f t="shared" si="10"/>
        <v/>
      </c>
      <c r="AC56" s="531" t="str">
        <f t="shared" si="11"/>
        <v/>
      </c>
      <c r="AD56" s="531" t="str">
        <f t="shared" si="12"/>
        <v/>
      </c>
    </row>
    <row r="57" spans="1:30" x14ac:dyDescent="0.3">
      <c r="A57" s="532">
        <v>50</v>
      </c>
      <c r="B57" s="533">
        <v>40096</v>
      </c>
      <c r="C57" s="533">
        <v>40102</v>
      </c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34"/>
      <c r="O57" s="534"/>
      <c r="P57" s="534"/>
      <c r="Q57" s="534"/>
      <c r="R57" s="535"/>
      <c r="S57" s="531" t="str">
        <f t="shared" si="1"/>
        <v/>
      </c>
      <c r="T57" s="531" t="str">
        <f t="shared" si="2"/>
        <v/>
      </c>
      <c r="U57" s="531" t="str">
        <f t="shared" si="17"/>
        <v/>
      </c>
      <c r="V57" s="531" t="str">
        <f t="shared" si="18"/>
        <v/>
      </c>
      <c r="W57" s="531" t="str">
        <f t="shared" si="5"/>
        <v/>
      </c>
      <c r="X57" s="531" t="str">
        <f t="shared" si="6"/>
        <v/>
      </c>
      <c r="Y57" s="531" t="str">
        <f t="shared" si="7"/>
        <v/>
      </c>
      <c r="Z57" s="531" t="str">
        <f t="shared" si="8"/>
        <v/>
      </c>
      <c r="AA57" s="531" t="str">
        <f t="shared" si="9"/>
        <v/>
      </c>
      <c r="AB57" s="531" t="str">
        <f t="shared" si="10"/>
        <v/>
      </c>
      <c r="AC57" s="531" t="str">
        <f t="shared" si="11"/>
        <v/>
      </c>
      <c r="AD57" s="531" t="str">
        <f t="shared" si="12"/>
        <v/>
      </c>
    </row>
    <row r="58" spans="1:30" x14ac:dyDescent="0.3">
      <c r="A58" s="532">
        <v>51</v>
      </c>
      <c r="B58" s="533">
        <v>40103</v>
      </c>
      <c r="C58" s="533">
        <v>40109</v>
      </c>
      <c r="D58" s="528"/>
      <c r="E58" s="528"/>
      <c r="F58" s="528"/>
      <c r="G58" s="528"/>
      <c r="H58" s="528"/>
      <c r="I58" s="528"/>
      <c r="J58" s="528"/>
      <c r="K58" s="528"/>
      <c r="L58" s="528"/>
      <c r="M58" s="528"/>
      <c r="N58" s="534"/>
      <c r="O58" s="534"/>
      <c r="P58" s="534"/>
      <c r="Q58" s="534"/>
      <c r="R58" s="535"/>
      <c r="S58" s="531" t="str">
        <f t="shared" si="1"/>
        <v/>
      </c>
      <c r="T58" s="531" t="str">
        <f t="shared" si="2"/>
        <v/>
      </c>
      <c r="U58" s="531" t="str">
        <f t="shared" si="17"/>
        <v/>
      </c>
      <c r="V58" s="531" t="str">
        <f t="shared" si="18"/>
        <v/>
      </c>
      <c r="W58" s="531" t="str">
        <f t="shared" si="5"/>
        <v/>
      </c>
      <c r="X58" s="531" t="str">
        <f t="shared" si="6"/>
        <v/>
      </c>
      <c r="Y58" s="531" t="str">
        <f t="shared" si="7"/>
        <v/>
      </c>
      <c r="Z58" s="531" t="str">
        <f t="shared" si="8"/>
        <v/>
      </c>
      <c r="AA58" s="531" t="str">
        <f t="shared" si="9"/>
        <v/>
      </c>
      <c r="AB58" s="531" t="str">
        <f t="shared" si="10"/>
        <v/>
      </c>
      <c r="AC58" s="531" t="str">
        <f t="shared" si="11"/>
        <v/>
      </c>
      <c r="AD58" s="531" t="str">
        <f t="shared" si="12"/>
        <v/>
      </c>
    </row>
    <row r="59" spans="1:30" x14ac:dyDescent="0.3">
      <c r="A59" s="536">
        <v>52</v>
      </c>
      <c r="B59" s="537">
        <v>40110</v>
      </c>
      <c r="C59" s="537">
        <v>40116</v>
      </c>
      <c r="D59" s="528"/>
      <c r="E59" s="528"/>
      <c r="F59" s="528"/>
      <c r="G59" s="528"/>
      <c r="H59" s="538"/>
      <c r="I59" s="538"/>
      <c r="J59" s="538"/>
      <c r="K59" s="538"/>
      <c r="L59" s="538"/>
      <c r="M59" s="538"/>
      <c r="N59" s="539"/>
      <c r="O59" s="539"/>
      <c r="P59" s="539"/>
      <c r="Q59" s="539"/>
      <c r="R59" s="540"/>
      <c r="S59" s="541" t="str">
        <f t="shared" si="1"/>
        <v/>
      </c>
      <c r="T59" s="541" t="str">
        <f t="shared" si="2"/>
        <v/>
      </c>
      <c r="U59" s="541" t="str">
        <f t="shared" si="17"/>
        <v/>
      </c>
      <c r="V59" s="541" t="str">
        <f t="shared" si="18"/>
        <v/>
      </c>
      <c r="W59" s="541" t="str">
        <f t="shared" si="5"/>
        <v/>
      </c>
      <c r="X59" s="541" t="str">
        <f t="shared" si="6"/>
        <v/>
      </c>
      <c r="Y59" s="541" t="str">
        <f t="shared" si="7"/>
        <v/>
      </c>
      <c r="Z59" s="541" t="str">
        <f t="shared" si="8"/>
        <v/>
      </c>
      <c r="AA59" s="541" t="str">
        <f t="shared" si="9"/>
        <v/>
      </c>
      <c r="AB59" s="541" t="str">
        <f t="shared" si="10"/>
        <v/>
      </c>
      <c r="AC59" s="541" t="str">
        <f t="shared" si="11"/>
        <v/>
      </c>
      <c r="AD59" s="541" t="str">
        <f t="shared" si="12"/>
        <v/>
      </c>
    </row>
    <row r="60" spans="1:30" x14ac:dyDescent="0.3">
      <c r="C60" s="542" t="s">
        <v>415</v>
      </c>
      <c r="D60" s="543">
        <f>SUM(D8:D59)</f>
        <v>5029</v>
      </c>
      <c r="E60" s="543">
        <f t="shared" ref="E60:Q60" si="19">SUM(E8:E59)</f>
        <v>5029</v>
      </c>
      <c r="F60" s="543">
        <f t="shared" si="19"/>
        <v>44606</v>
      </c>
      <c r="G60" s="543">
        <f t="shared" si="19"/>
        <v>44606</v>
      </c>
      <c r="H60" s="544">
        <f t="shared" si="19"/>
        <v>20715</v>
      </c>
      <c r="I60" s="544">
        <f t="shared" si="19"/>
        <v>20715</v>
      </c>
      <c r="J60" s="545">
        <f t="shared" si="19"/>
        <v>34584</v>
      </c>
      <c r="K60" s="545">
        <f t="shared" si="19"/>
        <v>34584</v>
      </c>
      <c r="L60" s="544">
        <f t="shared" si="19"/>
        <v>44626</v>
      </c>
      <c r="M60" s="544">
        <f t="shared" si="19"/>
        <v>44626</v>
      </c>
      <c r="N60" s="544">
        <f t="shared" si="19"/>
        <v>45252.916666666664</v>
      </c>
      <c r="O60" s="544">
        <f t="shared" si="19"/>
        <v>39098.166666666664</v>
      </c>
      <c r="P60" s="544">
        <f t="shared" si="19"/>
        <v>11737</v>
      </c>
      <c r="Q60" s="544">
        <f t="shared" si="19"/>
        <v>11737</v>
      </c>
    </row>
    <row r="61" spans="1:30" x14ac:dyDescent="0.3">
      <c r="C61" s="521" t="s">
        <v>857</v>
      </c>
      <c r="D61" s="804">
        <f>D60-E60</f>
        <v>0</v>
      </c>
      <c r="E61" s="805"/>
      <c r="F61" s="797">
        <f>F60-G60</f>
        <v>0</v>
      </c>
      <c r="G61" s="795"/>
      <c r="H61" s="797">
        <f>H60-I60</f>
        <v>0</v>
      </c>
      <c r="I61" s="795"/>
      <c r="J61" s="797">
        <f>J60-K60</f>
        <v>0</v>
      </c>
      <c r="K61" s="795"/>
      <c r="L61" s="797">
        <f>L60-M60</f>
        <v>0</v>
      </c>
      <c r="M61" s="795"/>
      <c r="N61" s="797">
        <f>N60-O60</f>
        <v>6154.75</v>
      </c>
      <c r="O61" s="795"/>
      <c r="P61" s="797">
        <f>P60-Q60</f>
        <v>0</v>
      </c>
      <c r="Q61" s="795"/>
    </row>
  </sheetData>
  <sheetProtection password="DD72" sheet="1" formatCells="0" formatColumns="0" formatRows="0"/>
  <mergeCells count="31">
    <mergeCell ref="D61:E61"/>
    <mergeCell ref="N61:O61"/>
    <mergeCell ref="B5:C6"/>
    <mergeCell ref="N6:O6"/>
    <mergeCell ref="F61:G61"/>
    <mergeCell ref="F6:G6"/>
    <mergeCell ref="D5:Q5"/>
    <mergeCell ref="D6:E6"/>
    <mergeCell ref="S1:AD1"/>
    <mergeCell ref="S5:AD5"/>
    <mergeCell ref="AA6:AB6"/>
    <mergeCell ref="A1:R1"/>
    <mergeCell ref="P6:Q6"/>
    <mergeCell ref="U6:V6"/>
    <mergeCell ref="A5:A7"/>
    <mergeCell ref="F2:G2"/>
    <mergeCell ref="G3:H3"/>
    <mergeCell ref="K2:L2"/>
    <mergeCell ref="AC6:AD6"/>
    <mergeCell ref="S6:T6"/>
    <mergeCell ref="R5:R7"/>
    <mergeCell ref="P61:Q61"/>
    <mergeCell ref="H61:I61"/>
    <mergeCell ref="W6:X6"/>
    <mergeCell ref="H2:I2"/>
    <mergeCell ref="Y6:Z6"/>
    <mergeCell ref="L61:M61"/>
    <mergeCell ref="J61:K61"/>
    <mergeCell ref="J6:K6"/>
    <mergeCell ref="H6:I6"/>
    <mergeCell ref="L6:M6"/>
  </mergeCells>
  <phoneticPr fontId="0" type="noConversion"/>
  <printOptions horizontalCentered="1"/>
  <pageMargins left="0.11811023622047245" right="0" top="0.35433070866141736" bottom="0" header="0.31496062992125984" footer="0.31496062992125984"/>
  <pageSetup paperSize="9" scale="44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99F8D-62A8-5A4D-B963-FE749159197F}">
  <sheetPr>
    <tabColor rgb="FFFFC000"/>
  </sheetPr>
  <dimension ref="A1:AD112"/>
  <sheetViews>
    <sheetView showGridLines="0" zoomScale="115" zoomScaleNormal="115" workbookViewId="0">
      <pane xSplit="3" ySplit="7" topLeftCell="D47" activePane="bottomRight" state="frozen"/>
      <selection activeCell="AC7" sqref="AC7:AD7"/>
      <selection pane="topRight" activeCell="AC7" sqref="AC7:AD7"/>
      <selection pane="bottomLeft" activeCell="AC7" sqref="AC7:AD7"/>
      <selection pane="bottomRight" activeCell="M45" sqref="M45"/>
    </sheetView>
  </sheetViews>
  <sheetFormatPr baseColWidth="10" defaultColWidth="9.1640625" defaultRowHeight="17" x14ac:dyDescent="0.3"/>
  <cols>
    <col min="1" max="1" width="7" style="546" customWidth="1"/>
    <col min="2" max="2" width="9.1640625" style="546"/>
    <col min="3" max="3" width="9.83203125" style="546" bestFit="1" customWidth="1"/>
    <col min="4" max="4" width="10" style="546" customWidth="1"/>
    <col min="5" max="17" width="9.1640625" style="546"/>
    <col min="18" max="18" width="11.83203125" style="546" customWidth="1"/>
    <col min="19" max="28" width="9.1640625" style="546"/>
    <col min="29" max="29" width="10" style="546" customWidth="1"/>
    <col min="30" max="30" width="10.5" style="546" customWidth="1"/>
    <col min="31" max="16384" width="9.1640625" style="546"/>
  </cols>
  <sheetData>
    <row r="1" spans="1:30" x14ac:dyDescent="0.3">
      <c r="A1" s="812" t="s">
        <v>882</v>
      </c>
      <c r="B1" s="812"/>
      <c r="C1" s="812"/>
      <c r="D1" s="812"/>
      <c r="E1" s="812"/>
      <c r="F1" s="812"/>
      <c r="G1" s="812"/>
      <c r="H1" s="812"/>
      <c r="I1" s="812"/>
      <c r="J1" s="812"/>
      <c r="K1" s="812"/>
      <c r="L1" s="812"/>
      <c r="M1" s="812"/>
      <c r="N1" s="812"/>
      <c r="O1" s="812"/>
      <c r="P1" s="812"/>
      <c r="Q1" s="812"/>
      <c r="R1" s="812"/>
      <c r="S1" s="799" t="str">
        <f>A1&amp;" "&amp;F2&amp;H2</f>
        <v>สถิติข้อมูลพื้นที่การเพาะปลูกข้าวนาปี อ่างเก็บน้ำมูลบน</v>
      </c>
      <c r="T1" s="799"/>
      <c r="U1" s="799"/>
      <c r="V1" s="799"/>
      <c r="W1" s="799"/>
      <c r="X1" s="799"/>
      <c r="Y1" s="799"/>
      <c r="Z1" s="799"/>
      <c r="AA1" s="799"/>
      <c r="AB1" s="799"/>
      <c r="AC1" s="799"/>
      <c r="AD1" s="799"/>
    </row>
    <row r="2" spans="1:30" s="547" customFormat="1" x14ac:dyDescent="0.3">
      <c r="F2" s="814" t="str">
        <f>fill_data!A1</f>
        <v>อ่างเก็บน้ำ</v>
      </c>
      <c r="G2" s="814"/>
      <c r="H2" s="810" t="str">
        <f>fill_data!D1</f>
        <v>มูลบน</v>
      </c>
      <c r="I2" s="810"/>
      <c r="J2" s="547" t="str">
        <f>fill_data!A4</f>
        <v>จังหวัด</v>
      </c>
      <c r="K2" s="810" t="str">
        <f>fill_data!C4</f>
        <v>นครราชสีมา</v>
      </c>
      <c r="L2" s="810"/>
    </row>
    <row r="3" spans="1:30" x14ac:dyDescent="0.3">
      <c r="E3" s="547" t="s">
        <v>664</v>
      </c>
      <c r="G3" s="815">
        <f>fill_data!R15</f>
        <v>45798</v>
      </c>
      <c r="H3" s="815"/>
      <c r="I3" s="547" t="s">
        <v>665</v>
      </c>
      <c r="J3" s="547" t="str">
        <f>fill_data!Q13</f>
        <v>ปริมาณน้ำที่ระดับเก็บกัก</v>
      </c>
      <c r="M3" s="548">
        <f>fill_data!R13</f>
        <v>141</v>
      </c>
      <c r="N3" s="547" t="s">
        <v>831</v>
      </c>
    </row>
    <row r="5" spans="1:30" s="547" customFormat="1" x14ac:dyDescent="0.3">
      <c r="A5" s="813" t="s">
        <v>832</v>
      </c>
      <c r="B5" s="811" t="s">
        <v>833</v>
      </c>
      <c r="C5" s="811"/>
      <c r="D5" s="809" t="s">
        <v>858</v>
      </c>
      <c r="E5" s="809"/>
      <c r="F5" s="809"/>
      <c r="G5" s="809"/>
      <c r="H5" s="809"/>
      <c r="I5" s="809"/>
      <c r="J5" s="809"/>
      <c r="K5" s="809"/>
      <c r="L5" s="809"/>
      <c r="M5" s="809"/>
      <c r="N5" s="809"/>
      <c r="O5" s="809"/>
      <c r="P5" s="809"/>
      <c r="Q5" s="809"/>
      <c r="R5" s="811" t="s">
        <v>431</v>
      </c>
      <c r="S5" s="800" t="s">
        <v>835</v>
      </c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2"/>
    </row>
    <row r="6" spans="1:30" s="547" customFormat="1" x14ac:dyDescent="0.3">
      <c r="A6" s="813"/>
      <c r="B6" s="811"/>
      <c r="C6" s="811"/>
      <c r="D6" s="809" t="s">
        <v>859</v>
      </c>
      <c r="E6" s="809"/>
      <c r="F6" s="809" t="s">
        <v>860</v>
      </c>
      <c r="G6" s="809"/>
      <c r="H6" s="809" t="s">
        <v>861</v>
      </c>
      <c r="I6" s="809"/>
      <c r="J6" s="809" t="s">
        <v>862</v>
      </c>
      <c r="K6" s="809"/>
      <c r="L6" s="809" t="s">
        <v>863</v>
      </c>
      <c r="M6" s="809"/>
      <c r="N6" s="809" t="s">
        <v>841</v>
      </c>
      <c r="O6" s="809"/>
      <c r="P6" s="803" t="s">
        <v>842</v>
      </c>
      <c r="Q6" s="803"/>
      <c r="R6" s="811"/>
      <c r="S6" s="809" t="s">
        <v>859</v>
      </c>
      <c r="T6" s="809"/>
      <c r="U6" s="809" t="s">
        <v>860</v>
      </c>
      <c r="V6" s="809"/>
      <c r="W6" s="809" t="s">
        <v>861</v>
      </c>
      <c r="X6" s="809"/>
      <c r="Y6" s="809" t="s">
        <v>862</v>
      </c>
      <c r="Z6" s="809"/>
      <c r="AA6" s="809" t="s">
        <v>863</v>
      </c>
      <c r="AB6" s="809"/>
      <c r="AC6" s="803" t="s">
        <v>842</v>
      </c>
      <c r="AD6" s="803"/>
    </row>
    <row r="7" spans="1:30" s="547" customFormat="1" x14ac:dyDescent="0.3">
      <c r="A7" s="813"/>
      <c r="B7" s="549" t="s">
        <v>164</v>
      </c>
      <c r="C7" s="549" t="s">
        <v>165</v>
      </c>
      <c r="D7" s="549" t="s">
        <v>843</v>
      </c>
      <c r="E7" s="549" t="s">
        <v>844</v>
      </c>
      <c r="F7" s="549" t="s">
        <v>843</v>
      </c>
      <c r="G7" s="549" t="s">
        <v>844</v>
      </c>
      <c r="H7" s="549" t="s">
        <v>843</v>
      </c>
      <c r="I7" s="549" t="s">
        <v>844</v>
      </c>
      <c r="J7" s="549" t="s">
        <v>843</v>
      </c>
      <c r="K7" s="549" t="s">
        <v>844</v>
      </c>
      <c r="L7" s="549" t="s">
        <v>843</v>
      </c>
      <c r="M7" s="549" t="s">
        <v>844</v>
      </c>
      <c r="N7" s="549" t="s">
        <v>843</v>
      </c>
      <c r="O7" s="549" t="s">
        <v>844</v>
      </c>
      <c r="P7" s="525" t="s">
        <v>843</v>
      </c>
      <c r="Q7" s="525" t="s">
        <v>844</v>
      </c>
      <c r="R7" s="811"/>
      <c r="S7" s="549" t="s">
        <v>864</v>
      </c>
      <c r="T7" s="549" t="s">
        <v>865</v>
      </c>
      <c r="U7" s="549" t="s">
        <v>866</v>
      </c>
      <c r="V7" s="549" t="s">
        <v>867</v>
      </c>
      <c r="W7" s="549" t="s">
        <v>868</v>
      </c>
      <c r="X7" s="549" t="s">
        <v>869</v>
      </c>
      <c r="Y7" s="549" t="s">
        <v>870</v>
      </c>
      <c r="Z7" s="549" t="s">
        <v>871</v>
      </c>
      <c r="AA7" s="549" t="s">
        <v>872</v>
      </c>
      <c r="AB7" s="549" t="s">
        <v>873</v>
      </c>
      <c r="AC7" s="525" t="s">
        <v>855</v>
      </c>
      <c r="AD7" s="525" t="s">
        <v>856</v>
      </c>
    </row>
    <row r="8" spans="1:30" x14ac:dyDescent="0.3">
      <c r="A8" s="550">
        <v>1</v>
      </c>
      <c r="B8" s="551">
        <v>39753</v>
      </c>
      <c r="C8" s="551">
        <v>39759</v>
      </c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534"/>
      <c r="O8" s="534"/>
      <c r="P8" s="534"/>
      <c r="Q8" s="534"/>
      <c r="R8" s="552"/>
      <c r="S8" s="531">
        <f t="shared" ref="S8:Z8" si="0">D8</f>
        <v>0</v>
      </c>
      <c r="T8" s="531">
        <f t="shared" si="0"/>
        <v>0</v>
      </c>
      <c r="U8" s="531">
        <f t="shared" si="0"/>
        <v>0</v>
      </c>
      <c r="V8" s="531">
        <f t="shared" si="0"/>
        <v>0</v>
      </c>
      <c r="W8" s="531">
        <f t="shared" si="0"/>
        <v>0</v>
      </c>
      <c r="X8" s="531">
        <f t="shared" si="0"/>
        <v>0</v>
      </c>
      <c r="Y8" s="531">
        <f t="shared" si="0"/>
        <v>0</v>
      </c>
      <c r="Z8" s="531">
        <f t="shared" si="0"/>
        <v>0</v>
      </c>
      <c r="AA8" s="531">
        <f>L8</f>
        <v>0</v>
      </c>
      <c r="AB8" s="531">
        <f>M8</f>
        <v>0</v>
      </c>
      <c r="AC8" s="531">
        <f>P8</f>
        <v>0</v>
      </c>
      <c r="AD8" s="531">
        <f>Q8</f>
        <v>0</v>
      </c>
    </row>
    <row r="9" spans="1:30" x14ac:dyDescent="0.3">
      <c r="A9" s="553">
        <v>2</v>
      </c>
      <c r="B9" s="554">
        <v>39760</v>
      </c>
      <c r="C9" s="554">
        <v>39766</v>
      </c>
      <c r="D9" s="528"/>
      <c r="E9" s="528"/>
      <c r="F9" s="528"/>
      <c r="G9" s="528"/>
      <c r="H9" s="528"/>
      <c r="I9" s="528"/>
      <c r="J9" s="528"/>
      <c r="K9" s="528"/>
      <c r="L9" s="528"/>
      <c r="M9" s="528"/>
      <c r="N9" s="534"/>
      <c r="O9" s="534"/>
      <c r="P9" s="534"/>
      <c r="Q9" s="534"/>
      <c r="R9" s="555"/>
      <c r="S9" s="531">
        <f>IF(AND(S8=D$75,T8=E$75),"",IF(S8="","",S8+D9))</f>
        <v>0</v>
      </c>
      <c r="T9" s="531">
        <f t="shared" ref="T9:AD24" si="1">IF(AND(T8=E$75,U8=F$75),"",IF(T8="","",T8+E9))</f>
        <v>0</v>
      </c>
      <c r="U9" s="531">
        <f t="shared" si="1"/>
        <v>0</v>
      </c>
      <c r="V9" s="531">
        <f t="shared" si="1"/>
        <v>0</v>
      </c>
      <c r="W9" s="531">
        <f t="shared" si="1"/>
        <v>0</v>
      </c>
      <c r="X9" s="531">
        <f t="shared" si="1"/>
        <v>0</v>
      </c>
      <c r="Y9" s="531">
        <f t="shared" si="1"/>
        <v>0</v>
      </c>
      <c r="Z9" s="531">
        <f t="shared" si="1"/>
        <v>0</v>
      </c>
      <c r="AA9" s="531">
        <f t="shared" si="1"/>
        <v>0</v>
      </c>
      <c r="AB9" s="531">
        <f t="shared" si="1"/>
        <v>0</v>
      </c>
      <c r="AC9" s="531">
        <f t="shared" si="1"/>
        <v>0</v>
      </c>
      <c r="AD9" s="531">
        <f t="shared" si="1"/>
        <v>0</v>
      </c>
    </row>
    <row r="10" spans="1:30" x14ac:dyDescent="0.3">
      <c r="A10" s="553">
        <v>3</v>
      </c>
      <c r="B10" s="554">
        <v>39767</v>
      </c>
      <c r="C10" s="554">
        <v>39773</v>
      </c>
      <c r="D10" s="528"/>
      <c r="E10" s="528"/>
      <c r="F10" s="528"/>
      <c r="G10" s="528"/>
      <c r="H10" s="528"/>
      <c r="I10" s="528"/>
      <c r="J10" s="528"/>
      <c r="K10" s="528"/>
      <c r="L10" s="528"/>
      <c r="M10" s="528"/>
      <c r="N10" s="534"/>
      <c r="O10" s="534"/>
      <c r="P10" s="534"/>
      <c r="Q10" s="534"/>
      <c r="R10" s="555"/>
      <c r="S10" s="531">
        <f t="shared" ref="S10:S73" si="2">IF(AND(S9=D$75,T9=E$75),"",IF(S9="","",S9+D10))</f>
        <v>0</v>
      </c>
      <c r="T10" s="531">
        <f t="shared" si="1"/>
        <v>0</v>
      </c>
      <c r="U10" s="531">
        <f t="shared" si="1"/>
        <v>0</v>
      </c>
      <c r="V10" s="531">
        <f t="shared" si="1"/>
        <v>0</v>
      </c>
      <c r="W10" s="531">
        <f t="shared" si="1"/>
        <v>0</v>
      </c>
      <c r="X10" s="531">
        <f t="shared" si="1"/>
        <v>0</v>
      </c>
      <c r="Y10" s="531">
        <f t="shared" si="1"/>
        <v>0</v>
      </c>
      <c r="Z10" s="531">
        <f t="shared" si="1"/>
        <v>0</v>
      </c>
      <c r="AA10" s="531">
        <f t="shared" si="1"/>
        <v>0</v>
      </c>
      <c r="AB10" s="531">
        <f t="shared" si="1"/>
        <v>0</v>
      </c>
      <c r="AC10" s="531">
        <f t="shared" si="1"/>
        <v>0</v>
      </c>
      <c r="AD10" s="531">
        <f t="shared" si="1"/>
        <v>0</v>
      </c>
    </row>
    <row r="11" spans="1:30" x14ac:dyDescent="0.3">
      <c r="A11" s="553">
        <v>4</v>
      </c>
      <c r="B11" s="554">
        <v>39774</v>
      </c>
      <c r="C11" s="554">
        <v>39780</v>
      </c>
      <c r="D11" s="528"/>
      <c r="E11" s="528"/>
      <c r="F11" s="528"/>
      <c r="G11" s="528"/>
      <c r="H11" s="528"/>
      <c r="I11" s="528"/>
      <c r="J11" s="528"/>
      <c r="K11" s="528"/>
      <c r="L11" s="528"/>
      <c r="M11" s="528"/>
      <c r="N11" s="534"/>
      <c r="O11" s="534"/>
      <c r="P11" s="534"/>
      <c r="Q11" s="534"/>
      <c r="R11" s="555"/>
      <c r="S11" s="531">
        <f t="shared" si="2"/>
        <v>0</v>
      </c>
      <c r="T11" s="531">
        <f t="shared" si="1"/>
        <v>0</v>
      </c>
      <c r="U11" s="531">
        <f t="shared" si="1"/>
        <v>0</v>
      </c>
      <c r="V11" s="531">
        <f t="shared" si="1"/>
        <v>0</v>
      </c>
      <c r="W11" s="531">
        <f t="shared" si="1"/>
        <v>0</v>
      </c>
      <c r="X11" s="531">
        <f t="shared" si="1"/>
        <v>0</v>
      </c>
      <c r="Y11" s="531">
        <f t="shared" si="1"/>
        <v>0</v>
      </c>
      <c r="Z11" s="531">
        <f t="shared" si="1"/>
        <v>0</v>
      </c>
      <c r="AA11" s="531">
        <f t="shared" si="1"/>
        <v>0</v>
      </c>
      <c r="AB11" s="531">
        <f t="shared" si="1"/>
        <v>0</v>
      </c>
      <c r="AC11" s="531">
        <f t="shared" si="1"/>
        <v>0</v>
      </c>
      <c r="AD11" s="531">
        <f t="shared" si="1"/>
        <v>0</v>
      </c>
    </row>
    <row r="12" spans="1:30" x14ac:dyDescent="0.3">
      <c r="A12" s="553">
        <v>5</v>
      </c>
      <c r="B12" s="554">
        <v>39781</v>
      </c>
      <c r="C12" s="554">
        <v>39787</v>
      </c>
      <c r="D12" s="528"/>
      <c r="E12" s="528"/>
      <c r="F12" s="528"/>
      <c r="G12" s="528"/>
      <c r="H12" s="528"/>
      <c r="I12" s="528"/>
      <c r="J12" s="528"/>
      <c r="K12" s="528"/>
      <c r="L12" s="528"/>
      <c r="M12" s="528"/>
      <c r="N12" s="534"/>
      <c r="O12" s="534"/>
      <c r="P12" s="534"/>
      <c r="Q12" s="534"/>
      <c r="R12" s="555"/>
      <c r="S12" s="531">
        <f t="shared" si="2"/>
        <v>0</v>
      </c>
      <c r="T12" s="531">
        <f t="shared" si="1"/>
        <v>0</v>
      </c>
      <c r="U12" s="531">
        <f t="shared" si="1"/>
        <v>0</v>
      </c>
      <c r="V12" s="531">
        <f t="shared" si="1"/>
        <v>0</v>
      </c>
      <c r="W12" s="531">
        <f t="shared" si="1"/>
        <v>0</v>
      </c>
      <c r="X12" s="531">
        <f t="shared" si="1"/>
        <v>0</v>
      </c>
      <c r="Y12" s="531">
        <f t="shared" si="1"/>
        <v>0</v>
      </c>
      <c r="Z12" s="531">
        <f t="shared" si="1"/>
        <v>0</v>
      </c>
      <c r="AA12" s="531">
        <f t="shared" si="1"/>
        <v>0</v>
      </c>
      <c r="AB12" s="531">
        <f t="shared" si="1"/>
        <v>0</v>
      </c>
      <c r="AC12" s="531">
        <f t="shared" si="1"/>
        <v>0</v>
      </c>
      <c r="AD12" s="531">
        <f t="shared" si="1"/>
        <v>0</v>
      </c>
    </row>
    <row r="13" spans="1:30" x14ac:dyDescent="0.3">
      <c r="A13" s="553">
        <v>6</v>
      </c>
      <c r="B13" s="554">
        <v>39788</v>
      </c>
      <c r="C13" s="554">
        <v>39794</v>
      </c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34"/>
      <c r="O13" s="534"/>
      <c r="P13" s="534"/>
      <c r="Q13" s="534"/>
      <c r="R13" s="555"/>
      <c r="S13" s="531">
        <f t="shared" si="2"/>
        <v>0</v>
      </c>
      <c r="T13" s="531">
        <f t="shared" si="1"/>
        <v>0</v>
      </c>
      <c r="U13" s="531">
        <f t="shared" si="1"/>
        <v>0</v>
      </c>
      <c r="V13" s="531">
        <f t="shared" si="1"/>
        <v>0</v>
      </c>
      <c r="W13" s="531">
        <f t="shared" si="1"/>
        <v>0</v>
      </c>
      <c r="X13" s="531">
        <f t="shared" si="1"/>
        <v>0</v>
      </c>
      <c r="Y13" s="531">
        <f t="shared" si="1"/>
        <v>0</v>
      </c>
      <c r="Z13" s="531">
        <f t="shared" si="1"/>
        <v>0</v>
      </c>
      <c r="AA13" s="531">
        <f t="shared" si="1"/>
        <v>0</v>
      </c>
      <c r="AB13" s="531">
        <f t="shared" si="1"/>
        <v>0</v>
      </c>
      <c r="AC13" s="531">
        <f t="shared" si="1"/>
        <v>0</v>
      </c>
      <c r="AD13" s="531">
        <f t="shared" si="1"/>
        <v>0</v>
      </c>
    </row>
    <row r="14" spans="1:30" x14ac:dyDescent="0.3">
      <c r="A14" s="553">
        <v>7</v>
      </c>
      <c r="B14" s="554">
        <v>39795</v>
      </c>
      <c r="C14" s="554">
        <v>39801</v>
      </c>
      <c r="D14" s="528"/>
      <c r="E14" s="528"/>
      <c r="F14" s="528"/>
      <c r="G14" s="528"/>
      <c r="H14" s="528"/>
      <c r="I14" s="528"/>
      <c r="J14" s="528"/>
      <c r="K14" s="528"/>
      <c r="L14" s="528"/>
      <c r="M14" s="528"/>
      <c r="N14" s="534"/>
      <c r="O14" s="534"/>
      <c r="P14" s="534"/>
      <c r="Q14" s="534"/>
      <c r="R14" s="555"/>
      <c r="S14" s="531">
        <f t="shared" si="2"/>
        <v>0</v>
      </c>
      <c r="T14" s="531">
        <f t="shared" si="1"/>
        <v>0</v>
      </c>
      <c r="U14" s="531">
        <f t="shared" si="1"/>
        <v>0</v>
      </c>
      <c r="V14" s="531">
        <f t="shared" si="1"/>
        <v>0</v>
      </c>
      <c r="W14" s="531">
        <f t="shared" si="1"/>
        <v>0</v>
      </c>
      <c r="X14" s="531">
        <f t="shared" si="1"/>
        <v>0</v>
      </c>
      <c r="Y14" s="531">
        <f t="shared" si="1"/>
        <v>0</v>
      </c>
      <c r="Z14" s="531">
        <f t="shared" si="1"/>
        <v>0</v>
      </c>
      <c r="AA14" s="531">
        <f t="shared" si="1"/>
        <v>0</v>
      </c>
      <c r="AB14" s="531">
        <f t="shared" si="1"/>
        <v>0</v>
      </c>
      <c r="AC14" s="531">
        <f t="shared" si="1"/>
        <v>0</v>
      </c>
      <c r="AD14" s="531">
        <f t="shared" si="1"/>
        <v>0</v>
      </c>
    </row>
    <row r="15" spans="1:30" x14ac:dyDescent="0.3">
      <c r="A15" s="553">
        <v>8</v>
      </c>
      <c r="B15" s="554">
        <v>39802</v>
      </c>
      <c r="C15" s="554">
        <v>39808</v>
      </c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34"/>
      <c r="O15" s="534"/>
      <c r="P15" s="534"/>
      <c r="Q15" s="534"/>
      <c r="R15" s="555"/>
      <c r="S15" s="531">
        <f t="shared" si="2"/>
        <v>0</v>
      </c>
      <c r="T15" s="531">
        <f t="shared" si="1"/>
        <v>0</v>
      </c>
      <c r="U15" s="531">
        <f t="shared" si="1"/>
        <v>0</v>
      </c>
      <c r="V15" s="531">
        <f t="shared" si="1"/>
        <v>0</v>
      </c>
      <c r="W15" s="531">
        <f t="shared" si="1"/>
        <v>0</v>
      </c>
      <c r="X15" s="531">
        <f t="shared" si="1"/>
        <v>0</v>
      </c>
      <c r="Y15" s="531">
        <f t="shared" si="1"/>
        <v>0</v>
      </c>
      <c r="Z15" s="531">
        <f t="shared" si="1"/>
        <v>0</v>
      </c>
      <c r="AA15" s="531">
        <f t="shared" si="1"/>
        <v>0</v>
      </c>
      <c r="AB15" s="531">
        <f t="shared" si="1"/>
        <v>0</v>
      </c>
      <c r="AC15" s="531">
        <f t="shared" si="1"/>
        <v>0</v>
      </c>
      <c r="AD15" s="531">
        <f t="shared" si="1"/>
        <v>0</v>
      </c>
    </row>
    <row r="16" spans="1:30" x14ac:dyDescent="0.3">
      <c r="A16" s="553">
        <v>9</v>
      </c>
      <c r="B16" s="554">
        <v>39809</v>
      </c>
      <c r="C16" s="554">
        <v>39815</v>
      </c>
      <c r="D16" s="528"/>
      <c r="E16" s="528"/>
      <c r="F16" s="528"/>
      <c r="G16" s="528"/>
      <c r="H16" s="528"/>
      <c r="I16" s="528"/>
      <c r="J16" s="528"/>
      <c r="K16" s="528"/>
      <c r="L16" s="528"/>
      <c r="M16" s="528"/>
      <c r="N16" s="534"/>
      <c r="O16" s="534"/>
      <c r="P16" s="534"/>
      <c r="Q16" s="534"/>
      <c r="R16" s="555"/>
      <c r="S16" s="531">
        <f t="shared" si="2"/>
        <v>0</v>
      </c>
      <c r="T16" s="531">
        <f t="shared" si="1"/>
        <v>0</v>
      </c>
      <c r="U16" s="531">
        <f t="shared" si="1"/>
        <v>0</v>
      </c>
      <c r="V16" s="531">
        <f t="shared" si="1"/>
        <v>0</v>
      </c>
      <c r="W16" s="531">
        <f t="shared" si="1"/>
        <v>0</v>
      </c>
      <c r="X16" s="531">
        <f t="shared" si="1"/>
        <v>0</v>
      </c>
      <c r="Y16" s="531">
        <f t="shared" si="1"/>
        <v>0</v>
      </c>
      <c r="Z16" s="531">
        <f t="shared" si="1"/>
        <v>0</v>
      </c>
      <c r="AA16" s="531">
        <f t="shared" si="1"/>
        <v>0</v>
      </c>
      <c r="AB16" s="531">
        <f t="shared" si="1"/>
        <v>0</v>
      </c>
      <c r="AC16" s="531">
        <f t="shared" si="1"/>
        <v>0</v>
      </c>
      <c r="AD16" s="531">
        <f t="shared" si="1"/>
        <v>0</v>
      </c>
    </row>
    <row r="17" spans="1:30" x14ac:dyDescent="0.3">
      <c r="A17" s="553">
        <v>10</v>
      </c>
      <c r="B17" s="554">
        <v>39816</v>
      </c>
      <c r="C17" s="554">
        <v>39822</v>
      </c>
      <c r="D17" s="528"/>
      <c r="E17" s="528"/>
      <c r="F17" s="528"/>
      <c r="G17" s="528"/>
      <c r="H17" s="528"/>
      <c r="I17" s="528"/>
      <c r="J17" s="528"/>
      <c r="K17" s="528"/>
      <c r="L17" s="528"/>
      <c r="M17" s="528"/>
      <c r="N17" s="534"/>
      <c r="O17" s="534"/>
      <c r="P17" s="534"/>
      <c r="Q17" s="534"/>
      <c r="R17" s="555"/>
      <c r="S17" s="531">
        <f t="shared" si="2"/>
        <v>0</v>
      </c>
      <c r="T17" s="531">
        <f t="shared" si="1"/>
        <v>0</v>
      </c>
      <c r="U17" s="531">
        <f t="shared" si="1"/>
        <v>0</v>
      </c>
      <c r="V17" s="531">
        <f t="shared" si="1"/>
        <v>0</v>
      </c>
      <c r="W17" s="531">
        <f t="shared" si="1"/>
        <v>0</v>
      </c>
      <c r="X17" s="531">
        <f t="shared" si="1"/>
        <v>0</v>
      </c>
      <c r="Y17" s="531">
        <f t="shared" si="1"/>
        <v>0</v>
      </c>
      <c r="Z17" s="531">
        <f t="shared" si="1"/>
        <v>0</v>
      </c>
      <c r="AA17" s="531">
        <f t="shared" si="1"/>
        <v>0</v>
      </c>
      <c r="AB17" s="531">
        <f t="shared" si="1"/>
        <v>0</v>
      </c>
      <c r="AC17" s="531">
        <f t="shared" si="1"/>
        <v>0</v>
      </c>
      <c r="AD17" s="531">
        <f t="shared" si="1"/>
        <v>0</v>
      </c>
    </row>
    <row r="18" spans="1:30" x14ac:dyDescent="0.3">
      <c r="A18" s="553">
        <v>11</v>
      </c>
      <c r="B18" s="554">
        <v>39823</v>
      </c>
      <c r="C18" s="554">
        <v>39829</v>
      </c>
      <c r="D18" s="528"/>
      <c r="E18" s="528"/>
      <c r="F18" s="528"/>
      <c r="G18" s="528"/>
      <c r="H18" s="528"/>
      <c r="I18" s="528"/>
      <c r="J18" s="528"/>
      <c r="K18" s="528"/>
      <c r="L18" s="528"/>
      <c r="M18" s="528"/>
      <c r="N18" s="534"/>
      <c r="O18" s="534"/>
      <c r="P18" s="534"/>
      <c r="Q18" s="534"/>
      <c r="R18" s="555"/>
      <c r="S18" s="531">
        <f t="shared" si="2"/>
        <v>0</v>
      </c>
      <c r="T18" s="531">
        <f t="shared" si="1"/>
        <v>0</v>
      </c>
      <c r="U18" s="531">
        <f t="shared" si="1"/>
        <v>0</v>
      </c>
      <c r="V18" s="531">
        <f t="shared" si="1"/>
        <v>0</v>
      </c>
      <c r="W18" s="531">
        <f t="shared" si="1"/>
        <v>0</v>
      </c>
      <c r="X18" s="531">
        <f t="shared" si="1"/>
        <v>0</v>
      </c>
      <c r="Y18" s="531">
        <f t="shared" si="1"/>
        <v>0</v>
      </c>
      <c r="Z18" s="531">
        <f t="shared" si="1"/>
        <v>0</v>
      </c>
      <c r="AA18" s="531">
        <f t="shared" si="1"/>
        <v>0</v>
      </c>
      <c r="AB18" s="531">
        <f t="shared" si="1"/>
        <v>0</v>
      </c>
      <c r="AC18" s="531">
        <f t="shared" si="1"/>
        <v>0</v>
      </c>
      <c r="AD18" s="531">
        <f t="shared" si="1"/>
        <v>0</v>
      </c>
    </row>
    <row r="19" spans="1:30" x14ac:dyDescent="0.3">
      <c r="A19" s="553">
        <v>12</v>
      </c>
      <c r="B19" s="554">
        <v>39830</v>
      </c>
      <c r="C19" s="554">
        <v>39836</v>
      </c>
      <c r="D19" s="528"/>
      <c r="E19" s="528"/>
      <c r="F19" s="528"/>
      <c r="G19" s="528"/>
      <c r="H19" s="528"/>
      <c r="I19" s="528"/>
      <c r="J19" s="528"/>
      <c r="K19" s="528"/>
      <c r="L19" s="528"/>
      <c r="M19" s="528"/>
      <c r="N19" s="534"/>
      <c r="O19" s="534"/>
      <c r="P19" s="534"/>
      <c r="Q19" s="534"/>
      <c r="R19" s="555"/>
      <c r="S19" s="531">
        <f t="shared" si="2"/>
        <v>0</v>
      </c>
      <c r="T19" s="531">
        <f t="shared" si="1"/>
        <v>0</v>
      </c>
      <c r="U19" s="531">
        <f t="shared" si="1"/>
        <v>0</v>
      </c>
      <c r="V19" s="531">
        <f t="shared" si="1"/>
        <v>0</v>
      </c>
      <c r="W19" s="531">
        <f t="shared" si="1"/>
        <v>0</v>
      </c>
      <c r="X19" s="531">
        <f t="shared" si="1"/>
        <v>0</v>
      </c>
      <c r="Y19" s="531">
        <f t="shared" si="1"/>
        <v>0</v>
      </c>
      <c r="Z19" s="531">
        <f t="shared" si="1"/>
        <v>0</v>
      </c>
      <c r="AA19" s="531">
        <f t="shared" si="1"/>
        <v>0</v>
      </c>
      <c r="AB19" s="531">
        <f t="shared" si="1"/>
        <v>0</v>
      </c>
      <c r="AC19" s="531">
        <f t="shared" si="1"/>
        <v>0</v>
      </c>
      <c r="AD19" s="531">
        <f t="shared" si="1"/>
        <v>0</v>
      </c>
    </row>
    <row r="20" spans="1:30" x14ac:dyDescent="0.3">
      <c r="A20" s="553">
        <v>13</v>
      </c>
      <c r="B20" s="554">
        <v>39837</v>
      </c>
      <c r="C20" s="554">
        <v>39843</v>
      </c>
      <c r="D20" s="528"/>
      <c r="E20" s="528"/>
      <c r="F20" s="528"/>
      <c r="G20" s="528"/>
      <c r="H20" s="528"/>
      <c r="I20" s="528"/>
      <c r="J20" s="528"/>
      <c r="K20" s="528"/>
      <c r="L20" s="528"/>
      <c r="M20" s="528"/>
      <c r="N20" s="534"/>
      <c r="O20" s="534"/>
      <c r="P20" s="534"/>
      <c r="Q20" s="534"/>
      <c r="R20" s="555"/>
      <c r="S20" s="531">
        <f t="shared" si="2"/>
        <v>0</v>
      </c>
      <c r="T20" s="531">
        <f t="shared" si="1"/>
        <v>0</v>
      </c>
      <c r="U20" s="531">
        <f t="shared" si="1"/>
        <v>0</v>
      </c>
      <c r="V20" s="531">
        <f t="shared" si="1"/>
        <v>0</v>
      </c>
      <c r="W20" s="531">
        <f t="shared" si="1"/>
        <v>0</v>
      </c>
      <c r="X20" s="531">
        <f t="shared" si="1"/>
        <v>0</v>
      </c>
      <c r="Y20" s="531">
        <f t="shared" si="1"/>
        <v>0</v>
      </c>
      <c r="Z20" s="531">
        <f t="shared" si="1"/>
        <v>0</v>
      </c>
      <c r="AA20" s="531">
        <f t="shared" si="1"/>
        <v>0</v>
      </c>
      <c r="AB20" s="531">
        <f t="shared" si="1"/>
        <v>0</v>
      </c>
      <c r="AC20" s="531">
        <f t="shared" si="1"/>
        <v>0</v>
      </c>
      <c r="AD20" s="531">
        <f t="shared" si="1"/>
        <v>0</v>
      </c>
    </row>
    <row r="21" spans="1:30" x14ac:dyDescent="0.3">
      <c r="A21" s="553">
        <v>14</v>
      </c>
      <c r="B21" s="554">
        <v>39844</v>
      </c>
      <c r="C21" s="554">
        <v>39850</v>
      </c>
      <c r="D21" s="528"/>
      <c r="E21" s="528"/>
      <c r="F21" s="528"/>
      <c r="G21" s="528"/>
      <c r="H21" s="528"/>
      <c r="I21" s="528"/>
      <c r="J21" s="528"/>
      <c r="K21" s="528"/>
      <c r="L21" s="528"/>
      <c r="M21" s="528"/>
      <c r="N21" s="534"/>
      <c r="O21" s="534"/>
      <c r="P21" s="534"/>
      <c r="Q21" s="534"/>
      <c r="R21" s="555"/>
      <c r="S21" s="531">
        <f t="shared" si="2"/>
        <v>0</v>
      </c>
      <c r="T21" s="531">
        <f t="shared" si="1"/>
        <v>0</v>
      </c>
      <c r="U21" s="531">
        <f t="shared" si="1"/>
        <v>0</v>
      </c>
      <c r="V21" s="531">
        <f t="shared" si="1"/>
        <v>0</v>
      </c>
      <c r="W21" s="531">
        <f t="shared" si="1"/>
        <v>0</v>
      </c>
      <c r="X21" s="531">
        <f t="shared" si="1"/>
        <v>0</v>
      </c>
      <c r="Y21" s="531">
        <f t="shared" si="1"/>
        <v>0</v>
      </c>
      <c r="Z21" s="531">
        <f t="shared" si="1"/>
        <v>0</v>
      </c>
      <c r="AA21" s="531">
        <f t="shared" si="1"/>
        <v>0</v>
      </c>
      <c r="AB21" s="531">
        <f t="shared" si="1"/>
        <v>0</v>
      </c>
      <c r="AC21" s="531">
        <f t="shared" si="1"/>
        <v>0</v>
      </c>
      <c r="AD21" s="531">
        <f t="shared" si="1"/>
        <v>0</v>
      </c>
    </row>
    <row r="22" spans="1:30" x14ac:dyDescent="0.3">
      <c r="A22" s="553">
        <v>15</v>
      </c>
      <c r="B22" s="554">
        <v>39851</v>
      </c>
      <c r="C22" s="554">
        <v>39857</v>
      </c>
      <c r="D22" s="528"/>
      <c r="E22" s="528"/>
      <c r="F22" s="528"/>
      <c r="G22" s="528"/>
      <c r="H22" s="528"/>
      <c r="I22" s="528"/>
      <c r="J22" s="528"/>
      <c r="K22" s="528"/>
      <c r="L22" s="528"/>
      <c r="M22" s="528"/>
      <c r="N22" s="534"/>
      <c r="O22" s="534"/>
      <c r="P22" s="534"/>
      <c r="Q22" s="534"/>
      <c r="R22" s="555"/>
      <c r="S22" s="531">
        <f t="shared" si="2"/>
        <v>0</v>
      </c>
      <c r="T22" s="531">
        <f t="shared" si="1"/>
        <v>0</v>
      </c>
      <c r="U22" s="531">
        <f t="shared" si="1"/>
        <v>0</v>
      </c>
      <c r="V22" s="531">
        <f t="shared" si="1"/>
        <v>0</v>
      </c>
      <c r="W22" s="531">
        <f t="shared" si="1"/>
        <v>0</v>
      </c>
      <c r="X22" s="531">
        <f t="shared" si="1"/>
        <v>0</v>
      </c>
      <c r="Y22" s="531">
        <f t="shared" si="1"/>
        <v>0</v>
      </c>
      <c r="Z22" s="531">
        <f t="shared" si="1"/>
        <v>0</v>
      </c>
      <c r="AA22" s="531">
        <f t="shared" si="1"/>
        <v>0</v>
      </c>
      <c r="AB22" s="531">
        <f t="shared" si="1"/>
        <v>0</v>
      </c>
      <c r="AC22" s="531">
        <f t="shared" si="1"/>
        <v>0</v>
      </c>
      <c r="AD22" s="531">
        <f t="shared" si="1"/>
        <v>0</v>
      </c>
    </row>
    <row r="23" spans="1:30" x14ac:dyDescent="0.3">
      <c r="A23" s="553">
        <v>16</v>
      </c>
      <c r="B23" s="554">
        <v>39858</v>
      </c>
      <c r="C23" s="554">
        <v>39864</v>
      </c>
      <c r="D23" s="528"/>
      <c r="E23" s="528"/>
      <c r="F23" s="528"/>
      <c r="G23" s="528"/>
      <c r="H23" s="528"/>
      <c r="I23" s="528"/>
      <c r="J23" s="528"/>
      <c r="K23" s="528"/>
      <c r="L23" s="528"/>
      <c r="M23" s="528"/>
      <c r="N23" s="534"/>
      <c r="O23" s="534"/>
      <c r="P23" s="534"/>
      <c r="Q23" s="534"/>
      <c r="R23" s="555"/>
      <c r="S23" s="531">
        <f t="shared" si="2"/>
        <v>0</v>
      </c>
      <c r="T23" s="531">
        <f t="shared" si="1"/>
        <v>0</v>
      </c>
      <c r="U23" s="531">
        <f t="shared" si="1"/>
        <v>0</v>
      </c>
      <c r="V23" s="531">
        <f t="shared" si="1"/>
        <v>0</v>
      </c>
      <c r="W23" s="531">
        <f t="shared" si="1"/>
        <v>0</v>
      </c>
      <c r="X23" s="531">
        <f t="shared" si="1"/>
        <v>0</v>
      </c>
      <c r="Y23" s="531">
        <f t="shared" si="1"/>
        <v>0</v>
      </c>
      <c r="Z23" s="531">
        <f t="shared" si="1"/>
        <v>0</v>
      </c>
      <c r="AA23" s="531">
        <f t="shared" si="1"/>
        <v>0</v>
      </c>
      <c r="AB23" s="531">
        <f t="shared" si="1"/>
        <v>0</v>
      </c>
      <c r="AC23" s="531">
        <f t="shared" si="1"/>
        <v>0</v>
      </c>
      <c r="AD23" s="531">
        <f t="shared" si="1"/>
        <v>0</v>
      </c>
    </row>
    <row r="24" spans="1:30" x14ac:dyDescent="0.3">
      <c r="A24" s="553">
        <v>17</v>
      </c>
      <c r="B24" s="554">
        <v>39865</v>
      </c>
      <c r="C24" s="554">
        <v>39871</v>
      </c>
      <c r="D24" s="528"/>
      <c r="E24" s="528"/>
      <c r="F24" s="528"/>
      <c r="G24" s="528"/>
      <c r="H24" s="528"/>
      <c r="I24" s="528"/>
      <c r="J24" s="528"/>
      <c r="K24" s="528"/>
      <c r="L24" s="528"/>
      <c r="M24" s="528"/>
      <c r="N24" s="534"/>
      <c r="O24" s="534"/>
      <c r="P24" s="534"/>
      <c r="Q24" s="534"/>
      <c r="R24" s="555"/>
      <c r="S24" s="531">
        <f t="shared" si="2"/>
        <v>0</v>
      </c>
      <c r="T24" s="531">
        <f t="shared" si="1"/>
        <v>0</v>
      </c>
      <c r="U24" s="531">
        <f t="shared" si="1"/>
        <v>0</v>
      </c>
      <c r="V24" s="531">
        <f t="shared" si="1"/>
        <v>0</v>
      </c>
      <c r="W24" s="531">
        <f t="shared" si="1"/>
        <v>0</v>
      </c>
      <c r="X24" s="531">
        <f t="shared" si="1"/>
        <v>0</v>
      </c>
      <c r="Y24" s="531">
        <f t="shared" si="1"/>
        <v>0</v>
      </c>
      <c r="Z24" s="531">
        <f t="shared" si="1"/>
        <v>0</v>
      </c>
      <c r="AA24" s="531">
        <f t="shared" si="1"/>
        <v>0</v>
      </c>
      <c r="AB24" s="531">
        <f t="shared" si="1"/>
        <v>0</v>
      </c>
      <c r="AC24" s="531">
        <f t="shared" si="1"/>
        <v>0</v>
      </c>
      <c r="AD24" s="531">
        <f t="shared" si="1"/>
        <v>0</v>
      </c>
    </row>
    <row r="25" spans="1:30" x14ac:dyDescent="0.3">
      <c r="A25" s="553">
        <v>18</v>
      </c>
      <c r="B25" s="554">
        <v>39872</v>
      </c>
      <c r="C25" s="554">
        <v>39878</v>
      </c>
      <c r="D25" s="528"/>
      <c r="E25" s="528"/>
      <c r="F25" s="528"/>
      <c r="G25" s="528"/>
      <c r="H25" s="528"/>
      <c r="I25" s="528"/>
      <c r="J25" s="528"/>
      <c r="K25" s="528"/>
      <c r="L25" s="528"/>
      <c r="M25" s="528"/>
      <c r="N25" s="534"/>
      <c r="O25" s="534"/>
      <c r="P25" s="534"/>
      <c r="Q25" s="534"/>
      <c r="R25" s="555"/>
      <c r="S25" s="531">
        <f t="shared" si="2"/>
        <v>0</v>
      </c>
      <c r="T25" s="531">
        <f t="shared" ref="T25:T74" si="3">IF(AND(T24=E$75,U24=F$75),"",IF(T24="","",T24+E25))</f>
        <v>0</v>
      </c>
      <c r="U25" s="531">
        <f t="shared" ref="U25:U74" si="4">IF(AND(U24=F$75,V24=G$75),"",IF(U24="","",U24+F25))</f>
        <v>0</v>
      </c>
      <c r="V25" s="531">
        <f t="shared" ref="V25:V74" si="5">IF(AND(V24=G$75,W24=H$75),"",IF(V24="","",V24+G25))</f>
        <v>0</v>
      </c>
      <c r="W25" s="531">
        <f t="shared" ref="W25:W74" si="6">IF(AND(W24=H$75,X24=I$75),"",IF(W24="","",W24+H25))</f>
        <v>0</v>
      </c>
      <c r="X25" s="531">
        <f t="shared" ref="X25:X74" si="7">IF(AND(X24=I$75,Y24=J$75),"",IF(X24="","",X24+I25))</f>
        <v>0</v>
      </c>
      <c r="Y25" s="531">
        <f t="shared" ref="Y25:Y74" si="8">IF(AND(Y24=J$75,Z24=K$75),"",IF(Y24="","",Y24+J25))</f>
        <v>0</v>
      </c>
      <c r="Z25" s="531">
        <f t="shared" ref="Z25:Z74" si="9">IF(AND(Z24=K$75,AA24=L$75),"",IF(Z24="","",Z24+K25))</f>
        <v>0</v>
      </c>
      <c r="AA25" s="531">
        <f t="shared" ref="AA25:AA74" si="10">IF(AND(AA24=L$75,AB24=M$75),"",IF(AA24="","",AA24+L25))</f>
        <v>0</v>
      </c>
      <c r="AB25" s="531">
        <f t="shared" ref="AB25:AB74" si="11">IF(AND(AB24=M$75,AC24=N$75),"",IF(AB24="","",AB24+M25))</f>
        <v>0</v>
      </c>
      <c r="AC25" s="531">
        <f t="shared" ref="AC25:AC74" si="12">IF(AND(AC24=N$75,AD24=O$75),"",IF(AC24="","",AC24+N25))</f>
        <v>0</v>
      </c>
      <c r="AD25" s="531">
        <f t="shared" ref="AD25:AD74" si="13">IF(AND(AD24=O$75,AE24=P$75),"",IF(AD24="","",AD24+O25))</f>
        <v>0</v>
      </c>
    </row>
    <row r="26" spans="1:30" x14ac:dyDescent="0.3">
      <c r="A26" s="553">
        <v>19</v>
      </c>
      <c r="B26" s="554">
        <v>39879</v>
      </c>
      <c r="C26" s="554">
        <v>39885</v>
      </c>
      <c r="D26" s="528"/>
      <c r="E26" s="528"/>
      <c r="F26" s="528"/>
      <c r="G26" s="528"/>
      <c r="H26" s="528"/>
      <c r="I26" s="528"/>
      <c r="J26" s="528"/>
      <c r="K26" s="528"/>
      <c r="L26" s="528"/>
      <c r="M26" s="528"/>
      <c r="N26" s="534"/>
      <c r="O26" s="534"/>
      <c r="P26" s="534"/>
      <c r="Q26" s="534"/>
      <c r="R26" s="555"/>
      <c r="S26" s="531">
        <f t="shared" si="2"/>
        <v>0</v>
      </c>
      <c r="T26" s="531">
        <f t="shared" si="3"/>
        <v>0</v>
      </c>
      <c r="U26" s="531">
        <f t="shared" si="4"/>
        <v>0</v>
      </c>
      <c r="V26" s="531">
        <f t="shared" si="5"/>
        <v>0</v>
      </c>
      <c r="W26" s="531">
        <f t="shared" si="6"/>
        <v>0</v>
      </c>
      <c r="X26" s="531">
        <f t="shared" si="7"/>
        <v>0</v>
      </c>
      <c r="Y26" s="531">
        <f t="shared" si="8"/>
        <v>0</v>
      </c>
      <c r="Z26" s="531">
        <f t="shared" si="9"/>
        <v>0</v>
      </c>
      <c r="AA26" s="531">
        <f t="shared" si="10"/>
        <v>0</v>
      </c>
      <c r="AB26" s="531">
        <f t="shared" si="11"/>
        <v>0</v>
      </c>
      <c r="AC26" s="531">
        <f t="shared" si="12"/>
        <v>0</v>
      </c>
      <c r="AD26" s="531">
        <f t="shared" si="13"/>
        <v>0</v>
      </c>
    </row>
    <row r="27" spans="1:30" x14ac:dyDescent="0.3">
      <c r="A27" s="553">
        <v>20</v>
      </c>
      <c r="B27" s="554">
        <v>39886</v>
      </c>
      <c r="C27" s="554">
        <v>39892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34"/>
      <c r="O27" s="534"/>
      <c r="P27" s="534"/>
      <c r="Q27" s="534"/>
      <c r="R27" s="555"/>
      <c r="S27" s="531">
        <f t="shared" si="2"/>
        <v>0</v>
      </c>
      <c r="T27" s="531">
        <f t="shared" si="3"/>
        <v>0</v>
      </c>
      <c r="U27" s="531">
        <f t="shared" si="4"/>
        <v>0</v>
      </c>
      <c r="V27" s="531">
        <f t="shared" si="5"/>
        <v>0</v>
      </c>
      <c r="W27" s="531">
        <f t="shared" si="6"/>
        <v>0</v>
      </c>
      <c r="X27" s="531">
        <f t="shared" si="7"/>
        <v>0</v>
      </c>
      <c r="Y27" s="531">
        <f t="shared" si="8"/>
        <v>0</v>
      </c>
      <c r="Z27" s="531">
        <f t="shared" si="9"/>
        <v>0</v>
      </c>
      <c r="AA27" s="531">
        <f t="shared" si="10"/>
        <v>0</v>
      </c>
      <c r="AB27" s="531">
        <f t="shared" si="11"/>
        <v>0</v>
      </c>
      <c r="AC27" s="531">
        <f t="shared" si="12"/>
        <v>0</v>
      </c>
      <c r="AD27" s="531">
        <f t="shared" si="13"/>
        <v>0</v>
      </c>
    </row>
    <row r="28" spans="1:30" x14ac:dyDescent="0.3">
      <c r="A28" s="553">
        <v>21</v>
      </c>
      <c r="B28" s="554">
        <v>39893</v>
      </c>
      <c r="C28" s="554">
        <v>39899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34"/>
      <c r="O28" s="534"/>
      <c r="P28" s="534"/>
      <c r="Q28" s="534"/>
      <c r="R28" s="555"/>
      <c r="S28" s="531">
        <f t="shared" si="2"/>
        <v>0</v>
      </c>
      <c r="T28" s="531">
        <f t="shared" si="3"/>
        <v>0</v>
      </c>
      <c r="U28" s="531">
        <f t="shared" si="4"/>
        <v>0</v>
      </c>
      <c r="V28" s="531">
        <f t="shared" si="5"/>
        <v>0</v>
      </c>
      <c r="W28" s="531">
        <f t="shared" si="6"/>
        <v>0</v>
      </c>
      <c r="X28" s="531">
        <f t="shared" si="7"/>
        <v>0</v>
      </c>
      <c r="Y28" s="531">
        <f t="shared" si="8"/>
        <v>0</v>
      </c>
      <c r="Z28" s="531">
        <f t="shared" si="9"/>
        <v>0</v>
      </c>
      <c r="AA28" s="531">
        <f t="shared" si="10"/>
        <v>0</v>
      </c>
      <c r="AB28" s="531">
        <f t="shared" si="11"/>
        <v>0</v>
      </c>
      <c r="AC28" s="531">
        <f t="shared" si="12"/>
        <v>0</v>
      </c>
      <c r="AD28" s="531">
        <f t="shared" si="13"/>
        <v>0</v>
      </c>
    </row>
    <row r="29" spans="1:30" x14ac:dyDescent="0.3">
      <c r="A29" s="553">
        <v>22</v>
      </c>
      <c r="B29" s="554">
        <v>39900</v>
      </c>
      <c r="C29" s="554">
        <v>39906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534"/>
      <c r="O29" s="534"/>
      <c r="P29" s="534"/>
      <c r="Q29" s="534"/>
      <c r="R29" s="555"/>
      <c r="S29" s="531">
        <f t="shared" si="2"/>
        <v>0</v>
      </c>
      <c r="T29" s="531">
        <f t="shared" si="3"/>
        <v>0</v>
      </c>
      <c r="U29" s="531">
        <f t="shared" si="4"/>
        <v>0</v>
      </c>
      <c r="V29" s="531">
        <f t="shared" si="5"/>
        <v>0</v>
      </c>
      <c r="W29" s="531">
        <f t="shared" si="6"/>
        <v>0</v>
      </c>
      <c r="X29" s="531">
        <f t="shared" si="7"/>
        <v>0</v>
      </c>
      <c r="Y29" s="531">
        <f t="shared" si="8"/>
        <v>0</v>
      </c>
      <c r="Z29" s="531">
        <f t="shared" si="9"/>
        <v>0</v>
      </c>
      <c r="AA29" s="531">
        <f t="shared" si="10"/>
        <v>0</v>
      </c>
      <c r="AB29" s="531">
        <f t="shared" si="11"/>
        <v>0</v>
      </c>
      <c r="AC29" s="531">
        <f t="shared" si="12"/>
        <v>0</v>
      </c>
      <c r="AD29" s="531">
        <f t="shared" si="13"/>
        <v>0</v>
      </c>
    </row>
    <row r="30" spans="1:30" x14ac:dyDescent="0.3">
      <c r="A30" s="553">
        <v>23</v>
      </c>
      <c r="B30" s="554">
        <v>39907</v>
      </c>
      <c r="C30" s="554">
        <v>39913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34"/>
      <c r="O30" s="534"/>
      <c r="P30" s="534"/>
      <c r="Q30" s="534"/>
      <c r="R30" s="555"/>
      <c r="S30" s="531">
        <f t="shared" si="2"/>
        <v>0</v>
      </c>
      <c r="T30" s="531">
        <f t="shared" si="3"/>
        <v>0</v>
      </c>
      <c r="U30" s="531">
        <f t="shared" si="4"/>
        <v>0</v>
      </c>
      <c r="V30" s="531">
        <f t="shared" si="5"/>
        <v>0</v>
      </c>
      <c r="W30" s="531">
        <f t="shared" si="6"/>
        <v>0</v>
      </c>
      <c r="X30" s="531">
        <f t="shared" si="7"/>
        <v>0</v>
      </c>
      <c r="Y30" s="531">
        <f t="shared" si="8"/>
        <v>0</v>
      </c>
      <c r="Z30" s="531">
        <f t="shared" si="9"/>
        <v>0</v>
      </c>
      <c r="AA30" s="531">
        <f t="shared" si="10"/>
        <v>0</v>
      </c>
      <c r="AB30" s="531">
        <f t="shared" si="11"/>
        <v>0</v>
      </c>
      <c r="AC30" s="531">
        <f t="shared" si="12"/>
        <v>0</v>
      </c>
      <c r="AD30" s="531">
        <f t="shared" si="13"/>
        <v>0</v>
      </c>
    </row>
    <row r="31" spans="1:30" x14ac:dyDescent="0.3">
      <c r="A31" s="553">
        <v>24</v>
      </c>
      <c r="B31" s="554">
        <v>39914</v>
      </c>
      <c r="C31" s="554">
        <v>39920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34"/>
      <c r="O31" s="534"/>
      <c r="P31" s="534"/>
      <c r="Q31" s="534"/>
      <c r="R31" s="555"/>
      <c r="S31" s="531">
        <f t="shared" si="2"/>
        <v>0</v>
      </c>
      <c r="T31" s="531">
        <f t="shared" si="3"/>
        <v>0</v>
      </c>
      <c r="U31" s="531">
        <f t="shared" si="4"/>
        <v>0</v>
      </c>
      <c r="V31" s="531">
        <f t="shared" si="5"/>
        <v>0</v>
      </c>
      <c r="W31" s="531">
        <f t="shared" si="6"/>
        <v>0</v>
      </c>
      <c r="X31" s="531">
        <f t="shared" si="7"/>
        <v>0</v>
      </c>
      <c r="Y31" s="531">
        <f t="shared" si="8"/>
        <v>0</v>
      </c>
      <c r="Z31" s="531">
        <f t="shared" si="9"/>
        <v>0</v>
      </c>
      <c r="AA31" s="531">
        <f t="shared" si="10"/>
        <v>0</v>
      </c>
      <c r="AB31" s="531">
        <f t="shared" si="11"/>
        <v>0</v>
      </c>
      <c r="AC31" s="531">
        <f t="shared" si="12"/>
        <v>0</v>
      </c>
      <c r="AD31" s="531">
        <f t="shared" si="13"/>
        <v>0</v>
      </c>
    </row>
    <row r="32" spans="1:30" x14ac:dyDescent="0.3">
      <c r="A32" s="553">
        <v>25</v>
      </c>
      <c r="B32" s="554">
        <v>39921</v>
      </c>
      <c r="C32" s="554">
        <v>39927</v>
      </c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34"/>
      <c r="O32" s="534"/>
      <c r="P32" s="534"/>
      <c r="Q32" s="534"/>
      <c r="R32" s="555"/>
      <c r="S32" s="531">
        <f t="shared" si="2"/>
        <v>0</v>
      </c>
      <c r="T32" s="531">
        <f t="shared" si="3"/>
        <v>0</v>
      </c>
      <c r="U32" s="531">
        <f t="shared" si="4"/>
        <v>0</v>
      </c>
      <c r="V32" s="531">
        <f t="shared" si="5"/>
        <v>0</v>
      </c>
      <c r="W32" s="531">
        <f t="shared" si="6"/>
        <v>0</v>
      </c>
      <c r="X32" s="531">
        <f t="shared" si="7"/>
        <v>0</v>
      </c>
      <c r="Y32" s="531">
        <f t="shared" si="8"/>
        <v>0</v>
      </c>
      <c r="Z32" s="531">
        <f t="shared" si="9"/>
        <v>0</v>
      </c>
      <c r="AA32" s="531">
        <f t="shared" si="10"/>
        <v>0</v>
      </c>
      <c r="AB32" s="531">
        <f t="shared" si="11"/>
        <v>0</v>
      </c>
      <c r="AC32" s="531">
        <f t="shared" si="12"/>
        <v>0</v>
      </c>
      <c r="AD32" s="531">
        <f t="shared" si="13"/>
        <v>0</v>
      </c>
    </row>
    <row r="33" spans="1:30" x14ac:dyDescent="0.3">
      <c r="A33" s="553">
        <v>26</v>
      </c>
      <c r="B33" s="554">
        <v>39928</v>
      </c>
      <c r="C33" s="554">
        <v>39934</v>
      </c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34"/>
      <c r="O33" s="534"/>
      <c r="P33" s="534"/>
      <c r="Q33" s="534"/>
      <c r="R33" s="555"/>
      <c r="S33" s="531">
        <f t="shared" si="2"/>
        <v>0</v>
      </c>
      <c r="T33" s="531">
        <f t="shared" si="3"/>
        <v>0</v>
      </c>
      <c r="U33" s="531">
        <f t="shared" si="4"/>
        <v>0</v>
      </c>
      <c r="V33" s="531">
        <f t="shared" si="5"/>
        <v>0</v>
      </c>
      <c r="W33" s="531">
        <f t="shared" si="6"/>
        <v>0</v>
      </c>
      <c r="X33" s="531">
        <f t="shared" si="7"/>
        <v>0</v>
      </c>
      <c r="Y33" s="531">
        <f t="shared" si="8"/>
        <v>0</v>
      </c>
      <c r="Z33" s="531">
        <f t="shared" si="9"/>
        <v>0</v>
      </c>
      <c r="AA33" s="531">
        <f t="shared" si="10"/>
        <v>0</v>
      </c>
      <c r="AB33" s="531">
        <f t="shared" si="11"/>
        <v>0</v>
      </c>
      <c r="AC33" s="531">
        <f t="shared" si="12"/>
        <v>0</v>
      </c>
      <c r="AD33" s="531">
        <f t="shared" si="13"/>
        <v>0</v>
      </c>
    </row>
    <row r="34" spans="1:30" x14ac:dyDescent="0.3">
      <c r="A34" s="553">
        <v>27</v>
      </c>
      <c r="B34" s="554">
        <v>39935</v>
      </c>
      <c r="C34" s="554">
        <v>39941</v>
      </c>
      <c r="D34" s="528"/>
      <c r="E34" s="528"/>
      <c r="F34" s="528"/>
      <c r="G34" s="528"/>
      <c r="H34" s="528"/>
      <c r="I34" s="528"/>
      <c r="J34" s="528"/>
      <c r="K34" s="528"/>
      <c r="L34" s="528"/>
      <c r="M34" s="528"/>
      <c r="N34" s="534"/>
      <c r="O34" s="534"/>
      <c r="P34" s="534"/>
      <c r="Q34" s="534"/>
      <c r="R34" s="555"/>
      <c r="S34" s="531">
        <f t="shared" si="2"/>
        <v>0</v>
      </c>
      <c r="T34" s="531">
        <f t="shared" si="3"/>
        <v>0</v>
      </c>
      <c r="U34" s="531">
        <f t="shared" si="4"/>
        <v>0</v>
      </c>
      <c r="V34" s="531">
        <f t="shared" si="5"/>
        <v>0</v>
      </c>
      <c r="W34" s="531">
        <f t="shared" si="6"/>
        <v>0</v>
      </c>
      <c r="X34" s="531">
        <f t="shared" si="7"/>
        <v>0</v>
      </c>
      <c r="Y34" s="531">
        <f t="shared" si="8"/>
        <v>0</v>
      </c>
      <c r="Z34" s="531">
        <f t="shared" si="9"/>
        <v>0</v>
      </c>
      <c r="AA34" s="531">
        <f t="shared" si="10"/>
        <v>0</v>
      </c>
      <c r="AB34" s="531">
        <f t="shared" si="11"/>
        <v>0</v>
      </c>
      <c r="AC34" s="531">
        <f t="shared" si="12"/>
        <v>0</v>
      </c>
      <c r="AD34" s="531">
        <f t="shared" si="13"/>
        <v>0</v>
      </c>
    </row>
    <row r="35" spans="1:30" x14ac:dyDescent="0.3">
      <c r="A35" s="553">
        <v>28</v>
      </c>
      <c r="B35" s="554">
        <v>39942</v>
      </c>
      <c r="C35" s="554">
        <v>39948</v>
      </c>
      <c r="D35" s="528"/>
      <c r="E35" s="528"/>
      <c r="F35" s="528"/>
      <c r="G35" s="528"/>
      <c r="H35" s="528"/>
      <c r="I35" s="528"/>
      <c r="J35" s="528"/>
      <c r="K35" s="528"/>
      <c r="L35" s="528"/>
      <c r="M35" s="528"/>
      <c r="N35" s="534"/>
      <c r="O35" s="534"/>
      <c r="P35" s="534"/>
      <c r="Q35" s="534"/>
      <c r="R35" s="555"/>
      <c r="S35" s="531">
        <f t="shared" si="2"/>
        <v>0</v>
      </c>
      <c r="T35" s="531">
        <f t="shared" si="3"/>
        <v>0</v>
      </c>
      <c r="U35" s="531">
        <f t="shared" si="4"/>
        <v>0</v>
      </c>
      <c r="V35" s="531">
        <f t="shared" si="5"/>
        <v>0</v>
      </c>
      <c r="W35" s="531">
        <f t="shared" si="6"/>
        <v>0</v>
      </c>
      <c r="X35" s="531">
        <f t="shared" si="7"/>
        <v>0</v>
      </c>
      <c r="Y35" s="531">
        <f t="shared" si="8"/>
        <v>0</v>
      </c>
      <c r="Z35" s="531">
        <f t="shared" si="9"/>
        <v>0</v>
      </c>
      <c r="AA35" s="531">
        <f t="shared" si="10"/>
        <v>0</v>
      </c>
      <c r="AB35" s="531">
        <f t="shared" si="11"/>
        <v>0</v>
      </c>
      <c r="AC35" s="531">
        <f t="shared" si="12"/>
        <v>0</v>
      </c>
      <c r="AD35" s="531">
        <f t="shared" si="13"/>
        <v>0</v>
      </c>
    </row>
    <row r="36" spans="1:30" x14ac:dyDescent="0.3">
      <c r="A36" s="553">
        <v>29</v>
      </c>
      <c r="B36" s="554">
        <v>39949</v>
      </c>
      <c r="C36" s="554">
        <v>39955</v>
      </c>
      <c r="D36" s="528"/>
      <c r="E36" s="528"/>
      <c r="F36" s="528"/>
      <c r="G36" s="528"/>
      <c r="H36" s="528"/>
      <c r="I36" s="528"/>
      <c r="J36" s="528"/>
      <c r="K36" s="528"/>
      <c r="L36" s="528"/>
      <c r="M36" s="528"/>
      <c r="N36" s="534"/>
      <c r="O36" s="534"/>
      <c r="P36" s="534"/>
      <c r="Q36" s="534"/>
      <c r="R36" s="555"/>
      <c r="S36" s="531">
        <f t="shared" si="2"/>
        <v>0</v>
      </c>
      <c r="T36" s="531">
        <f t="shared" si="3"/>
        <v>0</v>
      </c>
      <c r="U36" s="531">
        <f t="shared" si="4"/>
        <v>0</v>
      </c>
      <c r="V36" s="531">
        <f t="shared" si="5"/>
        <v>0</v>
      </c>
      <c r="W36" s="531">
        <f t="shared" si="6"/>
        <v>0</v>
      </c>
      <c r="X36" s="531">
        <f t="shared" si="7"/>
        <v>0</v>
      </c>
      <c r="Y36" s="531">
        <f t="shared" si="8"/>
        <v>0</v>
      </c>
      <c r="Z36" s="531">
        <f t="shared" si="9"/>
        <v>0</v>
      </c>
      <c r="AA36" s="531">
        <f t="shared" si="10"/>
        <v>0</v>
      </c>
      <c r="AB36" s="531">
        <f t="shared" si="11"/>
        <v>0</v>
      </c>
      <c r="AC36" s="531">
        <f t="shared" si="12"/>
        <v>0</v>
      </c>
      <c r="AD36" s="531">
        <f t="shared" si="13"/>
        <v>0</v>
      </c>
    </row>
    <row r="37" spans="1:30" x14ac:dyDescent="0.3">
      <c r="A37" s="553">
        <v>30</v>
      </c>
      <c r="B37" s="554">
        <v>39956</v>
      </c>
      <c r="C37" s="554">
        <v>39962</v>
      </c>
      <c r="D37" s="528"/>
      <c r="E37" s="528"/>
      <c r="F37" s="528"/>
      <c r="G37" s="528"/>
      <c r="H37" s="528"/>
      <c r="I37" s="528"/>
      <c r="J37" s="528"/>
      <c r="K37" s="528"/>
      <c r="L37" s="528"/>
      <c r="M37" s="528"/>
      <c r="N37" s="534"/>
      <c r="O37" s="534"/>
      <c r="P37" s="534"/>
      <c r="Q37" s="534"/>
      <c r="R37" s="555"/>
      <c r="S37" s="531">
        <f t="shared" si="2"/>
        <v>0</v>
      </c>
      <c r="T37" s="531">
        <f t="shared" si="3"/>
        <v>0</v>
      </c>
      <c r="U37" s="531">
        <f t="shared" si="4"/>
        <v>0</v>
      </c>
      <c r="V37" s="531">
        <f t="shared" si="5"/>
        <v>0</v>
      </c>
      <c r="W37" s="531">
        <f t="shared" si="6"/>
        <v>0</v>
      </c>
      <c r="X37" s="531">
        <f t="shared" si="7"/>
        <v>0</v>
      </c>
      <c r="Y37" s="531">
        <f t="shared" si="8"/>
        <v>0</v>
      </c>
      <c r="Z37" s="531">
        <f t="shared" si="9"/>
        <v>0</v>
      </c>
      <c r="AA37" s="531">
        <f t="shared" si="10"/>
        <v>0</v>
      </c>
      <c r="AB37" s="531">
        <f t="shared" si="11"/>
        <v>0</v>
      </c>
      <c r="AC37" s="531">
        <f t="shared" si="12"/>
        <v>0</v>
      </c>
      <c r="AD37" s="531">
        <f t="shared" si="13"/>
        <v>0</v>
      </c>
    </row>
    <row r="38" spans="1:30" x14ac:dyDescent="0.3">
      <c r="A38" s="553">
        <v>31</v>
      </c>
      <c r="B38" s="554">
        <v>39963</v>
      </c>
      <c r="C38" s="554">
        <v>39969</v>
      </c>
      <c r="D38" s="528"/>
      <c r="E38" s="528"/>
      <c r="F38" s="528"/>
      <c r="G38" s="528"/>
      <c r="H38" s="528"/>
      <c r="I38" s="528"/>
      <c r="J38" s="528"/>
      <c r="K38" s="528"/>
      <c r="L38" s="528"/>
      <c r="M38" s="528"/>
      <c r="N38" s="534"/>
      <c r="O38" s="534"/>
      <c r="P38" s="534">
        <v>4231</v>
      </c>
      <c r="Q38" s="534"/>
      <c r="R38" s="555"/>
      <c r="S38" s="531">
        <f t="shared" si="2"/>
        <v>0</v>
      </c>
      <c r="T38" s="531">
        <f t="shared" si="3"/>
        <v>0</v>
      </c>
      <c r="U38" s="531">
        <f t="shared" si="4"/>
        <v>0</v>
      </c>
      <c r="V38" s="531">
        <f t="shared" si="5"/>
        <v>0</v>
      </c>
      <c r="W38" s="531">
        <f t="shared" si="6"/>
        <v>0</v>
      </c>
      <c r="X38" s="531">
        <f t="shared" si="7"/>
        <v>0</v>
      </c>
      <c r="Y38" s="531">
        <f t="shared" si="8"/>
        <v>0</v>
      </c>
      <c r="Z38" s="531">
        <f t="shared" si="9"/>
        <v>0</v>
      </c>
      <c r="AA38" s="531">
        <f t="shared" si="10"/>
        <v>0</v>
      </c>
      <c r="AB38" s="531">
        <f t="shared" si="11"/>
        <v>0</v>
      </c>
      <c r="AC38" s="531">
        <f t="shared" si="12"/>
        <v>0</v>
      </c>
      <c r="AD38" s="531">
        <f t="shared" si="13"/>
        <v>0</v>
      </c>
    </row>
    <row r="39" spans="1:30" x14ac:dyDescent="0.3">
      <c r="A39" s="553">
        <v>32</v>
      </c>
      <c r="B39" s="554">
        <v>39970</v>
      </c>
      <c r="C39" s="554">
        <v>39976</v>
      </c>
      <c r="D39" s="528"/>
      <c r="E39" s="528"/>
      <c r="F39" s="528"/>
      <c r="G39" s="528"/>
      <c r="H39" s="528"/>
      <c r="I39" s="528"/>
      <c r="J39" s="528"/>
      <c r="K39" s="528"/>
      <c r="L39" s="528"/>
      <c r="M39" s="528"/>
      <c r="N39" s="534"/>
      <c r="O39" s="534"/>
      <c r="P39" s="534">
        <v>8509</v>
      </c>
      <c r="Q39" s="534"/>
      <c r="R39" s="555"/>
      <c r="S39" s="531">
        <f t="shared" si="2"/>
        <v>0</v>
      </c>
      <c r="T39" s="531">
        <f t="shared" si="3"/>
        <v>0</v>
      </c>
      <c r="U39" s="531">
        <f t="shared" si="4"/>
        <v>0</v>
      </c>
      <c r="V39" s="531">
        <f t="shared" si="5"/>
        <v>0</v>
      </c>
      <c r="W39" s="531">
        <f t="shared" si="6"/>
        <v>0</v>
      </c>
      <c r="X39" s="531">
        <f t="shared" si="7"/>
        <v>0</v>
      </c>
      <c r="Y39" s="531">
        <f t="shared" si="8"/>
        <v>0</v>
      </c>
      <c r="Z39" s="531">
        <f t="shared" si="9"/>
        <v>0</v>
      </c>
      <c r="AA39" s="531">
        <f t="shared" si="10"/>
        <v>0</v>
      </c>
      <c r="AB39" s="531">
        <f t="shared" si="11"/>
        <v>0</v>
      </c>
      <c r="AC39" s="531">
        <f t="shared" si="12"/>
        <v>0</v>
      </c>
      <c r="AD39" s="531">
        <f t="shared" si="13"/>
        <v>0</v>
      </c>
    </row>
    <row r="40" spans="1:30" x14ac:dyDescent="0.3">
      <c r="A40" s="553">
        <v>33</v>
      </c>
      <c r="B40" s="554">
        <v>39977</v>
      </c>
      <c r="C40" s="554">
        <v>39983</v>
      </c>
      <c r="D40" s="528"/>
      <c r="E40" s="528"/>
      <c r="F40" s="528"/>
      <c r="G40" s="528"/>
      <c r="H40" s="528"/>
      <c r="I40" s="528"/>
      <c r="J40" s="528"/>
      <c r="K40" s="528"/>
      <c r="L40" s="528"/>
      <c r="M40" s="528"/>
      <c r="N40" s="534"/>
      <c r="O40" s="534"/>
      <c r="P40" s="534">
        <v>15000</v>
      </c>
      <c r="Q40" s="534"/>
      <c r="R40" s="555"/>
      <c r="S40" s="531">
        <f t="shared" si="2"/>
        <v>0</v>
      </c>
      <c r="T40" s="531">
        <f t="shared" si="3"/>
        <v>0</v>
      </c>
      <c r="U40" s="531">
        <f t="shared" si="4"/>
        <v>0</v>
      </c>
      <c r="V40" s="531">
        <f t="shared" si="5"/>
        <v>0</v>
      </c>
      <c r="W40" s="531">
        <f t="shared" si="6"/>
        <v>0</v>
      </c>
      <c r="X40" s="531">
        <f t="shared" si="7"/>
        <v>0</v>
      </c>
      <c r="Y40" s="531">
        <f t="shared" si="8"/>
        <v>0</v>
      </c>
      <c r="Z40" s="531">
        <f t="shared" si="9"/>
        <v>0</v>
      </c>
      <c r="AA40" s="531">
        <f t="shared" si="10"/>
        <v>0</v>
      </c>
      <c r="AB40" s="531">
        <f t="shared" si="11"/>
        <v>0</v>
      </c>
      <c r="AC40" s="531">
        <f t="shared" si="12"/>
        <v>0</v>
      </c>
      <c r="AD40" s="531">
        <f t="shared" si="13"/>
        <v>0</v>
      </c>
    </row>
    <row r="41" spans="1:30" x14ac:dyDescent="0.3">
      <c r="A41" s="553">
        <v>34</v>
      </c>
      <c r="B41" s="554">
        <v>39984</v>
      </c>
      <c r="C41" s="554">
        <v>39990</v>
      </c>
      <c r="D41" s="528"/>
      <c r="E41" s="528"/>
      <c r="F41" s="528"/>
      <c r="G41" s="528"/>
      <c r="H41" s="528"/>
      <c r="I41" s="528"/>
      <c r="J41" s="528"/>
      <c r="K41" s="528"/>
      <c r="L41" s="528"/>
      <c r="M41" s="528"/>
      <c r="N41" s="528"/>
      <c r="O41" s="528"/>
      <c r="P41" s="528">
        <v>9320</v>
      </c>
      <c r="Q41" s="528"/>
      <c r="R41" s="555"/>
      <c r="S41" s="531">
        <f t="shared" si="2"/>
        <v>0</v>
      </c>
      <c r="T41" s="531">
        <f t="shared" si="3"/>
        <v>0</v>
      </c>
      <c r="U41" s="531">
        <f t="shared" si="4"/>
        <v>0</v>
      </c>
      <c r="V41" s="531">
        <f t="shared" si="5"/>
        <v>0</v>
      </c>
      <c r="W41" s="531">
        <f t="shared" si="6"/>
        <v>0</v>
      </c>
      <c r="X41" s="531">
        <f t="shared" si="7"/>
        <v>0</v>
      </c>
      <c r="Y41" s="531">
        <f t="shared" si="8"/>
        <v>0</v>
      </c>
      <c r="Z41" s="531">
        <f t="shared" si="9"/>
        <v>0</v>
      </c>
      <c r="AA41" s="531">
        <f t="shared" si="10"/>
        <v>0</v>
      </c>
      <c r="AB41" s="531">
        <f t="shared" si="11"/>
        <v>0</v>
      </c>
      <c r="AC41" s="531">
        <f t="shared" si="12"/>
        <v>0</v>
      </c>
      <c r="AD41" s="531">
        <f t="shared" si="13"/>
        <v>0</v>
      </c>
    </row>
    <row r="42" spans="1:30" x14ac:dyDescent="0.3">
      <c r="A42" s="553">
        <v>35</v>
      </c>
      <c r="B42" s="554">
        <v>39991</v>
      </c>
      <c r="C42" s="554">
        <v>39997</v>
      </c>
      <c r="D42" s="528"/>
      <c r="E42" s="528"/>
      <c r="F42" s="528"/>
      <c r="G42" s="528"/>
      <c r="H42" s="528"/>
      <c r="I42" s="528"/>
      <c r="J42" s="528"/>
      <c r="K42" s="528"/>
      <c r="L42" s="528"/>
      <c r="M42" s="528"/>
      <c r="N42" s="528"/>
      <c r="O42" s="528"/>
      <c r="P42" s="528">
        <v>7626</v>
      </c>
      <c r="Q42" s="528"/>
      <c r="R42" s="555"/>
      <c r="S42" s="531">
        <f t="shared" si="2"/>
        <v>0</v>
      </c>
      <c r="T42" s="531">
        <f t="shared" si="3"/>
        <v>0</v>
      </c>
      <c r="U42" s="531">
        <f t="shared" si="4"/>
        <v>0</v>
      </c>
      <c r="V42" s="531">
        <f t="shared" si="5"/>
        <v>0</v>
      </c>
      <c r="W42" s="531">
        <f t="shared" si="6"/>
        <v>0</v>
      </c>
      <c r="X42" s="531">
        <f t="shared" si="7"/>
        <v>0</v>
      </c>
      <c r="Y42" s="531">
        <f t="shared" si="8"/>
        <v>0</v>
      </c>
      <c r="Z42" s="531">
        <f t="shared" si="9"/>
        <v>0</v>
      </c>
      <c r="AA42" s="531">
        <f t="shared" si="10"/>
        <v>0</v>
      </c>
      <c r="AB42" s="531">
        <f t="shared" si="11"/>
        <v>0</v>
      </c>
      <c r="AC42" s="531">
        <f t="shared" si="12"/>
        <v>0</v>
      </c>
      <c r="AD42" s="531">
        <f t="shared" si="13"/>
        <v>0</v>
      </c>
    </row>
    <row r="43" spans="1:30" x14ac:dyDescent="0.3">
      <c r="A43" s="553">
        <v>36</v>
      </c>
      <c r="B43" s="554">
        <v>39998</v>
      </c>
      <c r="C43" s="554">
        <v>40004</v>
      </c>
      <c r="D43" s="528"/>
      <c r="E43" s="528"/>
      <c r="F43" s="528">
        <v>680</v>
      </c>
      <c r="G43" s="528"/>
      <c r="H43" s="528"/>
      <c r="I43" s="528"/>
      <c r="J43" s="528"/>
      <c r="K43" s="528"/>
      <c r="L43" s="528"/>
      <c r="M43" s="528"/>
      <c r="N43" s="534">
        <f t="shared" ref="N43:N50" si="14">AVERAGE(D43:M43)</f>
        <v>680</v>
      </c>
      <c r="O43" s="528"/>
      <c r="P43" s="528"/>
      <c r="Q43" s="528"/>
      <c r="R43" s="555"/>
      <c r="S43" s="531">
        <f t="shared" si="2"/>
        <v>0</v>
      </c>
      <c r="T43" s="531">
        <f t="shared" si="3"/>
        <v>0</v>
      </c>
      <c r="U43" s="531">
        <f t="shared" si="4"/>
        <v>680</v>
      </c>
      <c r="V43" s="531">
        <f t="shared" si="5"/>
        <v>0</v>
      </c>
      <c r="W43" s="531">
        <f t="shared" si="6"/>
        <v>0</v>
      </c>
      <c r="X43" s="531">
        <f t="shared" si="7"/>
        <v>0</v>
      </c>
      <c r="Y43" s="531">
        <f t="shared" si="8"/>
        <v>0</v>
      </c>
      <c r="Z43" s="531">
        <f t="shared" si="9"/>
        <v>0</v>
      </c>
      <c r="AA43" s="531">
        <f t="shared" si="10"/>
        <v>0</v>
      </c>
      <c r="AB43" s="531">
        <f t="shared" si="11"/>
        <v>0</v>
      </c>
      <c r="AC43" s="531">
        <f t="shared" si="12"/>
        <v>680</v>
      </c>
      <c r="AD43" s="531">
        <f t="shared" si="13"/>
        <v>0</v>
      </c>
    </row>
    <row r="44" spans="1:30" x14ac:dyDescent="0.3">
      <c r="A44" s="553">
        <v>37</v>
      </c>
      <c r="B44" s="554">
        <v>40005</v>
      </c>
      <c r="C44" s="554">
        <v>40011</v>
      </c>
      <c r="D44" s="528">
        <v>120</v>
      </c>
      <c r="E44" s="528"/>
      <c r="F44" s="528">
        <v>20900</v>
      </c>
      <c r="G44" s="528"/>
      <c r="H44" s="528">
        <v>3860</v>
      </c>
      <c r="I44" s="528"/>
      <c r="J44" s="528"/>
      <c r="K44" s="528"/>
      <c r="L44" s="528">
        <v>5060</v>
      </c>
      <c r="M44" s="528"/>
      <c r="N44" s="534">
        <f t="shared" si="14"/>
        <v>7485</v>
      </c>
      <c r="O44" s="528"/>
      <c r="P44" s="528"/>
      <c r="Q44" s="528"/>
      <c r="R44" s="555"/>
      <c r="S44" s="531">
        <f t="shared" si="2"/>
        <v>120</v>
      </c>
      <c r="T44" s="531">
        <f t="shared" si="3"/>
        <v>0</v>
      </c>
      <c r="U44" s="531">
        <f t="shared" si="4"/>
        <v>21580</v>
      </c>
      <c r="V44" s="531">
        <f t="shared" si="5"/>
        <v>0</v>
      </c>
      <c r="W44" s="531">
        <f t="shared" si="6"/>
        <v>3860</v>
      </c>
      <c r="X44" s="531">
        <f t="shared" si="7"/>
        <v>0</v>
      </c>
      <c r="Y44" s="531">
        <f t="shared" si="8"/>
        <v>0</v>
      </c>
      <c r="Z44" s="531">
        <f t="shared" si="9"/>
        <v>0</v>
      </c>
      <c r="AA44" s="531">
        <f t="shared" si="10"/>
        <v>5060</v>
      </c>
      <c r="AB44" s="531">
        <f t="shared" si="11"/>
        <v>0</v>
      </c>
      <c r="AC44" s="531">
        <f t="shared" si="12"/>
        <v>8165</v>
      </c>
      <c r="AD44" s="531">
        <f t="shared" si="13"/>
        <v>0</v>
      </c>
    </row>
    <row r="45" spans="1:30" x14ac:dyDescent="0.3">
      <c r="A45" s="553">
        <v>38</v>
      </c>
      <c r="B45" s="554">
        <v>40012</v>
      </c>
      <c r="C45" s="554">
        <v>40018</v>
      </c>
      <c r="D45" s="528">
        <v>8720</v>
      </c>
      <c r="E45" s="528"/>
      <c r="F45" s="528">
        <v>17756</v>
      </c>
      <c r="G45" s="528"/>
      <c r="H45" s="528">
        <v>9390</v>
      </c>
      <c r="I45" s="528"/>
      <c r="J45" s="528">
        <v>3740</v>
      </c>
      <c r="K45" s="528"/>
      <c r="L45" s="528">
        <v>8435</v>
      </c>
      <c r="M45" s="528"/>
      <c r="N45" s="534">
        <f t="shared" si="14"/>
        <v>9608.2000000000007</v>
      </c>
      <c r="O45" s="528"/>
      <c r="P45" s="528"/>
      <c r="Q45" s="528"/>
      <c r="R45" s="555"/>
      <c r="S45" s="531">
        <f t="shared" si="2"/>
        <v>8840</v>
      </c>
      <c r="T45" s="531">
        <f t="shared" si="3"/>
        <v>0</v>
      </c>
      <c r="U45" s="531">
        <f t="shared" si="4"/>
        <v>39336</v>
      </c>
      <c r="V45" s="531">
        <f t="shared" si="5"/>
        <v>0</v>
      </c>
      <c r="W45" s="531">
        <f t="shared" si="6"/>
        <v>13250</v>
      </c>
      <c r="X45" s="531">
        <f t="shared" si="7"/>
        <v>0</v>
      </c>
      <c r="Y45" s="531">
        <f t="shared" si="8"/>
        <v>3740</v>
      </c>
      <c r="Z45" s="531">
        <f t="shared" si="9"/>
        <v>0</v>
      </c>
      <c r="AA45" s="531">
        <f t="shared" si="10"/>
        <v>13495</v>
      </c>
      <c r="AB45" s="531">
        <f t="shared" si="11"/>
        <v>0</v>
      </c>
      <c r="AC45" s="531">
        <f t="shared" si="12"/>
        <v>17773.2</v>
      </c>
      <c r="AD45" s="531">
        <f t="shared" si="13"/>
        <v>0</v>
      </c>
    </row>
    <row r="46" spans="1:30" x14ac:dyDescent="0.3">
      <c r="A46" s="553">
        <v>39</v>
      </c>
      <c r="B46" s="554">
        <v>40019</v>
      </c>
      <c r="C46" s="554">
        <v>40025</v>
      </c>
      <c r="D46" s="528">
        <v>23213</v>
      </c>
      <c r="E46" s="528"/>
      <c r="F46" s="528">
        <v>5270</v>
      </c>
      <c r="G46" s="528"/>
      <c r="H46" s="528">
        <v>14679</v>
      </c>
      <c r="I46" s="528"/>
      <c r="J46" s="528">
        <v>14196</v>
      </c>
      <c r="K46" s="528"/>
      <c r="L46" s="528">
        <v>15735</v>
      </c>
      <c r="M46" s="528"/>
      <c r="N46" s="534">
        <f t="shared" si="14"/>
        <v>14618.6</v>
      </c>
      <c r="O46" s="528"/>
      <c r="P46" s="528"/>
      <c r="Q46" s="528"/>
      <c r="R46" s="555"/>
      <c r="S46" s="531">
        <f t="shared" si="2"/>
        <v>32053</v>
      </c>
      <c r="T46" s="531">
        <f t="shared" si="3"/>
        <v>0</v>
      </c>
      <c r="U46" s="531">
        <f t="shared" si="4"/>
        <v>44606</v>
      </c>
      <c r="V46" s="531">
        <f t="shared" si="5"/>
        <v>0</v>
      </c>
      <c r="W46" s="531">
        <f t="shared" si="6"/>
        <v>27929</v>
      </c>
      <c r="X46" s="531">
        <f t="shared" si="7"/>
        <v>0</v>
      </c>
      <c r="Y46" s="531">
        <f t="shared" si="8"/>
        <v>17936</v>
      </c>
      <c r="Z46" s="531">
        <f t="shared" si="9"/>
        <v>0</v>
      </c>
      <c r="AA46" s="531">
        <f t="shared" si="10"/>
        <v>29230</v>
      </c>
      <c r="AB46" s="531">
        <f t="shared" si="11"/>
        <v>0</v>
      </c>
      <c r="AC46" s="531">
        <f t="shared" si="12"/>
        <v>32391.800000000003</v>
      </c>
      <c r="AD46" s="531">
        <f t="shared" si="13"/>
        <v>0</v>
      </c>
    </row>
    <row r="47" spans="1:30" x14ac:dyDescent="0.3">
      <c r="A47" s="553">
        <v>40</v>
      </c>
      <c r="B47" s="554">
        <v>40026</v>
      </c>
      <c r="C47" s="554">
        <v>40032</v>
      </c>
      <c r="D47" s="528">
        <v>9043</v>
      </c>
      <c r="E47" s="528"/>
      <c r="F47" s="528"/>
      <c r="G47" s="528"/>
      <c r="H47" s="528">
        <v>13446</v>
      </c>
      <c r="I47" s="528"/>
      <c r="J47" s="528">
        <v>14398</v>
      </c>
      <c r="K47" s="528"/>
      <c r="L47" s="528">
        <v>10031</v>
      </c>
      <c r="M47" s="528"/>
      <c r="N47" s="534">
        <f t="shared" si="14"/>
        <v>11729.5</v>
      </c>
      <c r="O47" s="528"/>
      <c r="P47" s="528"/>
      <c r="Q47" s="528"/>
      <c r="R47" s="555"/>
      <c r="S47" s="531">
        <f t="shared" si="2"/>
        <v>41096</v>
      </c>
      <c r="T47" s="531">
        <f t="shared" si="3"/>
        <v>0</v>
      </c>
      <c r="U47" s="531">
        <f t="shared" si="4"/>
        <v>44606</v>
      </c>
      <c r="V47" s="531">
        <f t="shared" si="5"/>
        <v>0</v>
      </c>
      <c r="W47" s="531">
        <f t="shared" si="6"/>
        <v>41375</v>
      </c>
      <c r="X47" s="531">
        <f t="shared" si="7"/>
        <v>0</v>
      </c>
      <c r="Y47" s="531">
        <f t="shared" si="8"/>
        <v>32334</v>
      </c>
      <c r="Z47" s="531">
        <f t="shared" si="9"/>
        <v>0</v>
      </c>
      <c r="AA47" s="531">
        <f t="shared" si="10"/>
        <v>39261</v>
      </c>
      <c r="AB47" s="531">
        <f t="shared" si="11"/>
        <v>0</v>
      </c>
      <c r="AC47" s="531">
        <f t="shared" si="12"/>
        <v>44121.3</v>
      </c>
      <c r="AD47" s="531">
        <f t="shared" si="13"/>
        <v>0</v>
      </c>
    </row>
    <row r="48" spans="1:30" x14ac:dyDescent="0.3">
      <c r="A48" s="553">
        <v>41</v>
      </c>
      <c r="B48" s="554">
        <v>40033</v>
      </c>
      <c r="C48" s="554">
        <v>40039</v>
      </c>
      <c r="D48" s="528">
        <v>3510</v>
      </c>
      <c r="E48" s="528"/>
      <c r="F48" s="528"/>
      <c r="G48" s="528"/>
      <c r="H48" s="528">
        <v>3214</v>
      </c>
      <c r="I48" s="528"/>
      <c r="J48" s="528">
        <v>7243</v>
      </c>
      <c r="K48" s="528"/>
      <c r="L48" s="528">
        <v>5365</v>
      </c>
      <c r="M48" s="528"/>
      <c r="N48" s="534">
        <f t="shared" si="14"/>
        <v>4833</v>
      </c>
      <c r="O48" s="528"/>
      <c r="P48" s="528"/>
      <c r="Q48" s="528"/>
      <c r="R48" s="555"/>
      <c r="S48" s="531">
        <f t="shared" si="2"/>
        <v>44606</v>
      </c>
      <c r="T48" s="531">
        <f t="shared" si="3"/>
        <v>0</v>
      </c>
      <c r="U48" s="531">
        <f t="shared" si="4"/>
        <v>44606</v>
      </c>
      <c r="V48" s="531">
        <f t="shared" si="5"/>
        <v>0</v>
      </c>
      <c r="W48" s="531">
        <f t="shared" si="6"/>
        <v>44589</v>
      </c>
      <c r="X48" s="531">
        <f t="shared" si="7"/>
        <v>0</v>
      </c>
      <c r="Y48" s="531">
        <f t="shared" si="8"/>
        <v>39577</v>
      </c>
      <c r="Z48" s="531">
        <f t="shared" si="9"/>
        <v>0</v>
      </c>
      <c r="AA48" s="531">
        <f t="shared" si="10"/>
        <v>44626</v>
      </c>
      <c r="AB48" s="531">
        <f t="shared" si="11"/>
        <v>0</v>
      </c>
      <c r="AC48" s="531">
        <f t="shared" si="12"/>
        <v>48954.3</v>
      </c>
      <c r="AD48" s="531">
        <f t="shared" si="13"/>
        <v>0</v>
      </c>
    </row>
    <row r="49" spans="1:30" x14ac:dyDescent="0.3">
      <c r="A49" s="553">
        <v>42</v>
      </c>
      <c r="B49" s="554">
        <v>40040</v>
      </c>
      <c r="C49" s="554">
        <v>40046</v>
      </c>
      <c r="D49" s="528"/>
      <c r="E49" s="528"/>
      <c r="F49" s="528"/>
      <c r="G49" s="528"/>
      <c r="H49" s="528">
        <v>13</v>
      </c>
      <c r="I49" s="528"/>
      <c r="J49" s="528"/>
      <c r="K49" s="528"/>
      <c r="L49" s="528"/>
      <c r="M49" s="528"/>
      <c r="N49" s="534">
        <f t="shared" si="14"/>
        <v>13</v>
      </c>
      <c r="O49" s="528"/>
      <c r="P49" s="528"/>
      <c r="Q49" s="528"/>
      <c r="R49" s="555"/>
      <c r="S49" s="531">
        <f t="shared" si="2"/>
        <v>44606</v>
      </c>
      <c r="T49" s="531">
        <f t="shared" si="3"/>
        <v>0</v>
      </c>
      <c r="U49" s="531">
        <f t="shared" si="4"/>
        <v>44606</v>
      </c>
      <c r="V49" s="531">
        <f t="shared" si="5"/>
        <v>0</v>
      </c>
      <c r="W49" s="531">
        <f t="shared" si="6"/>
        <v>44602</v>
      </c>
      <c r="X49" s="531">
        <f t="shared" si="7"/>
        <v>0</v>
      </c>
      <c r="Y49" s="531">
        <f t="shared" si="8"/>
        <v>39577</v>
      </c>
      <c r="Z49" s="531">
        <f t="shared" si="9"/>
        <v>0</v>
      </c>
      <c r="AA49" s="531" t="str">
        <f t="shared" si="10"/>
        <v/>
      </c>
      <c r="AB49" s="531">
        <f t="shared" si="11"/>
        <v>0</v>
      </c>
      <c r="AC49" s="531">
        <f t="shared" si="12"/>
        <v>48967.3</v>
      </c>
      <c r="AD49" s="531">
        <f t="shared" si="13"/>
        <v>0</v>
      </c>
    </row>
    <row r="50" spans="1:30" x14ac:dyDescent="0.3">
      <c r="A50" s="553">
        <v>43</v>
      </c>
      <c r="B50" s="554">
        <v>40047</v>
      </c>
      <c r="C50" s="554">
        <v>40053</v>
      </c>
      <c r="D50" s="528"/>
      <c r="E50" s="528"/>
      <c r="F50" s="528"/>
      <c r="G50" s="528"/>
      <c r="H50" s="528">
        <v>4</v>
      </c>
      <c r="I50" s="528"/>
      <c r="J50" s="528"/>
      <c r="K50" s="528"/>
      <c r="L50" s="528"/>
      <c r="M50" s="528"/>
      <c r="N50" s="534">
        <f t="shared" si="14"/>
        <v>4</v>
      </c>
      <c r="O50" s="528"/>
      <c r="P50" s="528"/>
      <c r="Q50" s="528"/>
      <c r="R50" s="555"/>
      <c r="S50" s="531">
        <f t="shared" si="2"/>
        <v>44606</v>
      </c>
      <c r="T50" s="531">
        <f t="shared" si="3"/>
        <v>0</v>
      </c>
      <c r="U50" s="531">
        <f t="shared" si="4"/>
        <v>44606</v>
      </c>
      <c r="V50" s="531">
        <f t="shared" si="5"/>
        <v>0</v>
      </c>
      <c r="W50" s="531">
        <f t="shared" si="6"/>
        <v>44606</v>
      </c>
      <c r="X50" s="531">
        <f t="shared" si="7"/>
        <v>0</v>
      </c>
      <c r="Y50" s="531">
        <f t="shared" si="8"/>
        <v>39577</v>
      </c>
      <c r="Z50" s="531">
        <f t="shared" si="9"/>
        <v>0</v>
      </c>
      <c r="AA50" s="531" t="str">
        <f t="shared" si="10"/>
        <v/>
      </c>
      <c r="AB50" s="531">
        <f t="shared" si="11"/>
        <v>0</v>
      </c>
      <c r="AC50" s="531">
        <f t="shared" si="12"/>
        <v>48971.3</v>
      </c>
      <c r="AD50" s="531">
        <f t="shared" si="13"/>
        <v>0</v>
      </c>
    </row>
    <row r="51" spans="1:30" x14ac:dyDescent="0.3">
      <c r="A51" s="553">
        <v>44</v>
      </c>
      <c r="B51" s="554">
        <v>40054</v>
      </c>
      <c r="C51" s="554">
        <v>40060</v>
      </c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8"/>
      <c r="O51" s="528"/>
      <c r="P51" s="528"/>
      <c r="Q51" s="528"/>
      <c r="R51" s="555"/>
      <c r="S51" s="531">
        <f t="shared" si="2"/>
        <v>44606</v>
      </c>
      <c r="T51" s="531">
        <f t="shared" si="3"/>
        <v>0</v>
      </c>
      <c r="U51" s="531">
        <f t="shared" si="4"/>
        <v>44606</v>
      </c>
      <c r="V51" s="531">
        <f t="shared" si="5"/>
        <v>0</v>
      </c>
      <c r="W51" s="531">
        <f t="shared" si="6"/>
        <v>44606</v>
      </c>
      <c r="X51" s="531">
        <f t="shared" si="7"/>
        <v>0</v>
      </c>
      <c r="Y51" s="531">
        <f t="shared" si="8"/>
        <v>39577</v>
      </c>
      <c r="Z51" s="531">
        <f t="shared" si="9"/>
        <v>0</v>
      </c>
      <c r="AA51" s="531" t="str">
        <f t="shared" si="10"/>
        <v/>
      </c>
      <c r="AB51" s="531" t="str">
        <f t="shared" si="11"/>
        <v/>
      </c>
      <c r="AC51" s="531">
        <f t="shared" si="12"/>
        <v>48971.3</v>
      </c>
      <c r="AD51" s="531">
        <f t="shared" si="13"/>
        <v>0</v>
      </c>
    </row>
    <row r="52" spans="1:30" x14ac:dyDescent="0.3">
      <c r="A52" s="553">
        <v>45</v>
      </c>
      <c r="B52" s="554">
        <v>40061</v>
      </c>
      <c r="C52" s="554">
        <v>40067</v>
      </c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55"/>
      <c r="S52" s="531">
        <f t="shared" si="2"/>
        <v>44606</v>
      </c>
      <c r="T52" s="531">
        <f t="shared" si="3"/>
        <v>0</v>
      </c>
      <c r="U52" s="531">
        <f t="shared" si="4"/>
        <v>44606</v>
      </c>
      <c r="V52" s="531">
        <f t="shared" si="5"/>
        <v>0</v>
      </c>
      <c r="W52" s="531">
        <f t="shared" si="6"/>
        <v>44606</v>
      </c>
      <c r="X52" s="531">
        <f t="shared" si="7"/>
        <v>0</v>
      </c>
      <c r="Y52" s="531">
        <f t="shared" si="8"/>
        <v>39577</v>
      </c>
      <c r="Z52" s="531">
        <f t="shared" si="9"/>
        <v>0</v>
      </c>
      <c r="AA52" s="531" t="str">
        <f t="shared" si="10"/>
        <v/>
      </c>
      <c r="AB52" s="531" t="str">
        <f t="shared" si="11"/>
        <v/>
      </c>
      <c r="AC52" s="531">
        <f t="shared" si="12"/>
        <v>48971.3</v>
      </c>
      <c r="AD52" s="531">
        <f t="shared" si="13"/>
        <v>0</v>
      </c>
    </row>
    <row r="53" spans="1:30" x14ac:dyDescent="0.3">
      <c r="A53" s="553">
        <v>46</v>
      </c>
      <c r="B53" s="554">
        <v>40068</v>
      </c>
      <c r="C53" s="554">
        <v>40074</v>
      </c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8"/>
      <c r="O53" s="528"/>
      <c r="P53" s="528"/>
      <c r="Q53" s="528"/>
      <c r="R53" s="555"/>
      <c r="S53" s="531">
        <f t="shared" si="2"/>
        <v>44606</v>
      </c>
      <c r="T53" s="531">
        <f t="shared" si="3"/>
        <v>0</v>
      </c>
      <c r="U53" s="531">
        <f t="shared" si="4"/>
        <v>44606</v>
      </c>
      <c r="V53" s="531">
        <f t="shared" si="5"/>
        <v>0</v>
      </c>
      <c r="W53" s="531">
        <f t="shared" si="6"/>
        <v>44606</v>
      </c>
      <c r="X53" s="531">
        <f t="shared" si="7"/>
        <v>0</v>
      </c>
      <c r="Y53" s="531">
        <f t="shared" si="8"/>
        <v>39577</v>
      </c>
      <c r="Z53" s="531">
        <f t="shared" si="9"/>
        <v>0</v>
      </c>
      <c r="AA53" s="531" t="str">
        <f t="shared" si="10"/>
        <v/>
      </c>
      <c r="AB53" s="531" t="str">
        <f t="shared" si="11"/>
        <v/>
      </c>
      <c r="AC53" s="531">
        <f t="shared" si="12"/>
        <v>48971.3</v>
      </c>
      <c r="AD53" s="531">
        <f t="shared" si="13"/>
        <v>0</v>
      </c>
    </row>
    <row r="54" spans="1:30" x14ac:dyDescent="0.3">
      <c r="A54" s="553">
        <v>47</v>
      </c>
      <c r="B54" s="554">
        <v>40075</v>
      </c>
      <c r="C54" s="554">
        <v>40081</v>
      </c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55"/>
      <c r="S54" s="531">
        <f t="shared" si="2"/>
        <v>44606</v>
      </c>
      <c r="T54" s="531">
        <f t="shared" si="3"/>
        <v>0</v>
      </c>
      <c r="U54" s="531">
        <f t="shared" si="4"/>
        <v>44606</v>
      </c>
      <c r="V54" s="531">
        <f t="shared" si="5"/>
        <v>0</v>
      </c>
      <c r="W54" s="531">
        <f t="shared" si="6"/>
        <v>44606</v>
      </c>
      <c r="X54" s="531">
        <f t="shared" si="7"/>
        <v>0</v>
      </c>
      <c r="Y54" s="531">
        <f t="shared" si="8"/>
        <v>39577</v>
      </c>
      <c r="Z54" s="531">
        <f t="shared" si="9"/>
        <v>0</v>
      </c>
      <c r="AA54" s="531" t="str">
        <f t="shared" si="10"/>
        <v/>
      </c>
      <c r="AB54" s="531" t="str">
        <f t="shared" si="11"/>
        <v/>
      </c>
      <c r="AC54" s="531">
        <f t="shared" si="12"/>
        <v>48971.3</v>
      </c>
      <c r="AD54" s="531">
        <f t="shared" si="13"/>
        <v>0</v>
      </c>
    </row>
    <row r="55" spans="1:30" x14ac:dyDescent="0.3">
      <c r="A55" s="553">
        <v>48</v>
      </c>
      <c r="B55" s="554">
        <v>40082</v>
      </c>
      <c r="C55" s="554">
        <v>40088</v>
      </c>
      <c r="D55" s="528"/>
      <c r="E55" s="528"/>
      <c r="F55" s="528"/>
      <c r="G55" s="528"/>
      <c r="H55" s="528"/>
      <c r="I55" s="528"/>
      <c r="J55" s="528"/>
      <c r="K55" s="528"/>
      <c r="L55" s="528"/>
      <c r="M55" s="528"/>
      <c r="N55" s="528"/>
      <c r="O55" s="528"/>
      <c r="P55" s="528"/>
      <c r="Q55" s="528">
        <v>4231</v>
      </c>
      <c r="R55" s="555"/>
      <c r="S55" s="531">
        <f t="shared" si="2"/>
        <v>44606</v>
      </c>
      <c r="T55" s="531">
        <f t="shared" si="3"/>
        <v>0</v>
      </c>
      <c r="U55" s="531">
        <f t="shared" si="4"/>
        <v>44606</v>
      </c>
      <c r="V55" s="531">
        <f t="shared" si="5"/>
        <v>0</v>
      </c>
      <c r="W55" s="531">
        <f t="shared" si="6"/>
        <v>44606</v>
      </c>
      <c r="X55" s="531">
        <f t="shared" si="7"/>
        <v>0</v>
      </c>
      <c r="Y55" s="531">
        <f t="shared" si="8"/>
        <v>39577</v>
      </c>
      <c r="Z55" s="531">
        <f t="shared" si="9"/>
        <v>0</v>
      </c>
      <c r="AA55" s="531" t="str">
        <f t="shared" si="10"/>
        <v/>
      </c>
      <c r="AB55" s="531" t="str">
        <f t="shared" si="11"/>
        <v/>
      </c>
      <c r="AC55" s="531">
        <f t="shared" si="12"/>
        <v>48971.3</v>
      </c>
      <c r="AD55" s="531">
        <f t="shared" si="13"/>
        <v>0</v>
      </c>
    </row>
    <row r="56" spans="1:30" x14ac:dyDescent="0.3">
      <c r="A56" s="553">
        <v>49</v>
      </c>
      <c r="B56" s="554">
        <v>40089</v>
      </c>
      <c r="C56" s="554">
        <v>40095</v>
      </c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28"/>
      <c r="O56" s="528"/>
      <c r="P56" s="528"/>
      <c r="Q56" s="528">
        <v>8509</v>
      </c>
      <c r="R56" s="555"/>
      <c r="S56" s="531">
        <f t="shared" si="2"/>
        <v>44606</v>
      </c>
      <c r="T56" s="531">
        <f t="shared" si="3"/>
        <v>0</v>
      </c>
      <c r="U56" s="531">
        <f t="shared" si="4"/>
        <v>44606</v>
      </c>
      <c r="V56" s="531">
        <f t="shared" si="5"/>
        <v>0</v>
      </c>
      <c r="W56" s="531">
        <f t="shared" si="6"/>
        <v>44606</v>
      </c>
      <c r="X56" s="531">
        <f t="shared" si="7"/>
        <v>0</v>
      </c>
      <c r="Y56" s="531">
        <f t="shared" si="8"/>
        <v>39577</v>
      </c>
      <c r="Z56" s="531">
        <f t="shared" si="9"/>
        <v>0</v>
      </c>
      <c r="AA56" s="531" t="str">
        <f t="shared" si="10"/>
        <v/>
      </c>
      <c r="AB56" s="531" t="str">
        <f t="shared" si="11"/>
        <v/>
      </c>
      <c r="AC56" s="531">
        <f t="shared" si="12"/>
        <v>48971.3</v>
      </c>
      <c r="AD56" s="531">
        <f t="shared" si="13"/>
        <v>0</v>
      </c>
    </row>
    <row r="57" spans="1:30" x14ac:dyDescent="0.3">
      <c r="A57" s="553">
        <v>50</v>
      </c>
      <c r="B57" s="554">
        <v>40096</v>
      </c>
      <c r="C57" s="554">
        <v>40102</v>
      </c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28"/>
      <c r="O57" s="528"/>
      <c r="P57" s="528"/>
      <c r="Q57" s="528">
        <v>15000</v>
      </c>
      <c r="R57" s="555"/>
      <c r="S57" s="531">
        <f t="shared" si="2"/>
        <v>44606</v>
      </c>
      <c r="T57" s="531">
        <f t="shared" si="3"/>
        <v>0</v>
      </c>
      <c r="U57" s="531">
        <f t="shared" si="4"/>
        <v>44606</v>
      </c>
      <c r="V57" s="531">
        <f t="shared" si="5"/>
        <v>0</v>
      </c>
      <c r="W57" s="531">
        <f t="shared" si="6"/>
        <v>44606</v>
      </c>
      <c r="X57" s="531">
        <f t="shared" si="7"/>
        <v>0</v>
      </c>
      <c r="Y57" s="531">
        <f t="shared" si="8"/>
        <v>39577</v>
      </c>
      <c r="Z57" s="531">
        <f t="shared" si="9"/>
        <v>0</v>
      </c>
      <c r="AA57" s="531" t="str">
        <f t="shared" si="10"/>
        <v/>
      </c>
      <c r="AB57" s="531" t="str">
        <f t="shared" si="11"/>
        <v/>
      </c>
      <c r="AC57" s="531">
        <f t="shared" si="12"/>
        <v>48971.3</v>
      </c>
      <c r="AD57" s="531">
        <f t="shared" si="13"/>
        <v>0</v>
      </c>
    </row>
    <row r="58" spans="1:30" x14ac:dyDescent="0.3">
      <c r="A58" s="553">
        <v>51</v>
      </c>
      <c r="B58" s="554">
        <v>40103</v>
      </c>
      <c r="C58" s="554">
        <v>40109</v>
      </c>
      <c r="D58" s="528"/>
      <c r="E58" s="528"/>
      <c r="F58" s="528"/>
      <c r="G58" s="528"/>
      <c r="H58" s="528"/>
      <c r="I58" s="528"/>
      <c r="J58" s="528"/>
      <c r="K58" s="528"/>
      <c r="L58" s="528"/>
      <c r="M58" s="528"/>
      <c r="N58" s="528"/>
      <c r="O58" s="528"/>
      <c r="P58" s="528"/>
      <c r="Q58" s="528">
        <v>9320</v>
      </c>
      <c r="R58" s="555"/>
      <c r="S58" s="531">
        <f t="shared" si="2"/>
        <v>44606</v>
      </c>
      <c r="T58" s="531">
        <f t="shared" si="3"/>
        <v>0</v>
      </c>
      <c r="U58" s="531">
        <f t="shared" si="4"/>
        <v>44606</v>
      </c>
      <c r="V58" s="531">
        <f t="shared" si="5"/>
        <v>0</v>
      </c>
      <c r="W58" s="531">
        <f t="shared" si="6"/>
        <v>44606</v>
      </c>
      <c r="X58" s="531">
        <f t="shared" si="7"/>
        <v>0</v>
      </c>
      <c r="Y58" s="531">
        <f t="shared" si="8"/>
        <v>39577</v>
      </c>
      <c r="Z58" s="531">
        <f t="shared" si="9"/>
        <v>0</v>
      </c>
      <c r="AA58" s="531" t="str">
        <f t="shared" si="10"/>
        <v/>
      </c>
      <c r="AB58" s="531" t="str">
        <f t="shared" si="11"/>
        <v/>
      </c>
      <c r="AC58" s="531">
        <f t="shared" si="12"/>
        <v>48971.3</v>
      </c>
      <c r="AD58" s="531">
        <f t="shared" si="13"/>
        <v>0</v>
      </c>
    </row>
    <row r="59" spans="1:30" x14ac:dyDescent="0.3">
      <c r="A59" s="556">
        <v>52</v>
      </c>
      <c r="B59" s="557">
        <v>40110</v>
      </c>
      <c r="C59" s="557">
        <v>40116</v>
      </c>
      <c r="D59" s="528"/>
      <c r="E59" s="528"/>
      <c r="F59" s="528"/>
      <c r="G59" s="528"/>
      <c r="H59" s="528"/>
      <c r="I59" s="528"/>
      <c r="J59" s="528"/>
      <c r="K59" s="528"/>
      <c r="L59" s="528"/>
      <c r="M59" s="528"/>
      <c r="N59" s="528"/>
      <c r="O59" s="528"/>
      <c r="P59" s="528"/>
      <c r="Q59" s="528">
        <v>7626</v>
      </c>
      <c r="R59" s="555"/>
      <c r="S59" s="531">
        <f t="shared" si="2"/>
        <v>44606</v>
      </c>
      <c r="T59" s="531">
        <f t="shared" si="3"/>
        <v>0</v>
      </c>
      <c r="U59" s="531">
        <f t="shared" si="4"/>
        <v>44606</v>
      </c>
      <c r="V59" s="531">
        <f t="shared" si="5"/>
        <v>0</v>
      </c>
      <c r="W59" s="531">
        <f t="shared" si="6"/>
        <v>44606</v>
      </c>
      <c r="X59" s="531">
        <f t="shared" si="7"/>
        <v>0</v>
      </c>
      <c r="Y59" s="531">
        <f t="shared" si="8"/>
        <v>39577</v>
      </c>
      <c r="Z59" s="531">
        <f t="shared" si="9"/>
        <v>0</v>
      </c>
      <c r="AA59" s="531" t="str">
        <f t="shared" si="10"/>
        <v/>
      </c>
      <c r="AB59" s="531" t="str">
        <f t="shared" si="11"/>
        <v/>
      </c>
      <c r="AC59" s="531">
        <f t="shared" si="12"/>
        <v>48971.3</v>
      </c>
      <c r="AD59" s="531">
        <f t="shared" si="13"/>
        <v>0</v>
      </c>
    </row>
    <row r="60" spans="1:30" x14ac:dyDescent="0.3">
      <c r="A60" s="553">
        <v>1</v>
      </c>
      <c r="B60" s="554">
        <v>39753</v>
      </c>
      <c r="C60" s="554">
        <v>39759</v>
      </c>
      <c r="D60" s="528"/>
      <c r="E60" s="528"/>
      <c r="F60" s="528"/>
      <c r="G60" s="528"/>
      <c r="H60" s="528"/>
      <c r="I60" s="528"/>
      <c r="J60" s="528"/>
      <c r="K60" s="528"/>
      <c r="L60" s="528"/>
      <c r="M60" s="528"/>
      <c r="N60" s="528"/>
      <c r="O60" s="528"/>
      <c r="P60" s="528"/>
      <c r="Q60" s="528"/>
      <c r="R60" s="555"/>
      <c r="S60" s="531">
        <f t="shared" si="2"/>
        <v>44606</v>
      </c>
      <c r="T60" s="531">
        <f t="shared" si="3"/>
        <v>0</v>
      </c>
      <c r="U60" s="531">
        <f t="shared" si="4"/>
        <v>44606</v>
      </c>
      <c r="V60" s="531">
        <f t="shared" si="5"/>
        <v>0</v>
      </c>
      <c r="W60" s="531">
        <f t="shared" si="6"/>
        <v>44606</v>
      </c>
      <c r="X60" s="531">
        <f t="shared" si="7"/>
        <v>0</v>
      </c>
      <c r="Y60" s="531">
        <f t="shared" si="8"/>
        <v>39577</v>
      </c>
      <c r="Z60" s="531">
        <f t="shared" si="9"/>
        <v>0</v>
      </c>
      <c r="AA60" s="531" t="str">
        <f t="shared" si="10"/>
        <v/>
      </c>
      <c r="AB60" s="531" t="str">
        <f t="shared" si="11"/>
        <v/>
      </c>
      <c r="AC60" s="531">
        <f t="shared" si="12"/>
        <v>48971.3</v>
      </c>
      <c r="AD60" s="531">
        <f t="shared" si="13"/>
        <v>0</v>
      </c>
    </row>
    <row r="61" spans="1:30" x14ac:dyDescent="0.3">
      <c r="A61" s="553">
        <v>2</v>
      </c>
      <c r="B61" s="554">
        <v>39760</v>
      </c>
      <c r="C61" s="554">
        <v>39766</v>
      </c>
      <c r="D61" s="528"/>
      <c r="E61" s="528"/>
      <c r="F61" s="528"/>
      <c r="G61" s="528">
        <v>240</v>
      </c>
      <c r="H61" s="528"/>
      <c r="I61" s="528"/>
      <c r="J61" s="528"/>
      <c r="K61" s="528"/>
      <c r="L61" s="528"/>
      <c r="M61" s="528"/>
      <c r="N61" s="528"/>
      <c r="O61" s="534">
        <f t="shared" ref="O61:O67" si="15">AVERAGE(E61:N61)</f>
        <v>240</v>
      </c>
      <c r="P61" s="528"/>
      <c r="Q61" s="528"/>
      <c r="R61" s="555"/>
      <c r="S61" s="531">
        <f t="shared" si="2"/>
        <v>44606</v>
      </c>
      <c r="T61" s="531">
        <f t="shared" si="3"/>
        <v>0</v>
      </c>
      <c r="U61" s="531">
        <f t="shared" si="4"/>
        <v>44606</v>
      </c>
      <c r="V61" s="531">
        <f t="shared" si="5"/>
        <v>240</v>
      </c>
      <c r="W61" s="531">
        <f t="shared" si="6"/>
        <v>44606</v>
      </c>
      <c r="X61" s="531">
        <f t="shared" si="7"/>
        <v>0</v>
      </c>
      <c r="Y61" s="531">
        <f t="shared" si="8"/>
        <v>39577</v>
      </c>
      <c r="Z61" s="531">
        <f t="shared" si="9"/>
        <v>0</v>
      </c>
      <c r="AA61" s="531" t="str">
        <f t="shared" si="10"/>
        <v/>
      </c>
      <c r="AB61" s="531" t="str">
        <f t="shared" si="11"/>
        <v/>
      </c>
      <c r="AC61" s="531">
        <f t="shared" si="12"/>
        <v>48971.3</v>
      </c>
      <c r="AD61" s="531">
        <f t="shared" si="13"/>
        <v>240</v>
      </c>
    </row>
    <row r="62" spans="1:30" x14ac:dyDescent="0.3">
      <c r="A62" s="553">
        <v>3</v>
      </c>
      <c r="B62" s="554">
        <v>39767</v>
      </c>
      <c r="C62" s="554">
        <v>39773</v>
      </c>
      <c r="D62" s="528"/>
      <c r="E62" s="528"/>
      <c r="F62" s="528"/>
      <c r="G62" s="528">
        <v>1995</v>
      </c>
      <c r="H62" s="528"/>
      <c r="I62" s="528">
        <v>165</v>
      </c>
      <c r="J62" s="528"/>
      <c r="K62" s="528"/>
      <c r="L62" s="528"/>
      <c r="M62" s="528"/>
      <c r="N62" s="528"/>
      <c r="O62" s="534">
        <f t="shared" si="15"/>
        <v>1080</v>
      </c>
      <c r="P62" s="528"/>
      <c r="Q62" s="528"/>
      <c r="R62" s="555"/>
      <c r="S62" s="531">
        <f t="shared" si="2"/>
        <v>44606</v>
      </c>
      <c r="T62" s="531">
        <f t="shared" si="3"/>
        <v>0</v>
      </c>
      <c r="U62" s="531">
        <f t="shared" si="4"/>
        <v>44606</v>
      </c>
      <c r="V62" s="531">
        <f t="shared" si="5"/>
        <v>2235</v>
      </c>
      <c r="W62" s="531">
        <f t="shared" si="6"/>
        <v>44606</v>
      </c>
      <c r="X62" s="531">
        <f t="shared" si="7"/>
        <v>165</v>
      </c>
      <c r="Y62" s="531">
        <f t="shared" si="8"/>
        <v>39577</v>
      </c>
      <c r="Z62" s="531">
        <f t="shared" si="9"/>
        <v>0</v>
      </c>
      <c r="AA62" s="531" t="str">
        <f t="shared" si="10"/>
        <v/>
      </c>
      <c r="AB62" s="531" t="str">
        <f t="shared" si="11"/>
        <v/>
      </c>
      <c r="AC62" s="531">
        <f t="shared" si="12"/>
        <v>48971.3</v>
      </c>
      <c r="AD62" s="531">
        <f t="shared" si="13"/>
        <v>1320</v>
      </c>
    </row>
    <row r="63" spans="1:30" x14ac:dyDescent="0.3">
      <c r="A63" s="553">
        <v>4</v>
      </c>
      <c r="B63" s="554">
        <v>39774</v>
      </c>
      <c r="C63" s="554">
        <v>39780</v>
      </c>
      <c r="D63" s="528"/>
      <c r="E63" s="528">
        <v>3435</v>
      </c>
      <c r="F63" s="528"/>
      <c r="G63" s="528">
        <v>9065</v>
      </c>
      <c r="H63" s="528"/>
      <c r="I63" s="528">
        <v>2555</v>
      </c>
      <c r="J63" s="528"/>
      <c r="K63" s="528">
        <v>11200</v>
      </c>
      <c r="L63" s="528"/>
      <c r="M63" s="528"/>
      <c r="N63" s="528"/>
      <c r="O63" s="534">
        <f t="shared" si="15"/>
        <v>6563.75</v>
      </c>
      <c r="P63" s="528"/>
      <c r="Q63" s="528"/>
      <c r="R63" s="555"/>
      <c r="S63" s="531">
        <f t="shared" si="2"/>
        <v>44606</v>
      </c>
      <c r="T63" s="531">
        <f t="shared" si="3"/>
        <v>3435</v>
      </c>
      <c r="U63" s="531">
        <f t="shared" si="4"/>
        <v>44606</v>
      </c>
      <c r="V63" s="531">
        <f t="shared" si="5"/>
        <v>11300</v>
      </c>
      <c r="W63" s="531">
        <f t="shared" si="6"/>
        <v>44606</v>
      </c>
      <c r="X63" s="531">
        <f t="shared" si="7"/>
        <v>2720</v>
      </c>
      <c r="Y63" s="531">
        <f t="shared" si="8"/>
        <v>39577</v>
      </c>
      <c r="Z63" s="531">
        <f t="shared" si="9"/>
        <v>11200</v>
      </c>
      <c r="AA63" s="531" t="str">
        <f t="shared" si="10"/>
        <v/>
      </c>
      <c r="AB63" s="531" t="str">
        <f t="shared" si="11"/>
        <v/>
      </c>
      <c r="AC63" s="531">
        <f t="shared" si="12"/>
        <v>48971.3</v>
      </c>
      <c r="AD63" s="531">
        <f t="shared" si="13"/>
        <v>7883.75</v>
      </c>
    </row>
    <row r="64" spans="1:30" x14ac:dyDescent="0.3">
      <c r="A64" s="553">
        <v>5</v>
      </c>
      <c r="B64" s="554">
        <v>39781</v>
      </c>
      <c r="C64" s="554">
        <v>39787</v>
      </c>
      <c r="D64" s="528"/>
      <c r="E64" s="528">
        <v>18940</v>
      </c>
      <c r="F64" s="528"/>
      <c r="G64" s="528">
        <v>19952</v>
      </c>
      <c r="H64" s="528"/>
      <c r="I64" s="528">
        <v>3347</v>
      </c>
      <c r="J64" s="528"/>
      <c r="K64" s="528">
        <v>15336</v>
      </c>
      <c r="L64" s="528"/>
      <c r="M64" s="528"/>
      <c r="N64" s="528"/>
      <c r="O64" s="534">
        <f t="shared" si="15"/>
        <v>14393.75</v>
      </c>
      <c r="P64" s="528"/>
      <c r="Q64" s="528"/>
      <c r="R64" s="555"/>
      <c r="S64" s="531">
        <f t="shared" si="2"/>
        <v>44606</v>
      </c>
      <c r="T64" s="531">
        <f t="shared" si="3"/>
        <v>22375</v>
      </c>
      <c r="U64" s="531">
        <f t="shared" si="4"/>
        <v>44606</v>
      </c>
      <c r="V64" s="531">
        <f t="shared" si="5"/>
        <v>31252</v>
      </c>
      <c r="W64" s="531">
        <f t="shared" si="6"/>
        <v>44606</v>
      </c>
      <c r="X64" s="531">
        <f t="shared" si="7"/>
        <v>6067</v>
      </c>
      <c r="Y64" s="531">
        <f t="shared" si="8"/>
        <v>39577</v>
      </c>
      <c r="Z64" s="531">
        <f t="shared" si="9"/>
        <v>26536</v>
      </c>
      <c r="AA64" s="531" t="str">
        <f t="shared" si="10"/>
        <v/>
      </c>
      <c r="AB64" s="531" t="str">
        <f t="shared" si="11"/>
        <v/>
      </c>
      <c r="AC64" s="531">
        <f t="shared" si="12"/>
        <v>48971.3</v>
      </c>
      <c r="AD64" s="531">
        <f t="shared" si="13"/>
        <v>22277.5</v>
      </c>
    </row>
    <row r="65" spans="1:30" x14ac:dyDescent="0.3">
      <c r="A65" s="553">
        <v>6</v>
      </c>
      <c r="B65" s="554">
        <v>39788</v>
      </c>
      <c r="C65" s="554">
        <v>39794</v>
      </c>
      <c r="D65" s="528"/>
      <c r="E65" s="528">
        <v>14629</v>
      </c>
      <c r="F65" s="528"/>
      <c r="G65" s="528">
        <v>1518</v>
      </c>
      <c r="H65" s="528"/>
      <c r="I65" s="528">
        <v>11864</v>
      </c>
      <c r="J65" s="528"/>
      <c r="K65" s="528">
        <v>13041</v>
      </c>
      <c r="L65" s="528"/>
      <c r="M65" s="528"/>
      <c r="N65" s="528"/>
      <c r="O65" s="534">
        <f t="shared" si="15"/>
        <v>10263</v>
      </c>
      <c r="P65" s="528"/>
      <c r="Q65" s="528"/>
      <c r="R65" s="555"/>
      <c r="S65" s="531">
        <f t="shared" si="2"/>
        <v>44606</v>
      </c>
      <c r="T65" s="531">
        <f t="shared" si="3"/>
        <v>37004</v>
      </c>
      <c r="U65" s="531">
        <f t="shared" si="4"/>
        <v>44606</v>
      </c>
      <c r="V65" s="531">
        <f t="shared" si="5"/>
        <v>32770</v>
      </c>
      <c r="W65" s="531">
        <f t="shared" si="6"/>
        <v>44606</v>
      </c>
      <c r="X65" s="531">
        <f t="shared" si="7"/>
        <v>17931</v>
      </c>
      <c r="Y65" s="531">
        <f t="shared" si="8"/>
        <v>39577</v>
      </c>
      <c r="Z65" s="531">
        <f t="shared" si="9"/>
        <v>39577</v>
      </c>
      <c r="AA65" s="531" t="str">
        <f t="shared" si="10"/>
        <v/>
      </c>
      <c r="AB65" s="531" t="str">
        <f t="shared" si="11"/>
        <v/>
      </c>
      <c r="AC65" s="531">
        <f t="shared" si="12"/>
        <v>48971.3</v>
      </c>
      <c r="AD65" s="531">
        <f t="shared" si="13"/>
        <v>32540.5</v>
      </c>
    </row>
    <row r="66" spans="1:30" x14ac:dyDescent="0.3">
      <c r="A66" s="553">
        <v>7</v>
      </c>
      <c r="B66" s="554">
        <v>39795</v>
      </c>
      <c r="C66" s="554">
        <v>39801</v>
      </c>
      <c r="D66" s="528"/>
      <c r="E66" s="528">
        <v>7602</v>
      </c>
      <c r="F66" s="528"/>
      <c r="G66" s="528">
        <v>9965</v>
      </c>
      <c r="H66" s="528"/>
      <c r="I66" s="528">
        <v>17287</v>
      </c>
      <c r="J66" s="528"/>
      <c r="K66" s="528"/>
      <c r="L66" s="528"/>
      <c r="M66" s="528"/>
      <c r="N66" s="528"/>
      <c r="O66" s="534">
        <f t="shared" si="15"/>
        <v>11618</v>
      </c>
      <c r="P66" s="528"/>
      <c r="Q66" s="528"/>
      <c r="R66" s="555"/>
      <c r="S66" s="531">
        <f t="shared" si="2"/>
        <v>44606</v>
      </c>
      <c r="T66" s="531">
        <f t="shared" si="3"/>
        <v>44606</v>
      </c>
      <c r="U66" s="531">
        <f t="shared" si="4"/>
        <v>44606</v>
      </c>
      <c r="V66" s="531">
        <f t="shared" si="5"/>
        <v>42735</v>
      </c>
      <c r="W66" s="531">
        <f t="shared" si="6"/>
        <v>44606</v>
      </c>
      <c r="X66" s="531">
        <f t="shared" si="7"/>
        <v>35218</v>
      </c>
      <c r="Y66" s="531" t="str">
        <f t="shared" si="8"/>
        <v/>
      </c>
      <c r="Z66" s="531">
        <f t="shared" si="9"/>
        <v>39577</v>
      </c>
      <c r="AA66" s="531" t="str">
        <f t="shared" si="10"/>
        <v/>
      </c>
      <c r="AB66" s="531" t="str">
        <f t="shared" si="11"/>
        <v/>
      </c>
      <c r="AC66" s="531">
        <f t="shared" si="12"/>
        <v>48971.3</v>
      </c>
      <c r="AD66" s="531">
        <f t="shared" si="13"/>
        <v>44158.5</v>
      </c>
    </row>
    <row r="67" spans="1:30" x14ac:dyDescent="0.3">
      <c r="A67" s="553">
        <v>8</v>
      </c>
      <c r="B67" s="554">
        <v>39802</v>
      </c>
      <c r="C67" s="554">
        <v>39808</v>
      </c>
      <c r="D67" s="528"/>
      <c r="E67" s="528"/>
      <c r="F67" s="528"/>
      <c r="G67" s="528">
        <v>1871</v>
      </c>
      <c r="H67" s="528"/>
      <c r="I67" s="528"/>
      <c r="J67" s="528"/>
      <c r="K67" s="528"/>
      <c r="L67" s="528"/>
      <c r="M67" s="528"/>
      <c r="N67" s="528"/>
      <c r="O67" s="534">
        <f t="shared" si="15"/>
        <v>1871</v>
      </c>
      <c r="P67" s="528"/>
      <c r="Q67" s="528"/>
      <c r="R67" s="555"/>
      <c r="S67" s="531" t="str">
        <f t="shared" si="2"/>
        <v/>
      </c>
      <c r="T67" s="531" t="str">
        <f t="shared" si="3"/>
        <v/>
      </c>
      <c r="U67" s="531">
        <f t="shared" si="4"/>
        <v>44606</v>
      </c>
      <c r="V67" s="531">
        <f t="shared" si="5"/>
        <v>44606</v>
      </c>
      <c r="W67" s="531" t="str">
        <f t="shared" si="6"/>
        <v/>
      </c>
      <c r="X67" s="531">
        <f t="shared" si="7"/>
        <v>35218</v>
      </c>
      <c r="Y67" s="531" t="str">
        <f t="shared" si="8"/>
        <v/>
      </c>
      <c r="Z67" s="531">
        <f t="shared" si="9"/>
        <v>39577</v>
      </c>
      <c r="AA67" s="531" t="str">
        <f t="shared" si="10"/>
        <v/>
      </c>
      <c r="AB67" s="531" t="str">
        <f t="shared" si="11"/>
        <v/>
      </c>
      <c r="AC67" s="531">
        <f t="shared" si="12"/>
        <v>48971.3</v>
      </c>
      <c r="AD67" s="531">
        <f t="shared" si="13"/>
        <v>46029.5</v>
      </c>
    </row>
    <row r="68" spans="1:30" x14ac:dyDescent="0.3">
      <c r="A68" s="553">
        <v>9</v>
      </c>
      <c r="B68" s="554">
        <v>39809</v>
      </c>
      <c r="C68" s="554">
        <v>39815</v>
      </c>
      <c r="D68" s="528"/>
      <c r="E68" s="528"/>
      <c r="F68" s="528"/>
      <c r="G68" s="528"/>
      <c r="H68" s="528"/>
      <c r="I68" s="528"/>
      <c r="J68" s="528"/>
      <c r="K68" s="528"/>
      <c r="L68" s="528"/>
      <c r="M68" s="528"/>
      <c r="N68" s="528"/>
      <c r="O68" s="534"/>
      <c r="P68" s="528"/>
      <c r="Q68" s="528"/>
      <c r="R68" s="555"/>
      <c r="S68" s="531" t="str">
        <f t="shared" si="2"/>
        <v/>
      </c>
      <c r="T68" s="531" t="str">
        <f t="shared" si="3"/>
        <v/>
      </c>
      <c r="U68" s="531" t="str">
        <f t="shared" si="4"/>
        <v/>
      </c>
      <c r="V68" s="531">
        <f t="shared" si="5"/>
        <v>44606</v>
      </c>
      <c r="W68" s="531" t="str">
        <f t="shared" si="6"/>
        <v/>
      </c>
      <c r="X68" s="531">
        <f t="shared" si="7"/>
        <v>35218</v>
      </c>
      <c r="Y68" s="531" t="str">
        <f t="shared" si="8"/>
        <v/>
      </c>
      <c r="Z68" s="531">
        <f t="shared" si="9"/>
        <v>39577</v>
      </c>
      <c r="AA68" s="531" t="str">
        <f t="shared" si="10"/>
        <v/>
      </c>
      <c r="AB68" s="531" t="str">
        <f t="shared" si="11"/>
        <v/>
      </c>
      <c r="AC68" s="531" t="str">
        <f t="shared" si="12"/>
        <v/>
      </c>
      <c r="AD68" s="531">
        <f t="shared" si="13"/>
        <v>46029.5</v>
      </c>
    </row>
    <row r="69" spans="1:30" x14ac:dyDescent="0.3">
      <c r="A69" s="553">
        <v>10</v>
      </c>
      <c r="B69" s="554">
        <v>39816</v>
      </c>
      <c r="C69" s="554">
        <v>39822</v>
      </c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8"/>
      <c r="R69" s="555"/>
      <c r="S69" s="531" t="str">
        <f t="shared" si="2"/>
        <v/>
      </c>
      <c r="T69" s="531" t="str">
        <f t="shared" si="3"/>
        <v/>
      </c>
      <c r="U69" s="531" t="str">
        <f t="shared" si="4"/>
        <v/>
      </c>
      <c r="V69" s="531">
        <f t="shared" si="5"/>
        <v>44606</v>
      </c>
      <c r="W69" s="531" t="str">
        <f t="shared" si="6"/>
        <v/>
      </c>
      <c r="X69" s="531">
        <f t="shared" si="7"/>
        <v>35218</v>
      </c>
      <c r="Y69" s="531" t="str">
        <f t="shared" si="8"/>
        <v/>
      </c>
      <c r="Z69" s="531">
        <f t="shared" si="9"/>
        <v>39577</v>
      </c>
      <c r="AA69" s="531" t="str">
        <f t="shared" si="10"/>
        <v/>
      </c>
      <c r="AB69" s="531" t="str">
        <f t="shared" si="11"/>
        <v/>
      </c>
      <c r="AC69" s="531" t="str">
        <f t="shared" si="12"/>
        <v/>
      </c>
      <c r="AD69" s="531">
        <f t="shared" si="13"/>
        <v>46029.5</v>
      </c>
    </row>
    <row r="70" spans="1:30" x14ac:dyDescent="0.3">
      <c r="A70" s="553">
        <v>11</v>
      </c>
      <c r="B70" s="554">
        <v>39823</v>
      </c>
      <c r="C70" s="554">
        <v>39829</v>
      </c>
      <c r="D70" s="528"/>
      <c r="E70" s="528"/>
      <c r="F70" s="528"/>
      <c r="G70" s="528"/>
      <c r="H70" s="528"/>
      <c r="I70" s="528"/>
      <c r="J70" s="528"/>
      <c r="K70" s="528"/>
      <c r="L70" s="528"/>
      <c r="M70" s="528"/>
      <c r="N70" s="528"/>
      <c r="O70" s="528"/>
      <c r="P70" s="528"/>
      <c r="Q70" s="528"/>
      <c r="R70" s="555"/>
      <c r="S70" s="531" t="str">
        <f t="shared" si="2"/>
        <v/>
      </c>
      <c r="T70" s="531" t="str">
        <f t="shared" si="3"/>
        <v/>
      </c>
      <c r="U70" s="531" t="str">
        <f t="shared" si="4"/>
        <v/>
      </c>
      <c r="V70" s="531">
        <f t="shared" si="5"/>
        <v>44606</v>
      </c>
      <c r="W70" s="531" t="str">
        <f t="shared" si="6"/>
        <v/>
      </c>
      <c r="X70" s="531">
        <f t="shared" si="7"/>
        <v>35218</v>
      </c>
      <c r="Y70" s="531" t="str">
        <f t="shared" si="8"/>
        <v/>
      </c>
      <c r="Z70" s="531">
        <f t="shared" si="9"/>
        <v>39577</v>
      </c>
      <c r="AA70" s="531" t="str">
        <f t="shared" si="10"/>
        <v/>
      </c>
      <c r="AB70" s="531" t="str">
        <f t="shared" si="11"/>
        <v/>
      </c>
      <c r="AC70" s="531" t="str">
        <f t="shared" si="12"/>
        <v/>
      </c>
      <c r="AD70" s="531">
        <f t="shared" si="13"/>
        <v>46029.5</v>
      </c>
    </row>
    <row r="71" spans="1:30" x14ac:dyDescent="0.3">
      <c r="A71" s="553">
        <v>12</v>
      </c>
      <c r="B71" s="554">
        <v>39830</v>
      </c>
      <c r="C71" s="554">
        <v>39836</v>
      </c>
      <c r="D71" s="528"/>
      <c r="E71" s="528"/>
      <c r="F71" s="528"/>
      <c r="G71" s="528"/>
      <c r="H71" s="528"/>
      <c r="I71" s="528"/>
      <c r="J71" s="528"/>
      <c r="K71" s="528"/>
      <c r="L71" s="528"/>
      <c r="M71" s="528"/>
      <c r="N71" s="528"/>
      <c r="O71" s="528"/>
      <c r="P71" s="528"/>
      <c r="Q71" s="528"/>
      <c r="R71" s="555"/>
      <c r="S71" s="531" t="str">
        <f t="shared" si="2"/>
        <v/>
      </c>
      <c r="T71" s="531" t="str">
        <f t="shared" si="3"/>
        <v/>
      </c>
      <c r="U71" s="531" t="str">
        <f t="shared" si="4"/>
        <v/>
      </c>
      <c r="V71" s="531">
        <f t="shared" si="5"/>
        <v>44606</v>
      </c>
      <c r="W71" s="531" t="str">
        <f t="shared" si="6"/>
        <v/>
      </c>
      <c r="X71" s="531">
        <f t="shared" si="7"/>
        <v>35218</v>
      </c>
      <c r="Y71" s="531" t="str">
        <f t="shared" si="8"/>
        <v/>
      </c>
      <c r="Z71" s="531">
        <f t="shared" si="9"/>
        <v>39577</v>
      </c>
      <c r="AA71" s="531" t="str">
        <f t="shared" si="10"/>
        <v/>
      </c>
      <c r="AB71" s="531" t="str">
        <f t="shared" si="11"/>
        <v/>
      </c>
      <c r="AC71" s="531" t="str">
        <f t="shared" si="12"/>
        <v/>
      </c>
      <c r="AD71" s="531">
        <f t="shared" si="13"/>
        <v>46029.5</v>
      </c>
    </row>
    <row r="72" spans="1:30" x14ac:dyDescent="0.3">
      <c r="A72" s="553">
        <v>13</v>
      </c>
      <c r="B72" s="554">
        <v>39837</v>
      </c>
      <c r="C72" s="554">
        <v>39843</v>
      </c>
      <c r="D72" s="528"/>
      <c r="E72" s="528"/>
      <c r="F72" s="528"/>
      <c r="G72" s="528"/>
      <c r="H72" s="528"/>
      <c r="I72" s="528"/>
      <c r="J72" s="528"/>
      <c r="K72" s="528"/>
      <c r="L72" s="528"/>
      <c r="M72" s="528"/>
      <c r="N72" s="528"/>
      <c r="O72" s="528"/>
      <c r="P72" s="528"/>
      <c r="Q72" s="528"/>
      <c r="R72" s="555"/>
      <c r="S72" s="531" t="str">
        <f t="shared" si="2"/>
        <v/>
      </c>
      <c r="T72" s="531" t="str">
        <f t="shared" si="3"/>
        <v/>
      </c>
      <c r="U72" s="531" t="str">
        <f t="shared" si="4"/>
        <v/>
      </c>
      <c r="V72" s="531">
        <f t="shared" si="5"/>
        <v>44606</v>
      </c>
      <c r="W72" s="531" t="str">
        <f t="shared" si="6"/>
        <v/>
      </c>
      <c r="X72" s="531">
        <f t="shared" si="7"/>
        <v>35218</v>
      </c>
      <c r="Y72" s="531" t="str">
        <f t="shared" si="8"/>
        <v/>
      </c>
      <c r="Z72" s="531">
        <f t="shared" si="9"/>
        <v>39577</v>
      </c>
      <c r="AA72" s="531" t="str">
        <f t="shared" si="10"/>
        <v/>
      </c>
      <c r="AB72" s="531" t="str">
        <f t="shared" si="11"/>
        <v/>
      </c>
      <c r="AC72" s="531" t="str">
        <f t="shared" si="12"/>
        <v/>
      </c>
      <c r="AD72" s="531">
        <f t="shared" si="13"/>
        <v>46029.5</v>
      </c>
    </row>
    <row r="73" spans="1:30" x14ac:dyDescent="0.3">
      <c r="A73" s="553">
        <v>14</v>
      </c>
      <c r="B73" s="554">
        <v>39844</v>
      </c>
      <c r="C73" s="554">
        <v>39850</v>
      </c>
      <c r="D73" s="528"/>
      <c r="E73" s="528"/>
      <c r="F73" s="528"/>
      <c r="G73" s="528"/>
      <c r="H73" s="528"/>
      <c r="I73" s="528"/>
      <c r="J73" s="528"/>
      <c r="K73" s="528"/>
      <c r="L73" s="528"/>
      <c r="M73" s="528"/>
      <c r="N73" s="528"/>
      <c r="O73" s="528"/>
      <c r="P73" s="528"/>
      <c r="Q73" s="528"/>
      <c r="R73" s="555"/>
      <c r="S73" s="531" t="str">
        <f t="shared" si="2"/>
        <v/>
      </c>
      <c r="T73" s="531" t="str">
        <f t="shared" si="3"/>
        <v/>
      </c>
      <c r="U73" s="531" t="str">
        <f t="shared" si="4"/>
        <v/>
      </c>
      <c r="V73" s="531">
        <f t="shared" si="5"/>
        <v>44606</v>
      </c>
      <c r="W73" s="531" t="str">
        <f t="shared" si="6"/>
        <v/>
      </c>
      <c r="X73" s="531">
        <f t="shared" si="7"/>
        <v>35218</v>
      </c>
      <c r="Y73" s="531" t="str">
        <f t="shared" si="8"/>
        <v/>
      </c>
      <c r="Z73" s="531">
        <f t="shared" si="9"/>
        <v>39577</v>
      </c>
      <c r="AA73" s="531" t="str">
        <f t="shared" si="10"/>
        <v/>
      </c>
      <c r="AB73" s="531" t="str">
        <f t="shared" si="11"/>
        <v/>
      </c>
      <c r="AC73" s="531" t="str">
        <f t="shared" si="12"/>
        <v/>
      </c>
      <c r="AD73" s="531">
        <f t="shared" si="13"/>
        <v>46029.5</v>
      </c>
    </row>
    <row r="74" spans="1:30" x14ac:dyDescent="0.3">
      <c r="A74" s="556">
        <v>15</v>
      </c>
      <c r="B74" s="557">
        <v>39851</v>
      </c>
      <c r="C74" s="557">
        <v>39857</v>
      </c>
      <c r="D74" s="538"/>
      <c r="E74" s="538"/>
      <c r="F74" s="538"/>
      <c r="G74" s="538"/>
      <c r="H74" s="538"/>
      <c r="I74" s="538"/>
      <c r="J74" s="538"/>
      <c r="K74" s="538"/>
      <c r="L74" s="538"/>
      <c r="M74" s="538"/>
      <c r="N74" s="538"/>
      <c r="O74" s="538"/>
      <c r="P74" s="538"/>
      <c r="Q74" s="538"/>
      <c r="R74" s="558"/>
      <c r="S74" s="541" t="str">
        <f>IF(AND(S73=D$75,T73=E$75),"",IF(S73="","",S73+D74))</f>
        <v/>
      </c>
      <c r="T74" s="541" t="str">
        <f t="shared" si="3"/>
        <v/>
      </c>
      <c r="U74" s="541" t="str">
        <f t="shared" si="4"/>
        <v/>
      </c>
      <c r="V74" s="541">
        <f t="shared" si="5"/>
        <v>44606</v>
      </c>
      <c r="W74" s="541" t="str">
        <f t="shared" si="6"/>
        <v/>
      </c>
      <c r="X74" s="541">
        <f t="shared" si="7"/>
        <v>35218</v>
      </c>
      <c r="Y74" s="541" t="str">
        <f t="shared" si="8"/>
        <v/>
      </c>
      <c r="Z74" s="541">
        <f t="shared" si="9"/>
        <v>39577</v>
      </c>
      <c r="AA74" s="541" t="str">
        <f t="shared" si="10"/>
        <v/>
      </c>
      <c r="AB74" s="541" t="str">
        <f t="shared" si="11"/>
        <v/>
      </c>
      <c r="AC74" s="541" t="str">
        <f t="shared" si="12"/>
        <v/>
      </c>
      <c r="AD74" s="541">
        <f t="shared" si="13"/>
        <v>46029.5</v>
      </c>
    </row>
    <row r="75" spans="1:30" x14ac:dyDescent="0.3">
      <c r="C75" s="559" t="s">
        <v>415</v>
      </c>
      <c r="D75" s="560">
        <f>SUM(D8:D74)</f>
        <v>44606</v>
      </c>
      <c r="E75" s="560">
        <f t="shared" ref="E75:Q75" si="16">SUM(E8:E74)</f>
        <v>44606</v>
      </c>
      <c r="F75" s="560">
        <f t="shared" si="16"/>
        <v>44606</v>
      </c>
      <c r="G75" s="560">
        <f t="shared" si="16"/>
        <v>44606</v>
      </c>
      <c r="H75" s="560">
        <f t="shared" si="16"/>
        <v>44606</v>
      </c>
      <c r="I75" s="560">
        <f t="shared" si="16"/>
        <v>35218</v>
      </c>
      <c r="J75" s="560">
        <f t="shared" si="16"/>
        <v>39577</v>
      </c>
      <c r="K75" s="560">
        <f t="shared" si="16"/>
        <v>39577</v>
      </c>
      <c r="L75" s="560">
        <f t="shared" si="16"/>
        <v>44626</v>
      </c>
      <c r="M75" s="560">
        <f t="shared" si="16"/>
        <v>0</v>
      </c>
      <c r="N75" s="560">
        <f t="shared" si="16"/>
        <v>48971.3</v>
      </c>
      <c r="O75" s="560">
        <f t="shared" si="16"/>
        <v>46029.5</v>
      </c>
      <c r="P75" s="560">
        <f t="shared" si="16"/>
        <v>44686</v>
      </c>
      <c r="Q75" s="560">
        <f t="shared" si="16"/>
        <v>44686</v>
      </c>
      <c r="S75" s="561"/>
      <c r="T75" s="561"/>
      <c r="U75" s="561"/>
      <c r="V75" s="561"/>
      <c r="W75" s="561"/>
      <c r="X75" s="561"/>
      <c r="Y75" s="561"/>
      <c r="Z75" s="561"/>
    </row>
    <row r="76" spans="1:30" x14ac:dyDescent="0.3">
      <c r="C76" s="521" t="s">
        <v>857</v>
      </c>
      <c r="D76" s="804">
        <f>D75-E75</f>
        <v>0</v>
      </c>
      <c r="E76" s="805"/>
      <c r="F76" s="797">
        <f>F75-G75</f>
        <v>0</v>
      </c>
      <c r="G76" s="795"/>
      <c r="H76" s="797">
        <f>H75-I75</f>
        <v>9388</v>
      </c>
      <c r="I76" s="795"/>
      <c r="J76" s="797">
        <f>J75-K75</f>
        <v>0</v>
      </c>
      <c r="K76" s="795"/>
      <c r="L76" s="797">
        <f>L75-M75</f>
        <v>44626</v>
      </c>
      <c r="M76" s="795"/>
      <c r="N76" s="797">
        <f>N75-O75</f>
        <v>2941.8000000000029</v>
      </c>
      <c r="O76" s="795"/>
      <c r="P76" s="797">
        <f>P75-Q75</f>
        <v>0</v>
      </c>
      <c r="Q76" s="795"/>
      <c r="S76" s="561"/>
      <c r="T76" s="561"/>
      <c r="U76" s="561"/>
      <c r="V76" s="561"/>
      <c r="W76" s="561"/>
      <c r="X76" s="561"/>
      <c r="Y76" s="561"/>
      <c r="Z76" s="561"/>
    </row>
    <row r="77" spans="1:30" x14ac:dyDescent="0.3">
      <c r="S77" s="561"/>
      <c r="T77" s="561"/>
      <c r="U77" s="561"/>
      <c r="V77" s="561"/>
      <c r="W77" s="561"/>
      <c r="X77" s="561"/>
      <c r="Y77" s="561"/>
      <c r="Z77" s="561"/>
    </row>
    <row r="78" spans="1:30" x14ac:dyDescent="0.3">
      <c r="S78" s="561"/>
      <c r="T78" s="561"/>
      <c r="U78" s="561"/>
      <c r="V78" s="561"/>
      <c r="W78" s="561"/>
      <c r="X78" s="561"/>
      <c r="Y78" s="561"/>
      <c r="Z78" s="561"/>
    </row>
    <row r="79" spans="1:30" x14ac:dyDescent="0.3">
      <c r="S79" s="561"/>
      <c r="T79" s="561"/>
      <c r="U79" s="561"/>
      <c r="V79" s="561"/>
      <c r="W79" s="561"/>
      <c r="X79" s="561"/>
      <c r="Y79" s="561"/>
      <c r="Z79" s="561"/>
    </row>
    <row r="80" spans="1:30" x14ac:dyDescent="0.3">
      <c r="S80" s="561"/>
      <c r="T80" s="561"/>
      <c r="U80" s="561"/>
      <c r="V80" s="561"/>
      <c r="W80" s="561"/>
      <c r="X80" s="561"/>
      <c r="Y80" s="561"/>
      <c r="Z80" s="561"/>
    </row>
    <row r="81" spans="19:26" x14ac:dyDescent="0.3">
      <c r="S81" s="561"/>
      <c r="T81" s="561"/>
      <c r="U81" s="561"/>
      <c r="V81" s="561"/>
      <c r="W81" s="561"/>
      <c r="X81" s="561"/>
      <c r="Y81" s="561"/>
      <c r="Z81" s="561"/>
    </row>
    <row r="82" spans="19:26" x14ac:dyDescent="0.3">
      <c r="S82" s="561"/>
      <c r="T82" s="561"/>
      <c r="U82" s="561"/>
      <c r="V82" s="561"/>
      <c r="W82" s="561"/>
      <c r="X82" s="561"/>
      <c r="Y82" s="561"/>
      <c r="Z82" s="561"/>
    </row>
    <row r="83" spans="19:26" x14ac:dyDescent="0.3">
      <c r="S83" s="561"/>
      <c r="T83" s="561"/>
      <c r="U83" s="561"/>
      <c r="V83" s="561"/>
      <c r="W83" s="561"/>
      <c r="X83" s="561"/>
      <c r="Y83" s="561"/>
      <c r="Z83" s="561"/>
    </row>
    <row r="84" spans="19:26" x14ac:dyDescent="0.3">
      <c r="S84" s="561"/>
      <c r="T84" s="561"/>
      <c r="U84" s="561"/>
      <c r="V84" s="561"/>
      <c r="W84" s="561"/>
      <c r="X84" s="561"/>
      <c r="Y84" s="561"/>
      <c r="Z84" s="561"/>
    </row>
    <row r="85" spans="19:26" x14ac:dyDescent="0.3">
      <c r="S85" s="561"/>
      <c r="T85" s="561"/>
      <c r="U85" s="561"/>
      <c r="V85" s="561"/>
      <c r="W85" s="561"/>
      <c r="X85" s="561"/>
      <c r="Y85" s="561"/>
      <c r="Z85" s="561"/>
    </row>
    <row r="86" spans="19:26" x14ac:dyDescent="0.3">
      <c r="S86" s="561"/>
      <c r="T86" s="561"/>
      <c r="U86" s="561"/>
      <c r="V86" s="561"/>
      <c r="W86" s="561"/>
      <c r="X86" s="561"/>
      <c r="Y86" s="561"/>
      <c r="Z86" s="561"/>
    </row>
    <row r="87" spans="19:26" x14ac:dyDescent="0.3">
      <c r="S87" s="561"/>
      <c r="T87" s="561"/>
      <c r="U87" s="561"/>
      <c r="V87" s="561"/>
      <c r="W87" s="561"/>
      <c r="X87" s="561"/>
      <c r="Y87" s="561"/>
      <c r="Z87" s="561"/>
    </row>
    <row r="88" spans="19:26" x14ac:dyDescent="0.3">
      <c r="S88" s="561"/>
      <c r="T88" s="561"/>
      <c r="U88" s="561"/>
      <c r="V88" s="561"/>
      <c r="W88" s="561"/>
      <c r="X88" s="561"/>
      <c r="Y88" s="561"/>
      <c r="Z88" s="561"/>
    </row>
    <row r="89" spans="19:26" x14ac:dyDescent="0.3">
      <c r="S89" s="561"/>
      <c r="T89" s="561"/>
      <c r="U89" s="561"/>
      <c r="V89" s="561"/>
      <c r="W89" s="561"/>
      <c r="X89" s="561"/>
      <c r="Y89" s="561"/>
      <c r="Z89" s="561"/>
    </row>
    <row r="90" spans="19:26" x14ac:dyDescent="0.3">
      <c r="S90" s="561"/>
      <c r="T90" s="561"/>
      <c r="U90" s="561"/>
      <c r="V90" s="561"/>
      <c r="W90" s="561"/>
      <c r="X90" s="561"/>
      <c r="Y90" s="561"/>
      <c r="Z90" s="561"/>
    </row>
    <row r="91" spans="19:26" x14ac:dyDescent="0.3">
      <c r="S91" s="561"/>
      <c r="T91" s="561"/>
      <c r="U91" s="561"/>
      <c r="V91" s="561"/>
      <c r="W91" s="561"/>
      <c r="X91" s="561"/>
      <c r="Y91" s="561"/>
      <c r="Z91" s="561"/>
    </row>
    <row r="92" spans="19:26" x14ac:dyDescent="0.3">
      <c r="S92" s="561"/>
      <c r="T92" s="561"/>
      <c r="U92" s="561"/>
      <c r="V92" s="561"/>
      <c r="W92" s="561"/>
      <c r="X92" s="561"/>
      <c r="Y92" s="561"/>
      <c r="Z92" s="561"/>
    </row>
    <row r="93" spans="19:26" x14ac:dyDescent="0.3">
      <c r="S93" s="561"/>
      <c r="T93" s="561"/>
      <c r="U93" s="561"/>
      <c r="V93" s="561"/>
      <c r="W93" s="561"/>
      <c r="X93" s="561"/>
      <c r="Y93" s="561"/>
      <c r="Z93" s="561"/>
    </row>
    <row r="94" spans="19:26" x14ac:dyDescent="0.3">
      <c r="S94" s="561"/>
      <c r="T94" s="561"/>
      <c r="U94" s="561"/>
      <c r="V94" s="561"/>
      <c r="W94" s="561"/>
      <c r="X94" s="561"/>
      <c r="Y94" s="561"/>
      <c r="Z94" s="561"/>
    </row>
    <row r="95" spans="19:26" x14ac:dyDescent="0.3">
      <c r="S95" s="561"/>
      <c r="T95" s="561"/>
      <c r="U95" s="561"/>
      <c r="V95" s="561"/>
      <c r="W95" s="561"/>
      <c r="X95" s="561"/>
      <c r="Y95" s="561"/>
      <c r="Z95" s="561"/>
    </row>
    <row r="96" spans="19:26" x14ac:dyDescent="0.3">
      <c r="S96" s="561"/>
      <c r="T96" s="561"/>
      <c r="U96" s="561"/>
      <c r="V96" s="561"/>
      <c r="W96" s="561"/>
      <c r="X96" s="561"/>
      <c r="Y96" s="561"/>
      <c r="Z96" s="561"/>
    </row>
    <row r="97" spans="19:26" x14ac:dyDescent="0.3">
      <c r="S97" s="561"/>
      <c r="T97" s="561"/>
      <c r="U97" s="561"/>
      <c r="V97" s="561"/>
      <c r="W97" s="561"/>
      <c r="X97" s="561"/>
      <c r="Y97" s="561"/>
      <c r="Z97" s="561"/>
    </row>
    <row r="98" spans="19:26" x14ac:dyDescent="0.3">
      <c r="S98" s="561"/>
      <c r="T98" s="561"/>
      <c r="U98" s="561"/>
      <c r="V98" s="561"/>
      <c r="W98" s="561"/>
      <c r="X98" s="561"/>
      <c r="Y98" s="561"/>
      <c r="Z98" s="561"/>
    </row>
    <row r="99" spans="19:26" x14ac:dyDescent="0.3">
      <c r="S99" s="561"/>
      <c r="T99" s="561"/>
      <c r="U99" s="561"/>
      <c r="V99" s="561"/>
      <c r="W99" s="561"/>
      <c r="X99" s="561"/>
      <c r="Y99" s="561"/>
      <c r="Z99" s="561"/>
    </row>
    <row r="100" spans="19:26" x14ac:dyDescent="0.3">
      <c r="S100" s="561"/>
      <c r="T100" s="561"/>
      <c r="U100" s="561"/>
      <c r="V100" s="561"/>
      <c r="W100" s="561"/>
      <c r="X100" s="561"/>
      <c r="Y100" s="561"/>
      <c r="Z100" s="561"/>
    </row>
    <row r="101" spans="19:26" x14ac:dyDescent="0.3">
      <c r="S101" s="561"/>
      <c r="T101" s="561"/>
      <c r="U101" s="561"/>
      <c r="V101" s="561"/>
      <c r="W101" s="561"/>
      <c r="X101" s="561"/>
      <c r="Y101" s="561"/>
      <c r="Z101" s="561"/>
    </row>
    <row r="102" spans="19:26" x14ac:dyDescent="0.3">
      <c r="S102" s="561"/>
      <c r="T102" s="561"/>
      <c r="U102" s="561"/>
      <c r="V102" s="561"/>
      <c r="W102" s="561"/>
      <c r="X102" s="561"/>
      <c r="Y102" s="561"/>
      <c r="Z102" s="561"/>
    </row>
    <row r="103" spans="19:26" x14ac:dyDescent="0.3">
      <c r="S103" s="561"/>
      <c r="T103" s="561"/>
      <c r="U103" s="561"/>
      <c r="V103" s="561"/>
      <c r="W103" s="561"/>
      <c r="X103" s="561"/>
      <c r="Y103" s="561"/>
      <c r="Z103" s="561"/>
    </row>
    <row r="104" spans="19:26" x14ac:dyDescent="0.3">
      <c r="S104" s="561"/>
      <c r="T104" s="561"/>
      <c r="U104" s="561"/>
      <c r="V104" s="561"/>
      <c r="W104" s="561"/>
      <c r="X104" s="561"/>
      <c r="Y104" s="561"/>
      <c r="Z104" s="561"/>
    </row>
    <row r="105" spans="19:26" x14ac:dyDescent="0.3">
      <c r="S105" s="561"/>
      <c r="T105" s="561"/>
      <c r="U105" s="561"/>
      <c r="V105" s="561"/>
      <c r="W105" s="561"/>
      <c r="X105" s="561"/>
      <c r="Y105" s="561"/>
      <c r="Z105" s="561"/>
    </row>
    <row r="106" spans="19:26" x14ac:dyDescent="0.3">
      <c r="S106" s="561"/>
      <c r="T106" s="561"/>
      <c r="U106" s="561"/>
      <c r="V106" s="561"/>
      <c r="W106" s="561"/>
      <c r="X106" s="561"/>
      <c r="Y106" s="561"/>
      <c r="Z106" s="561"/>
    </row>
    <row r="107" spans="19:26" x14ac:dyDescent="0.3">
      <c r="S107" s="561"/>
      <c r="T107" s="561"/>
      <c r="U107" s="561"/>
      <c r="V107" s="561"/>
      <c r="W107" s="561"/>
      <c r="X107" s="561"/>
      <c r="Y107" s="561"/>
      <c r="Z107" s="561"/>
    </row>
    <row r="108" spans="19:26" x14ac:dyDescent="0.3">
      <c r="S108" s="561"/>
      <c r="T108" s="561"/>
      <c r="U108" s="561"/>
      <c r="V108" s="561"/>
      <c r="W108" s="561"/>
      <c r="X108" s="561"/>
      <c r="Y108" s="561"/>
      <c r="Z108" s="561"/>
    </row>
    <row r="109" spans="19:26" x14ac:dyDescent="0.3">
      <c r="S109" s="561"/>
      <c r="T109" s="561"/>
      <c r="U109" s="561"/>
      <c r="V109" s="561"/>
      <c r="W109" s="561"/>
      <c r="X109" s="561"/>
      <c r="Y109" s="561"/>
      <c r="Z109" s="561"/>
    </row>
    <row r="110" spans="19:26" x14ac:dyDescent="0.3">
      <c r="S110" s="561"/>
      <c r="T110" s="561"/>
      <c r="U110" s="561"/>
      <c r="V110" s="561"/>
      <c r="W110" s="561"/>
      <c r="X110" s="561"/>
      <c r="Y110" s="561"/>
      <c r="Z110" s="561"/>
    </row>
    <row r="111" spans="19:26" x14ac:dyDescent="0.3">
      <c r="S111" s="561"/>
      <c r="T111" s="561"/>
      <c r="U111" s="561"/>
      <c r="V111" s="561"/>
    </row>
    <row r="112" spans="19:26" x14ac:dyDescent="0.3">
      <c r="U112" s="561"/>
      <c r="V112" s="561"/>
    </row>
  </sheetData>
  <sheetProtection password="DD72" sheet="1" formatCells="0" formatColumns="0" insertColumns="0"/>
  <mergeCells count="31">
    <mergeCell ref="D76:E76"/>
    <mergeCell ref="N76:O76"/>
    <mergeCell ref="B5:C6"/>
    <mergeCell ref="N6:O6"/>
    <mergeCell ref="F76:G76"/>
    <mergeCell ref="F6:G6"/>
    <mergeCell ref="D5:Q5"/>
    <mergeCell ref="D6:E6"/>
    <mergeCell ref="S1:AD1"/>
    <mergeCell ref="S5:AD5"/>
    <mergeCell ref="AA6:AB6"/>
    <mergeCell ref="A1:R1"/>
    <mergeCell ref="P6:Q6"/>
    <mergeCell ref="U6:V6"/>
    <mergeCell ref="A5:A7"/>
    <mergeCell ref="F2:G2"/>
    <mergeCell ref="G3:H3"/>
    <mergeCell ref="K2:L2"/>
    <mergeCell ref="AC6:AD6"/>
    <mergeCell ref="S6:T6"/>
    <mergeCell ref="R5:R7"/>
    <mergeCell ref="P76:Q76"/>
    <mergeCell ref="H76:I76"/>
    <mergeCell ref="W6:X6"/>
    <mergeCell ref="H2:I2"/>
    <mergeCell ref="Y6:Z6"/>
    <mergeCell ref="L76:M76"/>
    <mergeCell ref="J76:K76"/>
    <mergeCell ref="J6:K6"/>
    <mergeCell ref="H6:I6"/>
    <mergeCell ref="L6:M6"/>
  </mergeCells>
  <phoneticPr fontId="0" type="noConversion"/>
  <pageMargins left="0.51181102362204722" right="0" top="0.55118110236220474" bottom="0.39370078740157483" header="0.31496062992125984" footer="0.31496062992125984"/>
  <pageSetup paperSize="9" scale="5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1AF0-10B0-9B4F-99C4-7B5FD44B6ECF}">
  <sheetPr codeName="Sheet14">
    <tabColor rgb="FF339966"/>
  </sheetPr>
  <dimension ref="A1:L63"/>
  <sheetViews>
    <sheetView zoomScaleNormal="100" zoomScaleSheetLayoutView="100" workbookViewId="0">
      <selection activeCell="C5" sqref="C5"/>
    </sheetView>
  </sheetViews>
  <sheetFormatPr baseColWidth="10" defaultColWidth="9.1640625" defaultRowHeight="13" x14ac:dyDescent="0.15"/>
  <cols>
    <col min="1" max="1" width="7.83203125" style="177" customWidth="1"/>
    <col min="2" max="2" width="21.1640625" style="177" customWidth="1"/>
    <col min="3" max="3" width="11.33203125" style="177" bestFit="1" customWidth="1"/>
    <col min="4" max="5" width="9.1640625" style="177"/>
    <col min="6" max="6" width="10" style="177" customWidth="1"/>
    <col min="7" max="7" width="9.5" style="177" customWidth="1"/>
    <col min="8" max="16384" width="9.1640625" style="177"/>
  </cols>
  <sheetData>
    <row r="1" spans="1:12" ht="16" x14ac:dyDescent="0.2">
      <c r="A1" s="816" t="s">
        <v>608</v>
      </c>
      <c r="B1" s="816"/>
      <c r="C1" s="816"/>
      <c r="D1" s="816"/>
      <c r="E1" s="816"/>
      <c r="F1" s="816"/>
      <c r="G1" s="816"/>
      <c r="H1" s="816"/>
    </row>
    <row r="2" spans="1:12" x14ac:dyDescent="0.15">
      <c r="A2" s="180" t="s">
        <v>2</v>
      </c>
      <c r="B2" s="211" t="s">
        <v>489</v>
      </c>
      <c r="C2" s="212" t="s">
        <v>415</v>
      </c>
      <c r="D2" s="211" t="s">
        <v>561</v>
      </c>
      <c r="E2" s="211" t="s">
        <v>563</v>
      </c>
      <c r="F2" s="213" t="s">
        <v>564</v>
      </c>
      <c r="G2" s="214" t="s">
        <v>394</v>
      </c>
      <c r="H2" s="211" t="s">
        <v>391</v>
      </c>
      <c r="I2" s="314" t="s">
        <v>412</v>
      </c>
      <c r="J2" s="315" t="s">
        <v>413</v>
      </c>
    </row>
    <row r="3" spans="1:12" x14ac:dyDescent="0.15">
      <c r="A3" s="180" t="s">
        <v>402</v>
      </c>
      <c r="B3" s="214"/>
      <c r="C3" s="212"/>
      <c r="D3" s="211"/>
      <c r="E3" s="211"/>
      <c r="F3" s="214"/>
      <c r="G3" s="214"/>
      <c r="H3" s="215"/>
      <c r="I3" s="214"/>
      <c r="J3" s="215"/>
    </row>
    <row r="4" spans="1:12" x14ac:dyDescent="0.15">
      <c r="A4" s="216" t="s">
        <v>352</v>
      </c>
      <c r="B4" s="216" t="s">
        <v>353</v>
      </c>
      <c r="C4" s="216" t="s">
        <v>354</v>
      </c>
      <c r="D4" s="216" t="s">
        <v>355</v>
      </c>
      <c r="E4" s="216" t="s">
        <v>356</v>
      </c>
      <c r="F4" s="216" t="s">
        <v>357</v>
      </c>
      <c r="G4" s="216" t="s">
        <v>423</v>
      </c>
      <c r="H4" s="216" t="s">
        <v>358</v>
      </c>
      <c r="I4" s="216" t="s">
        <v>359</v>
      </c>
      <c r="J4" s="216" t="s">
        <v>360</v>
      </c>
    </row>
    <row r="5" spans="1:12" x14ac:dyDescent="0.15">
      <c r="A5" s="181">
        <v>1</v>
      </c>
      <c r="B5" s="222" t="s">
        <v>509</v>
      </c>
      <c r="C5" s="301">
        <f>SUM(D5:J5)</f>
        <v>5.311988311055984E-3</v>
      </c>
      <c r="D5" s="301">
        <f>+paddy_Dry!AI27/1000000</f>
        <v>0</v>
      </c>
      <c r="E5" s="301">
        <f>+paddy_rain!AI27/1000000</f>
        <v>0</v>
      </c>
      <c r="F5" s="301">
        <f>+upland_dry!AI27/1000000</f>
        <v>0</v>
      </c>
      <c r="G5" s="301">
        <f>+upland_rain!AI27/1000000</f>
        <v>5.311988311055984E-3</v>
      </c>
      <c r="H5" s="301">
        <f>+plant!Y16/1000000</f>
        <v>0</v>
      </c>
      <c r="I5" s="301">
        <f>++fishporn!H11/1000000</f>
        <v>0</v>
      </c>
      <c r="J5" s="301">
        <f>+' prawnporn'!H11/1000000</f>
        <v>0</v>
      </c>
      <c r="L5" s="300"/>
    </row>
    <row r="6" spans="1:12" x14ac:dyDescent="0.15">
      <c r="A6" s="217">
        <f t="shared" ref="A6:A37" si="0">A5+1</f>
        <v>2</v>
      </c>
      <c r="B6" s="223" t="s">
        <v>510</v>
      </c>
      <c r="C6" s="302">
        <f t="shared" ref="C6:C56" si="1">SUM(D6:J6)</f>
        <v>5.3562309614330851E-3</v>
      </c>
      <c r="D6" s="302">
        <f>+paddy_Dry!AI28/1000000</f>
        <v>0</v>
      </c>
      <c r="E6" s="302">
        <f>+paddy_rain!AI28/1000000</f>
        <v>0</v>
      </c>
      <c r="F6" s="302">
        <f>+upland_dry!AI28/1000000</f>
        <v>0</v>
      </c>
      <c r="G6" s="302">
        <f>+upland_rain!AI28/1000000</f>
        <v>5.3562309614330851E-3</v>
      </c>
      <c r="H6" s="302">
        <f>+plant!Y17/1000000</f>
        <v>0</v>
      </c>
      <c r="I6" s="302">
        <f>++fishporn!H12/1000000</f>
        <v>0</v>
      </c>
      <c r="J6" s="302">
        <f>+' prawnporn'!H12/1000000</f>
        <v>0</v>
      </c>
    </row>
    <row r="7" spans="1:12" x14ac:dyDescent="0.15">
      <c r="A7" s="217">
        <f t="shared" si="0"/>
        <v>3</v>
      </c>
      <c r="B7" s="223" t="s">
        <v>511</v>
      </c>
      <c r="C7" s="302">
        <f t="shared" si="1"/>
        <v>5.9048398261091362E-3</v>
      </c>
      <c r="D7" s="302">
        <f>+paddy_Dry!AI29/1000000</f>
        <v>0</v>
      </c>
      <c r="E7" s="302">
        <f>+paddy_rain!AI29/1000000</f>
        <v>0</v>
      </c>
      <c r="F7" s="302">
        <f>+upland_dry!AI29/1000000</f>
        <v>0</v>
      </c>
      <c r="G7" s="302">
        <f>+upland_rain!AI29/1000000</f>
        <v>5.9048398261091362E-3</v>
      </c>
      <c r="H7" s="302">
        <f>+plant!Y18/1000000</f>
        <v>0</v>
      </c>
      <c r="I7" s="302">
        <f>++fishporn!H13/1000000</f>
        <v>0</v>
      </c>
      <c r="J7" s="302">
        <f>+' prawnporn'!H13/1000000</f>
        <v>0</v>
      </c>
    </row>
    <row r="8" spans="1:12" x14ac:dyDescent="0.15">
      <c r="A8" s="217">
        <f t="shared" si="0"/>
        <v>4</v>
      </c>
      <c r="B8" s="223" t="s">
        <v>512</v>
      </c>
      <c r="C8" s="302">
        <f t="shared" si="1"/>
        <v>5.9048398261091362E-3</v>
      </c>
      <c r="D8" s="302">
        <f>+paddy_Dry!AI30/1000000</f>
        <v>0</v>
      </c>
      <c r="E8" s="302">
        <f>+paddy_rain!AI30/1000000</f>
        <v>0</v>
      </c>
      <c r="F8" s="302">
        <f>+upland_dry!AI30/1000000</f>
        <v>0</v>
      </c>
      <c r="G8" s="302">
        <f>+upland_rain!AI30/1000000</f>
        <v>5.9048398261091362E-3</v>
      </c>
      <c r="H8" s="302">
        <f>+plant!Y19/1000000</f>
        <v>0</v>
      </c>
      <c r="I8" s="302">
        <f>++fishporn!H14/1000000</f>
        <v>0</v>
      </c>
      <c r="J8" s="302">
        <f>+' prawnporn'!H14/1000000</f>
        <v>0</v>
      </c>
    </row>
    <row r="9" spans="1:12" x14ac:dyDescent="0.15">
      <c r="A9" s="217">
        <f t="shared" si="0"/>
        <v>5</v>
      </c>
      <c r="B9" s="223" t="s">
        <v>513</v>
      </c>
      <c r="C9" s="302">
        <f t="shared" si="1"/>
        <v>5.707184894033583E-3</v>
      </c>
      <c r="D9" s="302">
        <f>+paddy_Dry!AI31/1000000</f>
        <v>0</v>
      </c>
      <c r="E9" s="302">
        <f>+paddy_rain!AI31/1000000</f>
        <v>0</v>
      </c>
      <c r="F9" s="302">
        <f>+upland_dry!AI31/1000000</f>
        <v>0</v>
      </c>
      <c r="G9" s="302">
        <f>+upland_rain!AI31/1000000</f>
        <v>5.707184894033583E-3</v>
      </c>
      <c r="H9" s="302">
        <f>+plant!Y20/1000000</f>
        <v>0</v>
      </c>
      <c r="I9" s="302">
        <f>++fishporn!H15/1000000</f>
        <v>0</v>
      </c>
      <c r="J9" s="302">
        <f>+' prawnporn'!H15/1000000</f>
        <v>0</v>
      </c>
    </row>
    <row r="10" spans="1:12" x14ac:dyDescent="0.15">
      <c r="A10" s="217">
        <f t="shared" si="0"/>
        <v>6</v>
      </c>
      <c r="B10" s="223" t="s">
        <v>514</v>
      </c>
      <c r="C10" s="302">
        <f t="shared" si="1"/>
        <v>5.6528544347248825E-3</v>
      </c>
      <c r="D10" s="302">
        <f>+paddy_Dry!AI32/1000000</f>
        <v>0</v>
      </c>
      <c r="E10" s="302">
        <f>+paddy_rain!AI32/1000000</f>
        <v>0</v>
      </c>
      <c r="F10" s="302">
        <f>+upland_dry!AI32/1000000</f>
        <v>0</v>
      </c>
      <c r="G10" s="302">
        <f>+upland_rain!AI32/1000000</f>
        <v>5.6528544347248825E-3</v>
      </c>
      <c r="H10" s="302">
        <f>+plant!Y21/1000000</f>
        <v>0</v>
      </c>
      <c r="I10" s="302">
        <f>++fishporn!H16/1000000</f>
        <v>0</v>
      </c>
      <c r="J10" s="302">
        <f>+' prawnporn'!H16/1000000</f>
        <v>0</v>
      </c>
    </row>
    <row r="11" spans="1:12" x14ac:dyDescent="0.15">
      <c r="A11" s="217">
        <f t="shared" si="0"/>
        <v>7</v>
      </c>
      <c r="B11" s="223" t="s">
        <v>515</v>
      </c>
      <c r="C11" s="302">
        <f t="shared" si="1"/>
        <v>4.9791567392970023E-3</v>
      </c>
      <c r="D11" s="302">
        <f>+paddy_Dry!AI33/1000000</f>
        <v>0</v>
      </c>
      <c r="E11" s="302">
        <f>+paddy_rain!AI33/1000000</f>
        <v>0</v>
      </c>
      <c r="F11" s="302">
        <f>+upland_dry!AI33/1000000</f>
        <v>0</v>
      </c>
      <c r="G11" s="302">
        <f>+upland_rain!AI33/1000000</f>
        <v>4.9791567392970023E-3</v>
      </c>
      <c r="H11" s="302">
        <f>+plant!Y22/1000000</f>
        <v>0</v>
      </c>
      <c r="I11" s="302">
        <f>++fishporn!H17/1000000</f>
        <v>0</v>
      </c>
      <c r="J11" s="302">
        <f>+' prawnporn'!H17/1000000</f>
        <v>0</v>
      </c>
    </row>
    <row r="12" spans="1:12" x14ac:dyDescent="0.15">
      <c r="A12" s="217">
        <f t="shared" si="0"/>
        <v>8</v>
      </c>
      <c r="B12" s="223" t="s">
        <v>516</v>
      </c>
      <c r="C12" s="302">
        <f t="shared" si="1"/>
        <v>4.9791567392970023E-3</v>
      </c>
      <c r="D12" s="302">
        <f>+paddy_Dry!AI34/1000000</f>
        <v>0</v>
      </c>
      <c r="E12" s="302">
        <f>+paddy_rain!AI34/1000000</f>
        <v>0</v>
      </c>
      <c r="F12" s="302">
        <f>+upland_dry!AI34/1000000</f>
        <v>0</v>
      </c>
      <c r="G12" s="302">
        <f>+upland_rain!AI34/1000000</f>
        <v>4.9791567392970023E-3</v>
      </c>
      <c r="H12" s="302">
        <f>+plant!Y23/1000000</f>
        <v>0</v>
      </c>
      <c r="I12" s="302">
        <f>++fishporn!H18/1000000</f>
        <v>0</v>
      </c>
      <c r="J12" s="302">
        <f>+' prawnporn'!H18/1000000</f>
        <v>0</v>
      </c>
    </row>
    <row r="13" spans="1:12" x14ac:dyDescent="0.15">
      <c r="A13" s="217">
        <f t="shared" si="0"/>
        <v>9</v>
      </c>
      <c r="B13" s="223" t="s">
        <v>517</v>
      </c>
      <c r="C13" s="302">
        <f t="shared" si="1"/>
        <v>5.127683847635788E-3</v>
      </c>
      <c r="D13" s="302">
        <f>+paddy_Dry!AI35/1000000</f>
        <v>0</v>
      </c>
      <c r="E13" s="302">
        <f>+paddy_rain!AI35/1000000</f>
        <v>0</v>
      </c>
      <c r="F13" s="302">
        <f>+upland_dry!AI35/1000000</f>
        <v>0</v>
      </c>
      <c r="G13" s="302">
        <f>+upland_rain!AI35/1000000</f>
        <v>5.127683847635788E-3</v>
      </c>
      <c r="H13" s="302">
        <f>+plant!Y24/1000000</f>
        <v>0</v>
      </c>
      <c r="I13" s="302">
        <f>++fishporn!H19/1000000</f>
        <v>0</v>
      </c>
      <c r="J13" s="302">
        <f>+' prawnporn'!H19/1000000</f>
        <v>0</v>
      </c>
    </row>
    <row r="14" spans="1:12" x14ac:dyDescent="0.15">
      <c r="A14" s="217">
        <f t="shared" si="0"/>
        <v>10</v>
      </c>
      <c r="B14" s="223" t="s">
        <v>518</v>
      </c>
      <c r="C14" s="302">
        <f t="shared" si="1"/>
        <v>5.1088003843541016E-3</v>
      </c>
      <c r="D14" s="302">
        <f>+paddy_Dry!AI36/1000000</f>
        <v>0</v>
      </c>
      <c r="E14" s="302">
        <f>+paddy_rain!AI36/1000000</f>
        <v>0</v>
      </c>
      <c r="F14" s="302">
        <f>+upland_dry!AI36/1000000</f>
        <v>0</v>
      </c>
      <c r="G14" s="302">
        <f>+upland_rain!AI36/1000000</f>
        <v>5.1088003843541016E-3</v>
      </c>
      <c r="H14" s="302">
        <f>+plant!Y25/1000000</f>
        <v>0</v>
      </c>
      <c r="I14" s="302">
        <f>++fishporn!H20/1000000</f>
        <v>0</v>
      </c>
      <c r="J14" s="302">
        <f>+' prawnporn'!H20/1000000</f>
        <v>0</v>
      </c>
    </row>
    <row r="15" spans="1:12" x14ac:dyDescent="0.15">
      <c r="A15" s="217">
        <f t="shared" si="0"/>
        <v>11</v>
      </c>
      <c r="B15" s="223" t="s">
        <v>519</v>
      </c>
      <c r="C15" s="302">
        <f t="shared" si="1"/>
        <v>4.8746454396611976E-3</v>
      </c>
      <c r="D15" s="302">
        <f>+paddy_Dry!AI37/1000000</f>
        <v>0</v>
      </c>
      <c r="E15" s="302">
        <f>+paddy_rain!AI37/1000000</f>
        <v>0</v>
      </c>
      <c r="F15" s="302">
        <f>+upland_dry!AI37/1000000</f>
        <v>0</v>
      </c>
      <c r="G15" s="302">
        <f>+upland_rain!AI37/1000000</f>
        <v>4.8746454396611976E-3</v>
      </c>
      <c r="H15" s="302">
        <f>+plant!Y26/1000000</f>
        <v>0</v>
      </c>
      <c r="I15" s="302">
        <f>++fishporn!H21/1000000</f>
        <v>0</v>
      </c>
      <c r="J15" s="302">
        <f>+' prawnporn'!H21/1000000</f>
        <v>0</v>
      </c>
    </row>
    <row r="16" spans="1:12" x14ac:dyDescent="0.15">
      <c r="A16" s="217">
        <f t="shared" si="0"/>
        <v>12</v>
      </c>
      <c r="B16" s="223" t="s">
        <v>520</v>
      </c>
      <c r="C16" s="302">
        <f t="shared" si="1"/>
        <v>4.8746454396611976E-3</v>
      </c>
      <c r="D16" s="302">
        <f>+paddy_Dry!AI38/1000000</f>
        <v>0</v>
      </c>
      <c r="E16" s="302">
        <f>+paddy_rain!AI38/1000000</f>
        <v>0</v>
      </c>
      <c r="F16" s="302">
        <f>+upland_dry!AI38/1000000</f>
        <v>0</v>
      </c>
      <c r="G16" s="302">
        <f>+upland_rain!AI38/1000000</f>
        <v>4.8746454396611976E-3</v>
      </c>
      <c r="H16" s="302">
        <f>+plant!Y27/1000000</f>
        <v>0</v>
      </c>
      <c r="I16" s="302">
        <f>++fishporn!H22/1000000</f>
        <v>0</v>
      </c>
      <c r="J16" s="302">
        <f>+' prawnporn'!H22/1000000</f>
        <v>0</v>
      </c>
    </row>
    <row r="17" spans="1:10" x14ac:dyDescent="0.15">
      <c r="A17" s="217">
        <f t="shared" si="0"/>
        <v>13</v>
      </c>
      <c r="B17" s="223" t="s">
        <v>521</v>
      </c>
      <c r="C17" s="302">
        <f t="shared" si="1"/>
        <v>4.8746454396611976E-3</v>
      </c>
      <c r="D17" s="302">
        <f>+paddy_Dry!AI39/1000000</f>
        <v>0</v>
      </c>
      <c r="E17" s="302">
        <f>+paddy_rain!AI39/1000000</f>
        <v>0</v>
      </c>
      <c r="F17" s="302">
        <f>+upland_dry!AI39/1000000</f>
        <v>0</v>
      </c>
      <c r="G17" s="302">
        <f>+upland_rain!AI39/1000000</f>
        <v>4.8746454396611976E-3</v>
      </c>
      <c r="H17" s="302">
        <f>+plant!Y28/1000000</f>
        <v>0</v>
      </c>
      <c r="I17" s="302">
        <f>++fishporn!H23/1000000</f>
        <v>0</v>
      </c>
      <c r="J17" s="302">
        <f>+' prawnporn'!H23/1000000</f>
        <v>0</v>
      </c>
    </row>
    <row r="18" spans="1:10" x14ac:dyDescent="0.15">
      <c r="A18" s="217">
        <f t="shared" si="0"/>
        <v>14</v>
      </c>
      <c r="B18" s="223" t="s">
        <v>522</v>
      </c>
      <c r="C18" s="302">
        <f t="shared" si="1"/>
        <v>5.1797051179897037E-3</v>
      </c>
      <c r="D18" s="302">
        <f>+paddy_Dry!AI40/1000000</f>
        <v>0</v>
      </c>
      <c r="E18" s="302">
        <f>+paddy_rain!AI40/1000000</f>
        <v>0</v>
      </c>
      <c r="F18" s="302">
        <f>+upland_dry!AI40/1000000</f>
        <v>0</v>
      </c>
      <c r="G18" s="302">
        <f>+upland_rain!AI40/1000000</f>
        <v>5.1797051179897037E-3</v>
      </c>
      <c r="H18" s="302">
        <f>+plant!Y29/1000000</f>
        <v>0</v>
      </c>
      <c r="I18" s="302">
        <f>++fishporn!H24/1000000</f>
        <v>0</v>
      </c>
      <c r="J18" s="302">
        <f>+' prawnporn'!H24/1000000</f>
        <v>0</v>
      </c>
    </row>
    <row r="19" spans="1:10" x14ac:dyDescent="0.15">
      <c r="A19" s="217">
        <f t="shared" si="0"/>
        <v>15</v>
      </c>
      <c r="B19" s="223" t="s">
        <v>523</v>
      </c>
      <c r="C19" s="302">
        <f t="shared" si="1"/>
        <v>5.1179324574264426E-3</v>
      </c>
      <c r="D19" s="302">
        <f>+paddy_Dry!AI41/1000000</f>
        <v>0</v>
      </c>
      <c r="E19" s="302">
        <f>+paddy_rain!AI41/1000000</f>
        <v>0</v>
      </c>
      <c r="F19" s="302">
        <f>+upland_dry!AI41/1000000</f>
        <v>0</v>
      </c>
      <c r="G19" s="302">
        <f>+upland_rain!AI41/1000000</f>
        <v>5.1179324574264426E-3</v>
      </c>
      <c r="H19" s="302">
        <f>+plant!Y30/1000000</f>
        <v>0</v>
      </c>
      <c r="I19" s="302">
        <f>++fishporn!H25/1000000</f>
        <v>0</v>
      </c>
      <c r="J19" s="302">
        <f>+' prawnporn'!H25/1000000</f>
        <v>0</v>
      </c>
    </row>
    <row r="20" spans="1:10" x14ac:dyDescent="0.15">
      <c r="A20" s="217">
        <f t="shared" si="0"/>
        <v>16</v>
      </c>
      <c r="B20" s="223" t="s">
        <v>524</v>
      </c>
      <c r="C20" s="302">
        <f t="shared" si="1"/>
        <v>4.3519514664420202E-3</v>
      </c>
      <c r="D20" s="302">
        <f>+paddy_Dry!AI42/1000000</f>
        <v>0</v>
      </c>
      <c r="E20" s="302">
        <f>+paddy_rain!AI42/1000000</f>
        <v>0</v>
      </c>
      <c r="F20" s="302">
        <f>+upland_dry!AI42/1000000</f>
        <v>0</v>
      </c>
      <c r="G20" s="302">
        <f>+upland_rain!AI42/1000000</f>
        <v>4.3519514664420202E-3</v>
      </c>
      <c r="H20" s="302">
        <f>+plant!Y31/1000000</f>
        <v>0</v>
      </c>
      <c r="I20" s="302">
        <f>++fishporn!H26/1000000</f>
        <v>0</v>
      </c>
      <c r="J20" s="302">
        <f>+' prawnporn'!H26/1000000</f>
        <v>0</v>
      </c>
    </row>
    <row r="21" spans="1:10" x14ac:dyDescent="0.15">
      <c r="A21" s="217">
        <f t="shared" si="0"/>
        <v>17</v>
      </c>
      <c r="B21" s="223" t="s">
        <v>525</v>
      </c>
      <c r="C21" s="302">
        <f t="shared" si="1"/>
        <v>4.0271789689463478E-3</v>
      </c>
      <c r="D21" s="302">
        <f>+paddy_Dry!AI43/1000000</f>
        <v>0</v>
      </c>
      <c r="E21" s="302">
        <f>+paddy_rain!AI43/1000000</f>
        <v>0</v>
      </c>
      <c r="F21" s="302">
        <f>+upland_dry!AI43/1000000</f>
        <v>0</v>
      </c>
      <c r="G21" s="302">
        <f>+upland_rain!AI43/1000000</f>
        <v>4.0271789689463478E-3</v>
      </c>
      <c r="H21" s="302">
        <f>+plant!Y32/1000000</f>
        <v>0</v>
      </c>
      <c r="I21" s="302">
        <f>++fishporn!H27/1000000</f>
        <v>0</v>
      </c>
      <c r="J21" s="302">
        <f>+' prawnporn'!H27/1000000</f>
        <v>0</v>
      </c>
    </row>
    <row r="22" spans="1:10" x14ac:dyDescent="0.15">
      <c r="A22" s="217">
        <f t="shared" si="0"/>
        <v>18</v>
      </c>
      <c r="B22" s="223" t="s">
        <v>526</v>
      </c>
      <c r="C22" s="302">
        <f t="shared" si="1"/>
        <v>0</v>
      </c>
      <c r="D22" s="302">
        <f>+paddy_Dry!AI44/1000000</f>
        <v>0</v>
      </c>
      <c r="E22" s="302">
        <f>+paddy_rain!AI44/1000000</f>
        <v>0</v>
      </c>
      <c r="F22" s="302">
        <f>+upland_dry!AI44/1000000</f>
        <v>0</v>
      </c>
      <c r="G22" s="302">
        <f>+upland_rain!AI44/1000000</f>
        <v>0</v>
      </c>
      <c r="H22" s="302">
        <f>+plant!Y33/1000000</f>
        <v>0</v>
      </c>
      <c r="I22" s="302">
        <f>++fishporn!H28/1000000</f>
        <v>0</v>
      </c>
      <c r="J22" s="302">
        <f>+' prawnporn'!H28/1000000</f>
        <v>0</v>
      </c>
    </row>
    <row r="23" spans="1:10" x14ac:dyDescent="0.15">
      <c r="A23" s="217">
        <f t="shared" si="0"/>
        <v>19</v>
      </c>
      <c r="B23" s="223" t="s">
        <v>527</v>
      </c>
      <c r="C23" s="302">
        <f t="shared" si="1"/>
        <v>0</v>
      </c>
      <c r="D23" s="302">
        <f>+paddy_Dry!AI45/1000000</f>
        <v>0</v>
      </c>
      <c r="E23" s="302">
        <f>+paddy_rain!AI45/1000000</f>
        <v>0</v>
      </c>
      <c r="F23" s="302">
        <f>+upland_dry!AI45/1000000</f>
        <v>0</v>
      </c>
      <c r="G23" s="302">
        <f>+upland_rain!AI45/1000000</f>
        <v>0</v>
      </c>
      <c r="H23" s="302">
        <f>+plant!Y34/1000000</f>
        <v>0</v>
      </c>
      <c r="I23" s="302">
        <f>++fishporn!H29/1000000</f>
        <v>0</v>
      </c>
      <c r="J23" s="302">
        <f>+' prawnporn'!H29/1000000</f>
        <v>0</v>
      </c>
    </row>
    <row r="24" spans="1:10" x14ac:dyDescent="0.15">
      <c r="A24" s="217">
        <f t="shared" si="0"/>
        <v>20</v>
      </c>
      <c r="B24" s="223" t="s">
        <v>528</v>
      </c>
      <c r="C24" s="302">
        <f t="shared" si="1"/>
        <v>0</v>
      </c>
      <c r="D24" s="302">
        <f>+paddy_Dry!AI46/1000000</f>
        <v>0</v>
      </c>
      <c r="E24" s="302">
        <f>+paddy_rain!AI46/1000000</f>
        <v>0</v>
      </c>
      <c r="F24" s="302">
        <f>+upland_dry!AI46/1000000</f>
        <v>0</v>
      </c>
      <c r="G24" s="302">
        <f>+upland_rain!AI46/1000000</f>
        <v>0</v>
      </c>
      <c r="H24" s="302">
        <f>+plant!Y35/1000000</f>
        <v>0</v>
      </c>
      <c r="I24" s="302">
        <f>++fishporn!H30/1000000</f>
        <v>0</v>
      </c>
      <c r="J24" s="302">
        <f>+' prawnporn'!H30/1000000</f>
        <v>0</v>
      </c>
    </row>
    <row r="25" spans="1:10" x14ac:dyDescent="0.15">
      <c r="A25" s="217">
        <f t="shared" si="0"/>
        <v>21</v>
      </c>
      <c r="B25" s="223" t="s">
        <v>529</v>
      </c>
      <c r="C25" s="302">
        <f t="shared" si="1"/>
        <v>0</v>
      </c>
      <c r="D25" s="302">
        <f>+paddy_Dry!AI47/1000000</f>
        <v>0</v>
      </c>
      <c r="E25" s="302">
        <f>+paddy_rain!AI47/1000000</f>
        <v>0</v>
      </c>
      <c r="F25" s="302">
        <f>+upland_dry!AI47/1000000</f>
        <v>0</v>
      </c>
      <c r="G25" s="302">
        <f>+upland_rain!AI47/1000000</f>
        <v>0</v>
      </c>
      <c r="H25" s="302">
        <f>+plant!Y36/1000000</f>
        <v>0</v>
      </c>
      <c r="I25" s="302">
        <f>++fishporn!H31/1000000</f>
        <v>0</v>
      </c>
      <c r="J25" s="302">
        <f>+' prawnporn'!H31/1000000</f>
        <v>0</v>
      </c>
    </row>
    <row r="26" spans="1:10" x14ac:dyDescent="0.15">
      <c r="A26" s="217">
        <f t="shared" si="0"/>
        <v>22</v>
      </c>
      <c r="B26" s="223" t="s">
        <v>530</v>
      </c>
      <c r="C26" s="302">
        <f t="shared" si="1"/>
        <v>0</v>
      </c>
      <c r="D26" s="302">
        <f>+paddy_Dry!AI48/1000000</f>
        <v>0</v>
      </c>
      <c r="E26" s="302">
        <f>+paddy_rain!AI48/1000000</f>
        <v>0</v>
      </c>
      <c r="F26" s="302">
        <f>+upland_dry!AI48/1000000</f>
        <v>0</v>
      </c>
      <c r="G26" s="302">
        <f>+upland_rain!AI48/1000000</f>
        <v>0</v>
      </c>
      <c r="H26" s="302">
        <f>+plant!Y37/1000000</f>
        <v>0</v>
      </c>
      <c r="I26" s="302">
        <f>++fishporn!H32/1000000</f>
        <v>0</v>
      </c>
      <c r="J26" s="302">
        <f>+' prawnporn'!H32/1000000</f>
        <v>0</v>
      </c>
    </row>
    <row r="27" spans="1:10" x14ac:dyDescent="0.15">
      <c r="A27" s="217">
        <f t="shared" si="0"/>
        <v>23</v>
      </c>
      <c r="B27" s="223" t="s">
        <v>531</v>
      </c>
      <c r="C27" s="302">
        <f t="shared" si="1"/>
        <v>0</v>
      </c>
      <c r="D27" s="302">
        <f>+paddy_Dry!AI49/1000000</f>
        <v>0</v>
      </c>
      <c r="E27" s="302">
        <f>+paddy_rain!AI49/1000000</f>
        <v>0</v>
      </c>
      <c r="F27" s="302">
        <f>+upland_dry!AI49/1000000</f>
        <v>0</v>
      </c>
      <c r="G27" s="302">
        <f>+upland_rain!AI49/1000000</f>
        <v>0</v>
      </c>
      <c r="H27" s="302">
        <f>+plant!Y38/1000000</f>
        <v>0</v>
      </c>
      <c r="I27" s="302">
        <f>++fishporn!H33/1000000</f>
        <v>0</v>
      </c>
      <c r="J27" s="302">
        <f>+' prawnporn'!H33/1000000</f>
        <v>0</v>
      </c>
    </row>
    <row r="28" spans="1:10" x14ac:dyDescent="0.15">
      <c r="A28" s="217">
        <f t="shared" si="0"/>
        <v>24</v>
      </c>
      <c r="B28" s="223" t="s">
        <v>532</v>
      </c>
      <c r="C28" s="302">
        <f t="shared" si="1"/>
        <v>0</v>
      </c>
      <c r="D28" s="302">
        <f>+paddy_Dry!AI50/1000000</f>
        <v>0</v>
      </c>
      <c r="E28" s="302">
        <f>+paddy_rain!AI50/1000000</f>
        <v>0</v>
      </c>
      <c r="F28" s="302">
        <f>+upland_dry!AI50/1000000</f>
        <v>0</v>
      </c>
      <c r="G28" s="302">
        <f>+upland_rain!AI50/1000000</f>
        <v>0</v>
      </c>
      <c r="H28" s="302">
        <f>+plant!Y39/1000000</f>
        <v>0</v>
      </c>
      <c r="I28" s="302">
        <f>++fishporn!H34/1000000</f>
        <v>0</v>
      </c>
      <c r="J28" s="302">
        <f>+' prawnporn'!H34/1000000</f>
        <v>0</v>
      </c>
    </row>
    <row r="29" spans="1:10" x14ac:dyDescent="0.15">
      <c r="A29" s="217">
        <f t="shared" si="0"/>
        <v>25</v>
      </c>
      <c r="B29" s="223" t="s">
        <v>533</v>
      </c>
      <c r="C29" s="302">
        <f t="shared" si="1"/>
        <v>0</v>
      </c>
      <c r="D29" s="302">
        <f>+paddy_Dry!AI51/1000000</f>
        <v>0</v>
      </c>
      <c r="E29" s="302">
        <f>+paddy_rain!AI51/1000000</f>
        <v>0</v>
      </c>
      <c r="F29" s="302">
        <f>+upland_dry!AI51/1000000</f>
        <v>0</v>
      </c>
      <c r="G29" s="302">
        <f>+upland_rain!AI51/1000000</f>
        <v>0</v>
      </c>
      <c r="H29" s="302">
        <f>+plant!Y40/1000000</f>
        <v>0</v>
      </c>
      <c r="I29" s="302">
        <f>++fishporn!H35/1000000</f>
        <v>0</v>
      </c>
      <c r="J29" s="302">
        <f>+' prawnporn'!H35/1000000</f>
        <v>0</v>
      </c>
    </row>
    <row r="30" spans="1:10" x14ac:dyDescent="0.15">
      <c r="A30" s="217">
        <f t="shared" si="0"/>
        <v>26</v>
      </c>
      <c r="B30" s="223" t="s">
        <v>534</v>
      </c>
      <c r="C30" s="302">
        <f t="shared" si="1"/>
        <v>0</v>
      </c>
      <c r="D30" s="302">
        <f>+paddy_Dry!AI52/1000000</f>
        <v>0</v>
      </c>
      <c r="E30" s="302">
        <f>+paddy_rain!AI52/1000000</f>
        <v>0</v>
      </c>
      <c r="F30" s="302">
        <f>+upland_dry!AI52/1000000</f>
        <v>0</v>
      </c>
      <c r="G30" s="302">
        <f>+upland_rain!AI52/1000000</f>
        <v>0</v>
      </c>
      <c r="H30" s="302">
        <f>+plant!Y41/1000000</f>
        <v>0</v>
      </c>
      <c r="I30" s="302">
        <f>++fishporn!H36/1000000</f>
        <v>0</v>
      </c>
      <c r="J30" s="302">
        <f>+' prawnporn'!H36/1000000</f>
        <v>0</v>
      </c>
    </row>
    <row r="31" spans="1:10" x14ac:dyDescent="0.15">
      <c r="A31" s="217">
        <f t="shared" si="0"/>
        <v>27</v>
      </c>
      <c r="B31" s="223" t="s">
        <v>535</v>
      </c>
      <c r="C31" s="302">
        <f t="shared" si="1"/>
        <v>0</v>
      </c>
      <c r="D31" s="302">
        <f>+paddy_Dry!AI53/1000000</f>
        <v>0</v>
      </c>
      <c r="E31" s="302">
        <f>+paddy_rain!AI53/1000000</f>
        <v>0</v>
      </c>
      <c r="F31" s="302">
        <f>+upland_dry!AI53/1000000</f>
        <v>0</v>
      </c>
      <c r="G31" s="302">
        <f>+upland_rain!AI53/1000000</f>
        <v>0</v>
      </c>
      <c r="H31" s="302">
        <f>+plant!Y42/1000000</f>
        <v>0</v>
      </c>
      <c r="I31" s="302">
        <f>++fishporn!H37/1000000</f>
        <v>0</v>
      </c>
      <c r="J31" s="302">
        <f>+' prawnporn'!H37/1000000</f>
        <v>0</v>
      </c>
    </row>
    <row r="32" spans="1:10" x14ac:dyDescent="0.15">
      <c r="A32" s="217">
        <f t="shared" si="0"/>
        <v>28</v>
      </c>
      <c r="B32" s="223" t="s">
        <v>536</v>
      </c>
      <c r="C32" s="302">
        <f t="shared" si="1"/>
        <v>0</v>
      </c>
      <c r="D32" s="302">
        <f>+paddy_Dry!AI54/1000000</f>
        <v>0</v>
      </c>
      <c r="E32" s="302">
        <f>+paddy_rain!AI54/1000000</f>
        <v>0</v>
      </c>
      <c r="F32" s="302">
        <f>+upland_dry!AI54/1000000</f>
        <v>0</v>
      </c>
      <c r="G32" s="302">
        <f>+upland_rain!AI54/1000000</f>
        <v>0</v>
      </c>
      <c r="H32" s="302">
        <f>+plant!Y43/1000000</f>
        <v>0</v>
      </c>
      <c r="I32" s="302">
        <f>++fishporn!H38/1000000</f>
        <v>0</v>
      </c>
      <c r="J32" s="302">
        <f>+' prawnporn'!H38/1000000</f>
        <v>0</v>
      </c>
    </row>
    <row r="33" spans="1:10" x14ac:dyDescent="0.15">
      <c r="A33" s="217">
        <f t="shared" si="0"/>
        <v>29</v>
      </c>
      <c r="B33" s="223" t="s">
        <v>537</v>
      </c>
      <c r="C33" s="302">
        <f t="shared" si="1"/>
        <v>0</v>
      </c>
      <c r="D33" s="302">
        <f>+paddy_Dry!AI55/1000000</f>
        <v>0</v>
      </c>
      <c r="E33" s="302">
        <f>+paddy_rain!AI55/1000000</f>
        <v>0</v>
      </c>
      <c r="F33" s="302">
        <f>+upland_dry!AI55/1000000</f>
        <v>0</v>
      </c>
      <c r="G33" s="302">
        <f>+upland_rain!AI55/1000000</f>
        <v>0</v>
      </c>
      <c r="H33" s="302">
        <f>+plant!Y44/1000000</f>
        <v>0</v>
      </c>
      <c r="I33" s="302">
        <f>++fishporn!H39/1000000</f>
        <v>0</v>
      </c>
      <c r="J33" s="302">
        <f>+' prawnporn'!H39/1000000</f>
        <v>0</v>
      </c>
    </row>
    <row r="34" spans="1:10" x14ac:dyDescent="0.15">
      <c r="A34" s="217">
        <f t="shared" si="0"/>
        <v>30</v>
      </c>
      <c r="B34" s="223" t="s">
        <v>538</v>
      </c>
      <c r="C34" s="302">
        <f t="shared" si="1"/>
        <v>0</v>
      </c>
      <c r="D34" s="302">
        <f>+paddy_Dry!AI56/1000000</f>
        <v>0</v>
      </c>
      <c r="E34" s="302">
        <f>+paddy_rain!AI56/1000000</f>
        <v>0</v>
      </c>
      <c r="F34" s="302">
        <f>+upland_dry!AI56/1000000</f>
        <v>0</v>
      </c>
      <c r="G34" s="302">
        <f>+upland_rain!AI56/1000000</f>
        <v>0</v>
      </c>
      <c r="H34" s="302">
        <f>+plant!Y45/1000000</f>
        <v>0</v>
      </c>
      <c r="I34" s="302">
        <f>++fishporn!H40/1000000</f>
        <v>0</v>
      </c>
      <c r="J34" s="302">
        <f>+' prawnporn'!H40/1000000</f>
        <v>0</v>
      </c>
    </row>
    <row r="35" spans="1:10" x14ac:dyDescent="0.15">
      <c r="A35" s="217">
        <f t="shared" si="0"/>
        <v>31</v>
      </c>
      <c r="B35" s="223" t="s">
        <v>539</v>
      </c>
      <c r="C35" s="302">
        <f t="shared" si="1"/>
        <v>0</v>
      </c>
      <c r="D35" s="302">
        <f>+paddy_Dry!AI57/1000000</f>
        <v>0</v>
      </c>
      <c r="E35" s="302">
        <f>+paddy_rain!AI57/1000000</f>
        <v>0</v>
      </c>
      <c r="F35" s="302">
        <f>+upland_dry!AI57/1000000</f>
        <v>0</v>
      </c>
      <c r="G35" s="302">
        <f>+upland_rain!AI57/1000000</f>
        <v>0</v>
      </c>
      <c r="H35" s="302">
        <f>+plant!Y46/1000000</f>
        <v>0</v>
      </c>
      <c r="I35" s="302">
        <f>++fishporn!H41/1000000</f>
        <v>0</v>
      </c>
      <c r="J35" s="302">
        <f>+' prawnporn'!H41/1000000</f>
        <v>0</v>
      </c>
    </row>
    <row r="36" spans="1:10" x14ac:dyDescent="0.15">
      <c r="A36" s="217">
        <f t="shared" si="0"/>
        <v>32</v>
      </c>
      <c r="B36" s="223" t="s">
        <v>540</v>
      </c>
      <c r="C36" s="302">
        <f t="shared" si="1"/>
        <v>0</v>
      </c>
      <c r="D36" s="302">
        <f>+paddy_Dry!AI58/1000000</f>
        <v>0</v>
      </c>
      <c r="E36" s="302">
        <f>+paddy_rain!AI58/1000000</f>
        <v>0</v>
      </c>
      <c r="F36" s="302">
        <f>+upland_dry!AI58/1000000</f>
        <v>0</v>
      </c>
      <c r="G36" s="302">
        <f>+upland_rain!AI58/1000000</f>
        <v>0</v>
      </c>
      <c r="H36" s="302">
        <f>+plant!Y47/1000000</f>
        <v>0</v>
      </c>
      <c r="I36" s="302">
        <f>++fishporn!H42/1000000</f>
        <v>0</v>
      </c>
      <c r="J36" s="302">
        <f>+' prawnporn'!H42/1000000</f>
        <v>0</v>
      </c>
    </row>
    <row r="37" spans="1:10" x14ac:dyDescent="0.15">
      <c r="A37" s="217">
        <f t="shared" si="0"/>
        <v>33</v>
      </c>
      <c r="B37" s="223" t="s">
        <v>541</v>
      </c>
      <c r="C37" s="302">
        <f t="shared" si="1"/>
        <v>0</v>
      </c>
      <c r="D37" s="302">
        <f>+paddy_Dry!AI59/1000000</f>
        <v>0</v>
      </c>
      <c r="E37" s="302">
        <f>+paddy_rain!AI59/1000000</f>
        <v>0</v>
      </c>
      <c r="F37" s="302">
        <f>+upland_dry!AI59/1000000</f>
        <v>0</v>
      </c>
      <c r="G37" s="302">
        <f>+upland_rain!AI59/1000000</f>
        <v>0</v>
      </c>
      <c r="H37" s="302">
        <f>+plant!Y48/1000000</f>
        <v>0</v>
      </c>
      <c r="I37" s="302">
        <f>++fishporn!H43/1000000</f>
        <v>0</v>
      </c>
      <c r="J37" s="302">
        <f>+' prawnporn'!H43/1000000</f>
        <v>0</v>
      </c>
    </row>
    <row r="38" spans="1:10" x14ac:dyDescent="0.15">
      <c r="A38" s="217">
        <f t="shared" ref="A38:A56" si="2">A37+1</f>
        <v>34</v>
      </c>
      <c r="B38" s="223" t="s">
        <v>542</v>
      </c>
      <c r="C38" s="302">
        <f t="shared" si="1"/>
        <v>0</v>
      </c>
      <c r="D38" s="302">
        <f>+paddy_Dry!AI60/1000000</f>
        <v>0</v>
      </c>
      <c r="E38" s="302">
        <f>+paddy_rain!AI60/1000000</f>
        <v>0</v>
      </c>
      <c r="F38" s="302">
        <f>+upland_dry!AI60/1000000</f>
        <v>0</v>
      </c>
      <c r="G38" s="302">
        <f>+upland_rain!AI60/1000000</f>
        <v>0</v>
      </c>
      <c r="H38" s="302">
        <f>+plant!Y49/1000000</f>
        <v>0</v>
      </c>
      <c r="I38" s="302">
        <f>++fishporn!H44/1000000</f>
        <v>0</v>
      </c>
      <c r="J38" s="302">
        <f>+' prawnporn'!H44/1000000</f>
        <v>0</v>
      </c>
    </row>
    <row r="39" spans="1:10" x14ac:dyDescent="0.15">
      <c r="A39" s="217">
        <f t="shared" si="2"/>
        <v>35</v>
      </c>
      <c r="B39" s="223" t="s">
        <v>543</v>
      </c>
      <c r="C39" s="302">
        <f t="shared" si="1"/>
        <v>0</v>
      </c>
      <c r="D39" s="302">
        <f>+paddy_Dry!AI61/1000000</f>
        <v>0</v>
      </c>
      <c r="E39" s="302">
        <f>+paddy_rain!AI61/1000000</f>
        <v>0</v>
      </c>
      <c r="F39" s="302">
        <f>+upland_dry!AI61/1000000</f>
        <v>0</v>
      </c>
      <c r="G39" s="302">
        <f>+upland_rain!AI61/1000000</f>
        <v>0</v>
      </c>
      <c r="H39" s="302">
        <f>+plant!Y50/1000000</f>
        <v>0</v>
      </c>
      <c r="I39" s="302">
        <f>++fishporn!H45/1000000</f>
        <v>0</v>
      </c>
      <c r="J39" s="302">
        <f>+' prawnporn'!H45/1000000</f>
        <v>0</v>
      </c>
    </row>
    <row r="40" spans="1:10" x14ac:dyDescent="0.15">
      <c r="A40" s="217">
        <f t="shared" si="2"/>
        <v>36</v>
      </c>
      <c r="B40" s="223" t="s">
        <v>544</v>
      </c>
      <c r="C40" s="302">
        <f t="shared" si="1"/>
        <v>2.3276335234628029</v>
      </c>
      <c r="D40" s="302">
        <f>+paddy_Dry!AI62/1000000</f>
        <v>0</v>
      </c>
      <c r="E40" s="302">
        <f>+paddy_rain!AI62/1000000</f>
        <v>2.3273492389407697</v>
      </c>
      <c r="F40" s="302">
        <f>+upland_dry!AI62/1000000</f>
        <v>0</v>
      </c>
      <c r="G40" s="302">
        <f>+upland_rain!AI62/1000000</f>
        <v>2.8428452203324919E-4</v>
      </c>
      <c r="H40" s="302">
        <f>+plant!Y51/1000000</f>
        <v>0</v>
      </c>
      <c r="I40" s="302">
        <f>++fishporn!H46/1000000</f>
        <v>0</v>
      </c>
      <c r="J40" s="302">
        <f>+' prawnporn'!H46/1000000</f>
        <v>0</v>
      </c>
    </row>
    <row r="41" spans="1:10" x14ac:dyDescent="0.15">
      <c r="A41" s="217">
        <f t="shared" si="2"/>
        <v>37</v>
      </c>
      <c r="B41" s="223" t="s">
        <v>545</v>
      </c>
      <c r="C41" s="302">
        <f t="shared" si="1"/>
        <v>3.2531750386501814</v>
      </c>
      <c r="D41" s="302">
        <f>+paddy_Dry!AI63/1000000</f>
        <v>0</v>
      </c>
      <c r="E41" s="302">
        <f>+paddy_rain!AI63/1000000</f>
        <v>3.249365626054936</v>
      </c>
      <c r="F41" s="302">
        <f>+upland_dry!AI63/1000000</f>
        <v>0</v>
      </c>
      <c r="G41" s="302">
        <f>+upland_rain!AI63/1000000</f>
        <v>3.8094125952455385E-3</v>
      </c>
      <c r="H41" s="302">
        <f>+plant!Y52/1000000</f>
        <v>0</v>
      </c>
      <c r="I41" s="302">
        <f>++fishporn!H47/1000000</f>
        <v>0</v>
      </c>
      <c r="J41" s="302">
        <f>+' prawnporn'!H47/1000000</f>
        <v>0</v>
      </c>
    </row>
    <row r="42" spans="1:10" x14ac:dyDescent="0.15">
      <c r="A42" s="217">
        <f t="shared" si="2"/>
        <v>38</v>
      </c>
      <c r="B42" s="223" t="s">
        <v>546</v>
      </c>
      <c r="C42" s="302">
        <f t="shared" si="1"/>
        <v>4.5947152869118559</v>
      </c>
      <c r="D42" s="302">
        <f>+paddy_Dry!AI64/1000000</f>
        <v>0</v>
      </c>
      <c r="E42" s="302">
        <f>+paddy_rain!AI64/1000000</f>
        <v>4.5909058743166105</v>
      </c>
      <c r="F42" s="302">
        <f>+upland_dry!AI64/1000000</f>
        <v>0</v>
      </c>
      <c r="G42" s="302">
        <f>+upland_rain!AI64/1000000</f>
        <v>3.8094125952455385E-3</v>
      </c>
      <c r="H42" s="302">
        <f>+plant!Y53/1000000</f>
        <v>0</v>
      </c>
      <c r="I42" s="302">
        <f>++fishporn!H48/1000000</f>
        <v>0</v>
      </c>
      <c r="J42" s="302">
        <f>+' prawnporn'!H48/1000000</f>
        <v>0</v>
      </c>
    </row>
    <row r="43" spans="1:10" x14ac:dyDescent="0.15">
      <c r="A43" s="217">
        <f t="shared" si="2"/>
        <v>39</v>
      </c>
      <c r="B43" s="223" t="s">
        <v>547</v>
      </c>
      <c r="C43" s="302">
        <f t="shared" si="1"/>
        <v>5.8134020821749637</v>
      </c>
      <c r="D43" s="302">
        <f>+paddy_Dry!AI65/1000000</f>
        <v>0</v>
      </c>
      <c r="E43" s="302">
        <f>+paddy_rain!AI65/1000000</f>
        <v>5.8095926695797182</v>
      </c>
      <c r="F43" s="302">
        <f>+upland_dry!AI65/1000000</f>
        <v>0</v>
      </c>
      <c r="G43" s="302">
        <f>+upland_rain!AI65/1000000</f>
        <v>3.8094125952455385E-3</v>
      </c>
      <c r="H43" s="302">
        <f>+plant!Y54/1000000</f>
        <v>0</v>
      </c>
      <c r="I43" s="302">
        <f>++fishporn!H49/1000000</f>
        <v>0</v>
      </c>
      <c r="J43" s="302">
        <f>+' prawnporn'!H49/1000000</f>
        <v>0</v>
      </c>
    </row>
    <row r="44" spans="1:10" x14ac:dyDescent="0.15">
      <c r="A44" s="217">
        <f t="shared" si="2"/>
        <v>40</v>
      </c>
      <c r="B44" s="223" t="s">
        <v>548</v>
      </c>
      <c r="C44" s="302">
        <f t="shared" si="1"/>
        <v>3.7544745445900136</v>
      </c>
      <c r="D44" s="302">
        <f>+paddy_Dry!AI66/1000000</f>
        <v>0</v>
      </c>
      <c r="E44" s="302">
        <f>+paddy_rain!AI66/1000000</f>
        <v>3.7508108289006521</v>
      </c>
      <c r="F44" s="302">
        <f>+upland_dry!AI66/1000000</f>
        <v>0</v>
      </c>
      <c r="G44" s="302">
        <f>+upland_rain!AI66/1000000</f>
        <v>3.6637156893615341E-3</v>
      </c>
      <c r="H44" s="302">
        <f>+plant!Y55/1000000</f>
        <v>0</v>
      </c>
      <c r="I44" s="302">
        <f>++fishporn!H50/1000000</f>
        <v>0</v>
      </c>
      <c r="J44" s="302">
        <f>+' prawnporn'!H50/1000000</f>
        <v>0</v>
      </c>
    </row>
    <row r="45" spans="1:10" x14ac:dyDescent="0.15">
      <c r="A45" s="217">
        <f t="shared" si="2"/>
        <v>41</v>
      </c>
      <c r="B45" s="223" t="s">
        <v>549</v>
      </c>
      <c r="C45" s="302">
        <f t="shared" si="1"/>
        <v>3.9730646149751601</v>
      </c>
      <c r="D45" s="302">
        <f>+paddy_Dry!AI67/1000000</f>
        <v>0</v>
      </c>
      <c r="E45" s="302">
        <f>+paddy_rain!AI67/1000000</f>
        <v>3.9693487509167094</v>
      </c>
      <c r="F45" s="302">
        <f>+upland_dry!AI67/1000000</f>
        <v>0</v>
      </c>
      <c r="G45" s="302">
        <f>+upland_rain!AI67/1000000</f>
        <v>3.7158640584506173E-3</v>
      </c>
      <c r="H45" s="302">
        <f>+plant!Y56/1000000</f>
        <v>0</v>
      </c>
      <c r="I45" s="302">
        <f>++fishporn!H51/1000000</f>
        <v>0</v>
      </c>
      <c r="J45" s="302">
        <f>+' prawnporn'!H51/1000000</f>
        <v>0</v>
      </c>
    </row>
    <row r="46" spans="1:10" x14ac:dyDescent="0.15">
      <c r="A46" s="217">
        <f t="shared" si="2"/>
        <v>42</v>
      </c>
      <c r="B46" s="223" t="s">
        <v>550</v>
      </c>
      <c r="C46" s="302">
        <f t="shared" si="1"/>
        <v>4.1998201266573885</v>
      </c>
      <c r="D46" s="302">
        <f>+paddy_Dry!AI68/1000000</f>
        <v>0</v>
      </c>
      <c r="E46" s="302">
        <f>+paddy_rain!AI68/1000000</f>
        <v>4.1954576228222331</v>
      </c>
      <c r="F46" s="302">
        <f>+upland_dry!AI68/1000000</f>
        <v>0</v>
      </c>
      <c r="G46" s="302">
        <f>+upland_rain!AI68/1000000</f>
        <v>4.3625038351552603E-3</v>
      </c>
      <c r="H46" s="302">
        <f>+plant!Y57/1000000</f>
        <v>0</v>
      </c>
      <c r="I46" s="302">
        <f>++fishporn!H52/1000000</f>
        <v>0</v>
      </c>
      <c r="J46" s="302">
        <f>+' prawnporn'!H52/1000000</f>
        <v>0</v>
      </c>
    </row>
    <row r="47" spans="1:10" x14ac:dyDescent="0.15">
      <c r="A47" s="217">
        <f t="shared" si="2"/>
        <v>43</v>
      </c>
      <c r="B47" s="223" t="s">
        <v>551</v>
      </c>
      <c r="C47" s="302">
        <f t="shared" si="1"/>
        <v>4.3174425114167869</v>
      </c>
      <c r="D47" s="302">
        <f>+paddy_Dry!AI69/1000000</f>
        <v>0</v>
      </c>
      <c r="E47" s="302">
        <f>+paddy_rain!AI69/1000000</f>
        <v>4.3130800075816316</v>
      </c>
      <c r="F47" s="302">
        <f>+upland_dry!AI69/1000000</f>
        <v>0</v>
      </c>
      <c r="G47" s="302">
        <f>+upland_rain!AI69/1000000</f>
        <v>4.3625038351552603E-3</v>
      </c>
      <c r="H47" s="302">
        <f>+plant!Y58/1000000</f>
        <v>0</v>
      </c>
      <c r="I47" s="302">
        <f>++fishporn!H53/1000000</f>
        <v>0</v>
      </c>
      <c r="J47" s="302">
        <f>+' prawnporn'!H53/1000000</f>
        <v>0</v>
      </c>
    </row>
    <row r="48" spans="1:10" x14ac:dyDescent="0.15">
      <c r="A48" s="217">
        <f t="shared" si="2"/>
        <v>44</v>
      </c>
      <c r="B48" s="223" t="s">
        <v>552</v>
      </c>
      <c r="C48" s="302">
        <f t="shared" si="1"/>
        <v>4.0819688565060241</v>
      </c>
      <c r="D48" s="302">
        <f>+paddy_Dry!AI70/1000000</f>
        <v>0</v>
      </c>
      <c r="E48" s="302">
        <f>+paddy_rain!AI70/1000000</f>
        <v>4.0778402446477511</v>
      </c>
      <c r="F48" s="302">
        <f>+upland_dry!AI70/1000000</f>
        <v>0</v>
      </c>
      <c r="G48" s="302">
        <f>+upland_rain!AI70/1000000</f>
        <v>4.12861185827263E-3</v>
      </c>
      <c r="H48" s="302">
        <f>+plant!Y59/1000000</f>
        <v>0</v>
      </c>
      <c r="I48" s="302">
        <f>++fishporn!H54/1000000</f>
        <v>0</v>
      </c>
      <c r="J48" s="302">
        <f>+' prawnporn'!H54/1000000</f>
        <v>0</v>
      </c>
    </row>
    <row r="49" spans="1:10" x14ac:dyDescent="0.15">
      <c r="A49" s="217">
        <f t="shared" si="2"/>
        <v>45</v>
      </c>
      <c r="B49" s="223" t="s">
        <v>553</v>
      </c>
      <c r="C49" s="302">
        <f t="shared" si="1"/>
        <v>4.0358512600582204</v>
      </c>
      <c r="D49" s="302">
        <f>+paddy_Dry!AI71/1000000</f>
        <v>0</v>
      </c>
      <c r="E49" s="302">
        <f>+paddy_rain!AI71/1000000</f>
        <v>4.0316610802372841</v>
      </c>
      <c r="F49" s="302">
        <f>+upland_dry!AI71/1000000</f>
        <v>0</v>
      </c>
      <c r="G49" s="302">
        <f>+upland_rain!AI71/1000000</f>
        <v>4.1901798209360817E-3</v>
      </c>
      <c r="H49" s="302">
        <f>+plant!Y60/1000000</f>
        <v>0</v>
      </c>
      <c r="I49" s="302">
        <f>++fishporn!H55/1000000</f>
        <v>0</v>
      </c>
      <c r="J49" s="302">
        <f>+' prawnporn'!H55/1000000</f>
        <v>0</v>
      </c>
    </row>
    <row r="50" spans="1:10" x14ac:dyDescent="0.15">
      <c r="A50" s="217">
        <f t="shared" si="2"/>
        <v>46</v>
      </c>
      <c r="B50" s="223" t="s">
        <v>554</v>
      </c>
      <c r="C50" s="302">
        <f t="shared" si="1"/>
        <v>3.9032475502506281</v>
      </c>
      <c r="D50" s="302">
        <f>+paddy_Dry!AI72/1000000</f>
        <v>0</v>
      </c>
      <c r="E50" s="302">
        <f>+paddy_rain!AI72/1000000</f>
        <v>3.8982939276926651</v>
      </c>
      <c r="F50" s="302">
        <f>+upland_dry!AI72/1000000</f>
        <v>0</v>
      </c>
      <c r="G50" s="302">
        <f>+upland_rain!AI72/1000000</f>
        <v>4.9536225579628734E-3</v>
      </c>
      <c r="H50" s="302">
        <f>+plant!Y61/1000000</f>
        <v>0</v>
      </c>
      <c r="I50" s="302">
        <f>++fishporn!H56/1000000</f>
        <v>0</v>
      </c>
      <c r="J50" s="302">
        <f>+' prawnporn'!H56/1000000</f>
        <v>0</v>
      </c>
    </row>
    <row r="51" spans="1:10" x14ac:dyDescent="0.15">
      <c r="A51" s="217">
        <f t="shared" si="2"/>
        <v>47</v>
      </c>
      <c r="B51" s="223" t="s">
        <v>555</v>
      </c>
      <c r="C51" s="302">
        <f t="shared" si="1"/>
        <v>3.6399163572902387</v>
      </c>
      <c r="D51" s="302">
        <f>+paddy_Dry!AI73/1000000</f>
        <v>0</v>
      </c>
      <c r="E51" s="302">
        <f>+paddy_rain!AI73/1000000</f>
        <v>3.6349627347322757</v>
      </c>
      <c r="F51" s="302">
        <f>+upland_dry!AI73/1000000</f>
        <v>0</v>
      </c>
      <c r="G51" s="302">
        <f>+upland_rain!AI73/1000000</f>
        <v>4.9536225579628734E-3</v>
      </c>
      <c r="H51" s="302">
        <f>+plant!Y62/1000000</f>
        <v>0</v>
      </c>
      <c r="I51" s="302">
        <f>++fishporn!H57/1000000</f>
        <v>0</v>
      </c>
      <c r="J51" s="302">
        <f>+' prawnporn'!H57/1000000</f>
        <v>0</v>
      </c>
    </row>
    <row r="52" spans="1:10" x14ac:dyDescent="0.15">
      <c r="A52" s="217">
        <f t="shared" si="2"/>
        <v>48</v>
      </c>
      <c r="B52" s="223" t="s">
        <v>556</v>
      </c>
      <c r="C52" s="302">
        <f t="shared" si="1"/>
        <v>3.4302900652586632</v>
      </c>
      <c r="D52" s="302">
        <f>+paddy_Dry!AI74/1000000</f>
        <v>0</v>
      </c>
      <c r="E52" s="302">
        <f>+paddy_rain!AI74/1000000</f>
        <v>3.4252264441080014</v>
      </c>
      <c r="F52" s="302">
        <f>+upland_dry!AI74/1000000</f>
        <v>0</v>
      </c>
      <c r="G52" s="302">
        <f>+upland_rain!AI74/1000000</f>
        <v>5.0636211506616419E-3</v>
      </c>
      <c r="H52" s="302">
        <f>+plant!Y63/1000000</f>
        <v>0</v>
      </c>
      <c r="I52" s="302">
        <f>++fishporn!H58/1000000</f>
        <v>0</v>
      </c>
      <c r="J52" s="302">
        <f>+' prawnporn'!H58/1000000</f>
        <v>0</v>
      </c>
    </row>
    <row r="53" spans="1:10" x14ac:dyDescent="0.15">
      <c r="A53" s="217">
        <f t="shared" si="2"/>
        <v>49</v>
      </c>
      <c r="B53" s="223" t="s">
        <v>557</v>
      </c>
      <c r="C53" s="302">
        <f t="shared" si="1"/>
        <v>2.5359060449504511</v>
      </c>
      <c r="D53" s="302">
        <f>+paddy_Dry!AI75/1000000</f>
        <v>0</v>
      </c>
      <c r="E53" s="302">
        <f>+paddy_rain!AI75/1000000</f>
        <v>2.5307906591284683</v>
      </c>
      <c r="F53" s="302">
        <f>+upland_dry!AI75/1000000</f>
        <v>0</v>
      </c>
      <c r="G53" s="302">
        <f>+upland_rain!AI75/1000000</f>
        <v>5.1153858219828395E-3</v>
      </c>
      <c r="H53" s="302">
        <f>+plant!Y64/1000000</f>
        <v>0</v>
      </c>
      <c r="I53" s="302">
        <f>++fishporn!H59/1000000</f>
        <v>0</v>
      </c>
      <c r="J53" s="302">
        <f>+' prawnporn'!H59/1000000</f>
        <v>0</v>
      </c>
    </row>
    <row r="54" spans="1:10" x14ac:dyDescent="0.15">
      <c r="A54" s="217">
        <f t="shared" si="2"/>
        <v>50</v>
      </c>
      <c r="B54" s="223" t="s">
        <v>558</v>
      </c>
      <c r="C54" s="302">
        <f t="shared" si="1"/>
        <v>1.6564983819609194</v>
      </c>
      <c r="D54" s="302">
        <f>+paddy_Dry!AI76/1000000</f>
        <v>0</v>
      </c>
      <c r="E54" s="302">
        <f>+paddy_rain!AI76/1000000</f>
        <v>1.6507411142145536</v>
      </c>
      <c r="F54" s="302">
        <f>+upland_dry!AI76/1000000</f>
        <v>0</v>
      </c>
      <c r="G54" s="302">
        <f>+upland_rain!AI76/1000000</f>
        <v>5.7572677463656801E-3</v>
      </c>
      <c r="H54" s="302">
        <f>+plant!Y65/1000000</f>
        <v>0</v>
      </c>
      <c r="I54" s="302">
        <f>++fishporn!H60/1000000</f>
        <v>0</v>
      </c>
      <c r="J54" s="302">
        <f>+' prawnporn'!H60/1000000</f>
        <v>0</v>
      </c>
    </row>
    <row r="55" spans="1:10" x14ac:dyDescent="0.15">
      <c r="A55" s="217">
        <f t="shared" si="2"/>
        <v>51</v>
      </c>
      <c r="B55" s="223" t="s">
        <v>559</v>
      </c>
      <c r="C55" s="302">
        <f t="shared" si="1"/>
        <v>0.82175428175265575</v>
      </c>
      <c r="D55" s="302">
        <f>+paddy_Dry!AI77/1000000</f>
        <v>0</v>
      </c>
      <c r="E55" s="302">
        <f>+paddy_rain!AI77/1000000</f>
        <v>0.8159970140062901</v>
      </c>
      <c r="F55" s="302">
        <f>+upland_dry!AI77/1000000</f>
        <v>0</v>
      </c>
      <c r="G55" s="302">
        <f>+upland_rain!AI77/1000000</f>
        <v>5.7572677463656801E-3</v>
      </c>
      <c r="H55" s="302">
        <f>+plant!Y66/1000000</f>
        <v>0</v>
      </c>
      <c r="I55" s="302">
        <f>++fishporn!H61/1000000</f>
        <v>0</v>
      </c>
      <c r="J55" s="302">
        <f>+' prawnporn'!H61/1000000</f>
        <v>0</v>
      </c>
    </row>
    <row r="56" spans="1:10" x14ac:dyDescent="0.15">
      <c r="A56" s="182">
        <f t="shared" si="2"/>
        <v>52</v>
      </c>
      <c r="B56" s="304" t="s">
        <v>560</v>
      </c>
      <c r="C56" s="305">
        <f t="shared" si="1"/>
        <v>5.7572677463656801E-3</v>
      </c>
      <c r="D56" s="305">
        <f>+paddy_Dry!AI78/1000000</f>
        <v>0</v>
      </c>
      <c r="E56" s="305">
        <f>+paddy_rain!AI78/1000000</f>
        <v>0</v>
      </c>
      <c r="F56" s="305">
        <f>+upland_dry!AI78/1000000</f>
        <v>0</v>
      </c>
      <c r="G56" s="305">
        <f>+upland_rain!AI78/1000000</f>
        <v>5.7572677463656801E-3</v>
      </c>
      <c r="H56" s="305">
        <f>+plant!Y67/1000000</f>
        <v>0</v>
      </c>
      <c r="I56" s="305">
        <f>++fishporn!H62/1000000</f>
        <v>0</v>
      </c>
      <c r="J56" s="305">
        <f>+' prawnporn'!H62/1000000</f>
        <v>0</v>
      </c>
    </row>
    <row r="57" spans="1:10" x14ac:dyDescent="0.15">
      <c r="A57" s="817" t="s">
        <v>462</v>
      </c>
      <c r="B57" s="817"/>
      <c r="C57" s="303">
        <f>SUM(C5:C56)</f>
        <v>56.432251234907163</v>
      </c>
      <c r="D57" s="303">
        <f t="shared" ref="D57:J57" si="3">SUM(D5:D56)</f>
        <v>0</v>
      </c>
      <c r="E57" s="303">
        <f t="shared" si="3"/>
        <v>56.271423837880548</v>
      </c>
      <c r="F57" s="303">
        <f t="shared" si="3"/>
        <v>0</v>
      </c>
      <c r="G57" s="303">
        <f t="shared" si="3"/>
        <v>0.16082739702660628</v>
      </c>
      <c r="H57" s="303">
        <f t="shared" si="3"/>
        <v>0</v>
      </c>
      <c r="I57" s="303">
        <f t="shared" si="3"/>
        <v>0</v>
      </c>
      <c r="J57" s="303">
        <f t="shared" si="3"/>
        <v>0</v>
      </c>
    </row>
    <row r="58" spans="1:10" x14ac:dyDescent="0.15">
      <c r="A58" s="210" t="s">
        <v>431</v>
      </c>
      <c r="B58" s="218"/>
    </row>
    <row r="59" spans="1:10" x14ac:dyDescent="0.15">
      <c r="A59" s="210"/>
      <c r="B59" s="219" t="s">
        <v>490</v>
      </c>
    </row>
    <row r="60" spans="1:10" x14ac:dyDescent="0.15">
      <c r="B60" s="177" t="s">
        <v>491</v>
      </c>
    </row>
    <row r="61" spans="1:10" x14ac:dyDescent="0.15">
      <c r="A61" s="210"/>
      <c r="B61" s="219" t="s">
        <v>492</v>
      </c>
    </row>
    <row r="62" spans="1:10" x14ac:dyDescent="0.15">
      <c r="B62" s="177" t="s">
        <v>493</v>
      </c>
    </row>
    <row r="63" spans="1:10" x14ac:dyDescent="0.15">
      <c r="B63" s="220" t="s">
        <v>494</v>
      </c>
    </row>
  </sheetData>
  <sheetProtection password="DD72" sheet="1" objects="1" scenarios="1"/>
  <mergeCells count="2">
    <mergeCell ref="A1:H1"/>
    <mergeCell ref="A57:B57"/>
  </mergeCells>
  <phoneticPr fontId="30" type="noConversion"/>
  <pageMargins left="0.17" right="0.21" top="0.75" bottom="1" header="0.5" footer="0.5"/>
  <pageSetup paperSize="9" scale="90" orientation="portrait"/>
  <headerFooter alignWithMargins="0">
    <oddFooter>&amp;L&amp;Z&amp;F&amp;A&amp;C&amp;P/&amp;N&amp;R&amp;D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54F8-694D-FF46-8BF9-A9EFDA35FB27}">
  <sheetPr codeName="Sheet1">
    <tabColor rgb="FF339966"/>
  </sheetPr>
  <dimension ref="B1:AJ80"/>
  <sheetViews>
    <sheetView showGridLines="0" workbookViewId="0">
      <pane xSplit="5" ySplit="26" topLeftCell="F36" activePane="bottomRight" state="frozen"/>
      <selection activeCell="M26" sqref="M26"/>
      <selection pane="topRight" activeCell="M26" sqref="M26"/>
      <selection pane="bottomLeft" activeCell="M26" sqref="M26"/>
      <selection pane="bottomRight" activeCell="G40" sqref="G40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10.1640625" customWidth="1"/>
    <col min="31" max="31" width="9.5" customWidth="1"/>
    <col min="32" max="32" width="12.5" customWidth="1"/>
    <col min="33" max="33" width="8.83203125" customWidth="1"/>
    <col min="34" max="34" width="13" customWidth="1"/>
    <col min="35" max="35" width="13.1640625" bestFit="1" customWidth="1"/>
    <col min="36" max="36" width="11.33203125" customWidth="1"/>
    <col min="37" max="256" width="8.83203125" customWidth="1"/>
  </cols>
  <sheetData>
    <row r="1" spans="2:31" ht="17" thickBot="1" x14ac:dyDescent="0.25">
      <c r="B1" s="51" t="s">
        <v>175</v>
      </c>
    </row>
    <row r="2" spans="2:31" ht="17" thickBot="1" x14ac:dyDescent="0.25">
      <c r="B2" s="51"/>
      <c r="F2" s="403" t="s">
        <v>2</v>
      </c>
      <c r="G2" s="404" t="s">
        <v>371</v>
      </c>
    </row>
    <row r="3" spans="2:31" ht="14" thickBot="1" x14ac:dyDescent="0.2">
      <c r="F3" s="401">
        <v>1</v>
      </c>
      <c r="G3" s="402">
        <f>+fill_data!M9</f>
        <v>0</v>
      </c>
      <c r="H3" s="46"/>
      <c r="S3" s="410">
        <f>+E6</f>
        <v>14</v>
      </c>
      <c r="T3" s="411">
        <v>1</v>
      </c>
    </row>
    <row r="4" spans="2:31" x14ac:dyDescent="0.15">
      <c r="B4" s="230" t="s">
        <v>108</v>
      </c>
      <c r="C4" s="261"/>
      <c r="D4" s="820" t="str">
        <f>+fill_data!C4</f>
        <v>นครราชสีมา</v>
      </c>
      <c r="E4" s="821"/>
      <c r="F4" s="95">
        <f t="shared" ref="F4:F12" si="0">IF(F3="","",IF(F3+1&lt;=$E$9,F3+1,""))</f>
        <v>2</v>
      </c>
      <c r="G4" s="124">
        <f>+fill_data!M10</f>
        <v>0</v>
      </c>
      <c r="H4" s="46"/>
      <c r="S4" s="410">
        <f>IF(+S3+1&gt;52,+S3+1-52,S3+1)</f>
        <v>15</v>
      </c>
      <c r="T4" s="411">
        <v>2</v>
      </c>
    </row>
    <row r="5" spans="2:31" x14ac:dyDescent="0.15">
      <c r="B5" s="262" t="s">
        <v>146</v>
      </c>
      <c r="C5" s="228"/>
      <c r="D5" s="822" t="str">
        <f>+fill_data!J10</f>
        <v>ข้าว กข.(นาดำ)</v>
      </c>
      <c r="E5" s="823"/>
      <c r="F5" s="95">
        <f t="shared" si="0"/>
        <v>3</v>
      </c>
      <c r="G5" s="124">
        <f>+fill_data!M11</f>
        <v>0</v>
      </c>
      <c r="H5" s="46"/>
      <c r="S5" s="410">
        <f t="shared" ref="S5:S22" si="1">IF(+S4+1&gt;52,+S4+1-52,S4+1)</f>
        <v>16</v>
      </c>
      <c r="T5" s="411">
        <v>3</v>
      </c>
      <c r="V5" s="47"/>
    </row>
    <row r="6" spans="2:31" x14ac:dyDescent="0.15">
      <c r="B6" s="263" t="s">
        <v>147</v>
      </c>
      <c r="C6" s="228"/>
      <c r="D6" s="46">
        <f>VLOOKUP(D5,Crop!$B$3:$C$35,2,FALSE)</f>
        <v>13</v>
      </c>
      <c r="E6" s="268">
        <f>+fill_data!K11</f>
        <v>14</v>
      </c>
      <c r="F6" s="95" t="str">
        <f t="shared" si="0"/>
        <v/>
      </c>
      <c r="G6" s="124">
        <f>+fill_data!M12</f>
        <v>0</v>
      </c>
      <c r="H6" s="46"/>
      <c r="S6" s="410">
        <f t="shared" si="1"/>
        <v>17</v>
      </c>
      <c r="T6" s="411">
        <v>4</v>
      </c>
    </row>
    <row r="7" spans="2:31" x14ac:dyDescent="0.15">
      <c r="B7" s="225" t="s">
        <v>377</v>
      </c>
      <c r="C7" s="228"/>
      <c r="D7" s="818" t="str">
        <f>+fill_data!C5</f>
        <v>นครราชสีมา</v>
      </c>
      <c r="E7" s="819"/>
      <c r="F7" s="95" t="str">
        <f t="shared" si="0"/>
        <v/>
      </c>
      <c r="G7" s="124">
        <f>+fill_data!M13</f>
        <v>0</v>
      </c>
      <c r="H7" s="46"/>
      <c r="S7" s="410">
        <f t="shared" si="1"/>
        <v>18</v>
      </c>
      <c r="T7" s="411">
        <v>5</v>
      </c>
    </row>
    <row r="8" spans="2:31" x14ac:dyDescent="0.15">
      <c r="B8" s="227" t="s">
        <v>373</v>
      </c>
      <c r="C8" s="226"/>
      <c r="D8" s="264"/>
      <c r="E8" s="267">
        <f>+fill_data!K12</f>
        <v>0</v>
      </c>
      <c r="F8" s="95" t="str">
        <f t="shared" si="0"/>
        <v/>
      </c>
      <c r="G8" s="124">
        <f>+fill_data!M14</f>
        <v>0</v>
      </c>
      <c r="H8" s="46"/>
      <c r="S8" s="410">
        <f t="shared" si="1"/>
        <v>19</v>
      </c>
      <c r="T8" s="411">
        <v>6</v>
      </c>
      <c r="AC8" s="148"/>
    </row>
    <row r="9" spans="2:31" x14ac:dyDescent="0.15">
      <c r="B9" s="227" t="s">
        <v>376</v>
      </c>
      <c r="C9" s="228"/>
      <c r="D9" s="265"/>
      <c r="E9" s="416">
        <f>+fill_data!K13</f>
        <v>3</v>
      </c>
      <c r="F9" s="95" t="str">
        <f t="shared" si="0"/>
        <v/>
      </c>
      <c r="G9" s="124">
        <f>+fill_data!M15</f>
        <v>0</v>
      </c>
      <c r="H9" s="46"/>
      <c r="S9" s="410">
        <f t="shared" si="1"/>
        <v>20</v>
      </c>
      <c r="T9" s="411">
        <v>7</v>
      </c>
    </row>
    <row r="10" spans="2:31" x14ac:dyDescent="0.15">
      <c r="B10" s="225" t="s">
        <v>374</v>
      </c>
      <c r="C10" s="228"/>
      <c r="D10" s="265"/>
      <c r="E10" s="268">
        <f>+fill_data!D6</f>
        <v>14</v>
      </c>
      <c r="F10" s="95" t="str">
        <f t="shared" si="0"/>
        <v/>
      </c>
      <c r="G10" s="124">
        <f>+fill_data!M16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21</v>
      </c>
      <c r="T10" s="412">
        <v>8</v>
      </c>
      <c r="U10" s="43"/>
      <c r="W10" s="43"/>
      <c r="X10" s="43"/>
      <c r="Y10" s="43"/>
      <c r="Z10" s="43"/>
      <c r="AA10" s="43"/>
    </row>
    <row r="11" spans="2:31" ht="14" thickBot="1" x14ac:dyDescent="0.2">
      <c r="B11" s="224" t="s">
        <v>375</v>
      </c>
      <c r="C11" s="229"/>
      <c r="D11" s="266"/>
      <c r="E11" s="269">
        <f>+fill_data!K14</f>
        <v>100</v>
      </c>
      <c r="F11" s="95" t="str">
        <f t="shared" si="0"/>
        <v/>
      </c>
      <c r="G11" s="124">
        <f>+fill_data!M17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22</v>
      </c>
      <c r="T11" s="411">
        <v>9</v>
      </c>
      <c r="U11" s="48"/>
      <c r="W11" s="48"/>
      <c r="X11" s="48"/>
      <c r="Y11" s="48"/>
      <c r="Z11" s="48"/>
      <c r="AA11" s="48"/>
    </row>
    <row r="12" spans="2:31" x14ac:dyDescent="0.15">
      <c r="B12" s="44"/>
      <c r="C12" s="44"/>
      <c r="D12" s="44"/>
      <c r="E12" s="45"/>
      <c r="F12" s="372" t="str">
        <f t="shared" si="0"/>
        <v/>
      </c>
      <c r="G12" s="124">
        <f>+fill_data!M18</f>
        <v>0</v>
      </c>
      <c r="H12" s="46"/>
      <c r="S12" s="410">
        <f t="shared" si="1"/>
        <v>23</v>
      </c>
      <c r="T12" s="411">
        <v>10</v>
      </c>
    </row>
    <row r="13" spans="2:31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+fill_data!M19</f>
        <v>0</v>
      </c>
      <c r="H13" s="46"/>
      <c r="S13" s="410">
        <f t="shared" si="1"/>
        <v>24</v>
      </c>
      <c r="T13" s="411">
        <v>11</v>
      </c>
    </row>
    <row r="14" spans="2:31" hidden="1" x14ac:dyDescent="0.15">
      <c r="B14" s="44"/>
      <c r="C14" s="44"/>
      <c r="D14" s="44"/>
      <c r="E14" s="45"/>
      <c r="F14" s="372" t="str">
        <f t="shared" si="2"/>
        <v/>
      </c>
      <c r="G14" s="124">
        <f>+fill_data!M20</f>
        <v>0</v>
      </c>
      <c r="H14" s="46"/>
      <c r="S14" s="410">
        <f t="shared" si="1"/>
        <v>25</v>
      </c>
      <c r="T14" s="411">
        <v>12</v>
      </c>
    </row>
    <row r="15" spans="2:31" hidden="1" x14ac:dyDescent="0.15">
      <c r="B15" s="44"/>
      <c r="C15" s="44"/>
      <c r="D15" s="44"/>
      <c r="E15" s="45"/>
      <c r="F15" s="372" t="str">
        <f t="shared" si="2"/>
        <v/>
      </c>
      <c r="G15" s="124">
        <f>+fill_data!M21</f>
        <v>0</v>
      </c>
      <c r="H15" s="46"/>
      <c r="S15" s="410">
        <f t="shared" si="1"/>
        <v>26</v>
      </c>
      <c r="T15" s="411">
        <v>13</v>
      </c>
      <c r="AE15" s="409"/>
    </row>
    <row r="16" spans="2:31" hidden="1" x14ac:dyDescent="0.15">
      <c r="B16" s="44"/>
      <c r="C16" s="44"/>
      <c r="D16" s="44"/>
      <c r="E16" s="45"/>
      <c r="F16" s="372" t="str">
        <f t="shared" si="2"/>
        <v/>
      </c>
      <c r="G16" s="124">
        <f>+fill_data!M22</f>
        <v>0</v>
      </c>
      <c r="H16" s="46"/>
      <c r="S16" s="410">
        <f t="shared" si="1"/>
        <v>27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+fill_data!M23</f>
        <v>0</v>
      </c>
      <c r="H17" s="46"/>
      <c r="S17" s="410">
        <f t="shared" si="1"/>
        <v>28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+fill_data!M24</f>
        <v>0</v>
      </c>
      <c r="H18" s="46"/>
      <c r="S18" s="410">
        <f t="shared" si="1"/>
        <v>29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+fill_data!M25</f>
        <v>0</v>
      </c>
      <c r="H19" s="46"/>
      <c r="S19" s="410">
        <f t="shared" si="1"/>
        <v>30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+fill_data!M26</f>
        <v>0</v>
      </c>
      <c r="H20" s="46"/>
      <c r="S20" s="410">
        <f t="shared" si="1"/>
        <v>31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+fill_data!M27</f>
        <v>0</v>
      </c>
      <c r="H21" s="46"/>
      <c r="S21" s="410">
        <f t="shared" si="1"/>
        <v>32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+fill_data!M28</f>
        <v>0</v>
      </c>
      <c r="H22" s="46"/>
      <c r="S22" s="410">
        <f t="shared" si="1"/>
        <v>33</v>
      </c>
      <c r="T22" s="411">
        <v>20</v>
      </c>
    </row>
    <row r="23" spans="2:36" x14ac:dyDescent="0.15">
      <c r="B23" s="44"/>
      <c r="C23" s="44"/>
      <c r="D23" s="44"/>
      <c r="E23" s="45"/>
      <c r="H23" s="46"/>
      <c r="S23" s="410"/>
      <c r="T23" s="410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v>39759</v>
      </c>
      <c r="D27" s="99">
        <f>+C27</f>
        <v>39759</v>
      </c>
      <c r="E27" s="90">
        <v>1</v>
      </c>
      <c r="F27" s="176">
        <f>IF(ISERROR(VLOOKUP(E27,Crop!$I$3:$J$70,2,FALSE)),0,VLOOKUP(paddy_Dry!E27,Crop!$I$3:$J$71,2,FALSE))</f>
        <v>0</v>
      </c>
      <c r="G27" s="97">
        <f>IF(ISERROR(HLOOKUP($D$5,Kc!$B$3:$AI$57,paddy_Dry!F27+3,FALSE)),0,HLOOKUP($D$5,Kc!$B$3:$AI$57,paddy_Dry!F27+3,FALSE))</f>
        <v>0</v>
      </c>
      <c r="H27" s="110">
        <f t="shared" ref="H27:H35" si="3">IF(G27&gt;0,IF(H$26&gt;$E$9,0,VLOOKUP(H$26,$F$3:$G$23,2,FALSE)),0)</f>
        <v>0</v>
      </c>
      <c r="I27" s="111">
        <f t="shared" ref="I27:R27" si="4">IF(H78&gt;0,IF(I$26&gt;$E$9,0,VLOOKUP(I$26,$F$3:$G$23,2,FALSE)),0)</f>
        <v>0</v>
      </c>
      <c r="J27" s="111">
        <f t="shared" si="4"/>
        <v>0</v>
      </c>
      <c r="K27" s="111">
        <f t="shared" si="4"/>
        <v>0</v>
      </c>
      <c r="L27" s="111">
        <f t="shared" si="4"/>
        <v>0</v>
      </c>
      <c r="M27" s="111">
        <f t="shared" si="4"/>
        <v>0</v>
      </c>
      <c r="N27" s="111">
        <f t="shared" si="4"/>
        <v>0</v>
      </c>
      <c r="O27" s="111">
        <f t="shared" si="4"/>
        <v>0</v>
      </c>
      <c r="P27" s="111">
        <f t="shared" si="4"/>
        <v>0</v>
      </c>
      <c r="Q27" s="111">
        <f t="shared" si="4"/>
        <v>0</v>
      </c>
      <c r="R27" s="111">
        <f t="shared" si="4"/>
        <v>0</v>
      </c>
      <c r="S27" s="111">
        <f t="shared" ref="S27:AA27" si="5">IF(R78&gt;0,IF(S$26&gt;$E$9,0,VLOOKUP(S$26,$F$3:$G$23,2,FALSE)),0)</f>
        <v>0</v>
      </c>
      <c r="T27" s="111">
        <f t="shared" si="5"/>
        <v>0</v>
      </c>
      <c r="U27" s="111">
        <f t="shared" si="5"/>
        <v>0</v>
      </c>
      <c r="V27" s="111">
        <f t="shared" si="5"/>
        <v>0</v>
      </c>
      <c r="W27" s="111">
        <f t="shared" si="5"/>
        <v>0</v>
      </c>
      <c r="X27" s="111">
        <f t="shared" si="5"/>
        <v>0</v>
      </c>
      <c r="Y27" s="111">
        <f t="shared" si="5"/>
        <v>0</v>
      </c>
      <c r="Z27" s="111">
        <f t="shared" si="5"/>
        <v>0</v>
      </c>
      <c r="AA27" s="111">
        <f t="shared" si="5"/>
        <v>0</v>
      </c>
      <c r="AB27" s="116">
        <f>SUM(H27:AA27)</f>
        <v>0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0</v>
      </c>
      <c r="AD27" s="97">
        <f>VLOOKUP($D$7,ETo!$B$4:$P$88,MONTH(D27)+2,FALSE)/4</f>
        <v>26.334910938750578</v>
      </c>
      <c r="AE27" s="97">
        <f>IF(AC27*AD27=0,0,(AC27*AD27)+$E$10)</f>
        <v>0</v>
      </c>
      <c r="AF27" s="98">
        <f>AE27*AB27*1.6</f>
        <v>0</v>
      </c>
      <c r="AG27" s="98">
        <f>IF(ISERROR(INDEX(H27:AA27,1,IF(E27&lt;$E$6,0,VLOOKUP(E27,$S$3:$T$22,2,FALSE)))),0,INDEX(H27:AA27,1,IF(E27&lt;$E$6,0,VLOOKUP(E27,$S$3:$T$22,2,FALSE))))</f>
        <v>0</v>
      </c>
      <c r="AH27" s="98">
        <f>AG27*$E$11*1.6</f>
        <v>0</v>
      </c>
      <c r="AI27" s="98">
        <f>AF27+AH27</f>
        <v>0</v>
      </c>
      <c r="AJ27" s="98">
        <f>VLOOKUP(MONTH(D27),[0]!rainforpaddy,4)/1000*AB27*1600*7</f>
        <v>0</v>
      </c>
    </row>
    <row r="28" spans="2:36" x14ac:dyDescent="0.15">
      <c r="B28" s="106">
        <f>C27+1</f>
        <v>39760</v>
      </c>
      <c r="C28" s="107">
        <f>B28+6</f>
        <v>39766</v>
      </c>
      <c r="D28" s="99">
        <f>+C28</f>
        <v>39766</v>
      </c>
      <c r="E28" s="91">
        <v>2</v>
      </c>
      <c r="F28" s="407">
        <f>IF(ISERROR(VLOOKUP(E28,Crop!$I$3:$J$70,2,FALSE)),0,VLOOKUP(paddy_Dry!E28,Crop!$I$3:$J$71,2,FALSE))</f>
        <v>0</v>
      </c>
      <c r="G28" s="100">
        <f>IF(ISERROR(HLOOKUP($D$5,Kc!$B$3:$AI$57,paddy_Dry!F28+3,FALSE)),0,HLOOKUP($D$5,Kc!$B$3:$AI$57,paddy_Dry!F28+3,FALSE))</f>
        <v>0</v>
      </c>
      <c r="H28" s="112">
        <f t="shared" si="3"/>
        <v>0</v>
      </c>
      <c r="I28" s="113">
        <f t="shared" ref="I28:R36" si="6">IF(H27&gt;0,IF(I$26&gt;$E$9,0,VLOOKUP(I$26,$F$3:$G$23,2,FALSE)),0)</f>
        <v>0</v>
      </c>
      <c r="J28" s="113">
        <f t="shared" si="6"/>
        <v>0</v>
      </c>
      <c r="K28" s="113">
        <f t="shared" si="6"/>
        <v>0</v>
      </c>
      <c r="L28" s="113">
        <f t="shared" si="6"/>
        <v>0</v>
      </c>
      <c r="M28" s="113">
        <f t="shared" si="6"/>
        <v>0</v>
      </c>
      <c r="N28" s="113">
        <f t="shared" si="6"/>
        <v>0</v>
      </c>
      <c r="O28" s="113">
        <f t="shared" si="6"/>
        <v>0</v>
      </c>
      <c r="P28" s="113">
        <f t="shared" si="6"/>
        <v>0</v>
      </c>
      <c r="Q28" s="113">
        <f t="shared" si="6"/>
        <v>0</v>
      </c>
      <c r="R28" s="113">
        <f t="shared" si="6"/>
        <v>0</v>
      </c>
      <c r="S28" s="113">
        <f t="shared" ref="S28:AA36" si="7">IF(R27&gt;0,IF(S$26&gt;$E$9,0,VLOOKUP(S$26,$F$3:$G$23,2,FALSE)),0)</f>
        <v>0</v>
      </c>
      <c r="T28" s="113">
        <f t="shared" si="7"/>
        <v>0</v>
      </c>
      <c r="U28" s="113">
        <f t="shared" si="7"/>
        <v>0</v>
      </c>
      <c r="V28" s="113">
        <f t="shared" si="7"/>
        <v>0</v>
      </c>
      <c r="W28" s="113">
        <f t="shared" si="7"/>
        <v>0</v>
      </c>
      <c r="X28" s="113">
        <f t="shared" si="7"/>
        <v>0</v>
      </c>
      <c r="Y28" s="113">
        <f t="shared" si="7"/>
        <v>0</v>
      </c>
      <c r="Z28" s="113">
        <f t="shared" si="7"/>
        <v>0</v>
      </c>
      <c r="AA28" s="113">
        <f t="shared" si="7"/>
        <v>0</v>
      </c>
      <c r="AB28" s="117">
        <f t="shared" ref="AB28:AB78" si="8">SUM(H28:AA28)</f>
        <v>0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0</v>
      </c>
      <c r="AD28" s="100">
        <f>VLOOKUP($D$7,ETo!$B$4:$P$88,MONTH(D28)+2,FALSE)/4</f>
        <v>26.334910938750578</v>
      </c>
      <c r="AE28" s="100">
        <f t="shared" ref="AE28:AE78" si="9">IF(AC28*AD28=0,0,(AC28*AD28)+$E$10)</f>
        <v>0</v>
      </c>
      <c r="AF28" s="101">
        <f t="shared" ref="AF28:AF78" si="10">AE28*AB28*1.6</f>
        <v>0</v>
      </c>
      <c r="AG28" s="101">
        <f>IF(ISERROR(INDEX(H28:AA28,1,IF(E28&lt;$E$6,0,VLOOKUP(E28,$S$3:$T$22,2,FALSE)))),0,INDEX(H28:AA28,1,IF(E28&lt;$E$6,0,VLOOKUP(E28,$S$3:$T$22,2,FALSE))))</f>
        <v>0</v>
      </c>
      <c r="AH28" s="101">
        <f>AG28*$E$11*1.6</f>
        <v>0</v>
      </c>
      <c r="AI28" s="101">
        <f t="shared" ref="AI28:AI78" si="11">AF28+AH28</f>
        <v>0</v>
      </c>
      <c r="AJ28" s="101">
        <f>VLOOKUP(MONTH(D28),[0]!rainforpaddy,4)/1000*AB28*1600*7</f>
        <v>0</v>
      </c>
    </row>
    <row r="29" spans="2:36" x14ac:dyDescent="0.15">
      <c r="B29" s="106">
        <f t="shared" ref="B29:B78" si="12">C28+1</f>
        <v>39767</v>
      </c>
      <c r="C29" s="107">
        <f t="shared" ref="C29:C78" si="13">B29+6</f>
        <v>39773</v>
      </c>
      <c r="D29" s="99">
        <f t="shared" ref="D29:D78" si="14">+C29</f>
        <v>39773</v>
      </c>
      <c r="E29" s="91">
        <v>3</v>
      </c>
      <c r="F29" s="407">
        <f>IF(ISERROR(VLOOKUP(E29,Crop!$I$3:$J$70,2,FALSE)),0,VLOOKUP(paddy_Dry!E29,Crop!$I$3:$J$71,2,FALSE))</f>
        <v>0</v>
      </c>
      <c r="G29" s="100">
        <f>IF(ISERROR(HLOOKUP($D$5,Kc!$B$3:$AI$57,paddy_Dry!F29+3,FALSE)),0,HLOOKUP($D$5,Kc!$B$3:$AI$57,paddy_Dry!F29+3,FALSE))</f>
        <v>0</v>
      </c>
      <c r="H29" s="112">
        <f t="shared" si="3"/>
        <v>0</v>
      </c>
      <c r="I29" s="113">
        <f t="shared" si="6"/>
        <v>0</v>
      </c>
      <c r="J29" s="113">
        <f t="shared" si="6"/>
        <v>0</v>
      </c>
      <c r="K29" s="113">
        <f t="shared" si="6"/>
        <v>0</v>
      </c>
      <c r="L29" s="113">
        <f t="shared" si="6"/>
        <v>0</v>
      </c>
      <c r="M29" s="113">
        <f t="shared" si="6"/>
        <v>0</v>
      </c>
      <c r="N29" s="113">
        <f t="shared" si="6"/>
        <v>0</v>
      </c>
      <c r="O29" s="113">
        <f t="shared" si="6"/>
        <v>0</v>
      </c>
      <c r="P29" s="113">
        <f t="shared" si="6"/>
        <v>0</v>
      </c>
      <c r="Q29" s="113">
        <f t="shared" si="6"/>
        <v>0</v>
      </c>
      <c r="R29" s="113">
        <f t="shared" si="6"/>
        <v>0</v>
      </c>
      <c r="S29" s="113">
        <f t="shared" si="7"/>
        <v>0</v>
      </c>
      <c r="T29" s="113">
        <f t="shared" si="7"/>
        <v>0</v>
      </c>
      <c r="U29" s="113">
        <f t="shared" si="7"/>
        <v>0</v>
      </c>
      <c r="V29" s="113">
        <f t="shared" si="7"/>
        <v>0</v>
      </c>
      <c r="W29" s="113">
        <f t="shared" si="7"/>
        <v>0</v>
      </c>
      <c r="X29" s="113">
        <f t="shared" si="7"/>
        <v>0</v>
      </c>
      <c r="Y29" s="113">
        <f t="shared" si="7"/>
        <v>0</v>
      </c>
      <c r="Z29" s="113">
        <f t="shared" si="7"/>
        <v>0</v>
      </c>
      <c r="AA29" s="113">
        <f t="shared" si="7"/>
        <v>0</v>
      </c>
      <c r="AB29" s="117">
        <f t="shared" si="8"/>
        <v>0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0</v>
      </c>
      <c r="AD29" s="100">
        <f>VLOOKUP($D$7,ETo!$B$4:$P$88,MONTH(D29)+2,FALSE)/4</f>
        <v>26.334910938750578</v>
      </c>
      <c r="AE29" s="100">
        <f t="shared" si="9"/>
        <v>0</v>
      </c>
      <c r="AF29" s="101">
        <f t="shared" si="10"/>
        <v>0</v>
      </c>
      <c r="AG29" s="101">
        <f>IF(ISERROR(INDEX(H29:AA29,1,IF(E29&lt;$E$6,0,VLOOKUP(E29,$S$3:$T$22,2,FALSE)))),0,INDEX(H29:AA29,1,IF(E29&lt;$E$6,0,VLOOKUP(E29,$S$3:$T$22,2,FALSE))))</f>
        <v>0</v>
      </c>
      <c r="AH29" s="101">
        <f>AG29*$E$11*1.6</f>
        <v>0</v>
      </c>
      <c r="AI29" s="101">
        <f t="shared" si="11"/>
        <v>0</v>
      </c>
      <c r="AJ29" s="101">
        <f>VLOOKUP(MONTH(D29),[0]!rainforpaddy,4)/1000*AB29*1600*7</f>
        <v>0</v>
      </c>
    </row>
    <row r="30" spans="2:36" x14ac:dyDescent="0.15">
      <c r="B30" s="106">
        <f t="shared" si="12"/>
        <v>39774</v>
      </c>
      <c r="C30" s="107">
        <f t="shared" si="13"/>
        <v>39780</v>
      </c>
      <c r="D30" s="99">
        <f t="shared" si="14"/>
        <v>39780</v>
      </c>
      <c r="E30" s="91">
        <v>4</v>
      </c>
      <c r="F30" s="407">
        <f>IF(ISERROR(VLOOKUP(E30,Crop!$I$3:$J$70,2,FALSE)),0,VLOOKUP(paddy_Dry!E30,Crop!$I$3:$J$71,2,FALSE))</f>
        <v>0</v>
      </c>
      <c r="G30" s="100">
        <f>IF(ISERROR(HLOOKUP($D$5,Kc!$B$3:$AI$57,paddy_Dry!F30+3,FALSE)),0,HLOOKUP($D$5,Kc!$B$3:$AI$57,paddy_Dry!F30+3,FALSE))</f>
        <v>0</v>
      </c>
      <c r="H30" s="112">
        <f t="shared" si="3"/>
        <v>0</v>
      </c>
      <c r="I30" s="113">
        <f t="shared" si="6"/>
        <v>0</v>
      </c>
      <c r="J30" s="113">
        <f t="shared" si="6"/>
        <v>0</v>
      </c>
      <c r="K30" s="113">
        <f t="shared" si="6"/>
        <v>0</v>
      </c>
      <c r="L30" s="113">
        <f t="shared" si="6"/>
        <v>0</v>
      </c>
      <c r="M30" s="113">
        <f t="shared" si="6"/>
        <v>0</v>
      </c>
      <c r="N30" s="113">
        <f t="shared" si="6"/>
        <v>0</v>
      </c>
      <c r="O30" s="113">
        <f t="shared" si="6"/>
        <v>0</v>
      </c>
      <c r="P30" s="113">
        <f t="shared" si="6"/>
        <v>0</v>
      </c>
      <c r="Q30" s="113">
        <f t="shared" si="6"/>
        <v>0</v>
      </c>
      <c r="R30" s="113">
        <f t="shared" si="6"/>
        <v>0</v>
      </c>
      <c r="S30" s="113">
        <f t="shared" si="7"/>
        <v>0</v>
      </c>
      <c r="T30" s="113">
        <f t="shared" si="7"/>
        <v>0</v>
      </c>
      <c r="U30" s="113">
        <f t="shared" si="7"/>
        <v>0</v>
      </c>
      <c r="V30" s="113">
        <f t="shared" si="7"/>
        <v>0</v>
      </c>
      <c r="W30" s="113">
        <f t="shared" si="7"/>
        <v>0</v>
      </c>
      <c r="X30" s="113">
        <f t="shared" si="7"/>
        <v>0</v>
      </c>
      <c r="Y30" s="113">
        <f t="shared" si="7"/>
        <v>0</v>
      </c>
      <c r="Z30" s="113">
        <f t="shared" si="7"/>
        <v>0</v>
      </c>
      <c r="AA30" s="113">
        <f t="shared" si="7"/>
        <v>0</v>
      </c>
      <c r="AB30" s="117">
        <f t="shared" si="8"/>
        <v>0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0</v>
      </c>
      <c r="AD30" s="100">
        <f>VLOOKUP($D$7,ETo!$B$4:$P$88,MONTH(D30)+2,FALSE)/4</f>
        <v>26.334910938750578</v>
      </c>
      <c r="AE30" s="100">
        <f t="shared" si="9"/>
        <v>0</v>
      </c>
      <c r="AF30" s="101">
        <f t="shared" si="10"/>
        <v>0</v>
      </c>
      <c r="AG30" s="101">
        <f>IF(ISERROR(INDEX(H30:AA30,1,IF(E30&lt;$E$6,0,VLOOKUP(E30,$S$3:$T$22,2,FALSE)))),0,INDEX(H30:AA30,1,IF(E30&lt;$E$6,0,VLOOKUP(E30,$S$3:$T$22,2,FALSE))))</f>
        <v>0</v>
      </c>
      <c r="AH30" s="101">
        <f>AG30*$E$11*1.6</f>
        <v>0</v>
      </c>
      <c r="AI30" s="101">
        <f t="shared" si="11"/>
        <v>0</v>
      </c>
      <c r="AJ30" s="101">
        <f>VLOOKUP(MONTH(D30),[0]!rainforpaddy,4)/1000*AB30*1600*7</f>
        <v>0</v>
      </c>
    </row>
    <row r="31" spans="2:36" x14ac:dyDescent="0.15">
      <c r="B31" s="106">
        <f t="shared" si="12"/>
        <v>39781</v>
      </c>
      <c r="C31" s="107">
        <f t="shared" si="13"/>
        <v>39787</v>
      </c>
      <c r="D31" s="99">
        <f t="shared" si="14"/>
        <v>39787</v>
      </c>
      <c r="E31" s="91">
        <v>5</v>
      </c>
      <c r="F31" s="407">
        <f>IF(ISERROR(VLOOKUP(E31,Crop!$I$3:$J$70,2,FALSE)),0,VLOOKUP(paddy_Dry!E31,Crop!$I$3:$J$71,2,FALSE))</f>
        <v>0</v>
      </c>
      <c r="G31" s="100">
        <f>IF(ISERROR(HLOOKUP($D$5,Kc!$B$3:$AI$57,paddy_Dry!F31+3,FALSE)),0,HLOOKUP($D$5,Kc!$B$3:$AI$57,paddy_Dry!F31+3,FALSE))</f>
        <v>0</v>
      </c>
      <c r="H31" s="112">
        <f t="shared" si="3"/>
        <v>0</v>
      </c>
      <c r="I31" s="113">
        <f t="shared" si="6"/>
        <v>0</v>
      </c>
      <c r="J31" s="113">
        <f t="shared" si="6"/>
        <v>0</v>
      </c>
      <c r="K31" s="113">
        <f t="shared" si="6"/>
        <v>0</v>
      </c>
      <c r="L31" s="113">
        <f t="shared" si="6"/>
        <v>0</v>
      </c>
      <c r="M31" s="113">
        <f t="shared" si="6"/>
        <v>0</v>
      </c>
      <c r="N31" s="113">
        <f t="shared" si="6"/>
        <v>0</v>
      </c>
      <c r="O31" s="113">
        <f t="shared" si="6"/>
        <v>0</v>
      </c>
      <c r="P31" s="113">
        <f t="shared" si="6"/>
        <v>0</v>
      </c>
      <c r="Q31" s="113">
        <f t="shared" si="6"/>
        <v>0</v>
      </c>
      <c r="R31" s="113">
        <f t="shared" si="6"/>
        <v>0</v>
      </c>
      <c r="S31" s="113">
        <f t="shared" si="7"/>
        <v>0</v>
      </c>
      <c r="T31" s="113">
        <f t="shared" si="7"/>
        <v>0</v>
      </c>
      <c r="U31" s="113">
        <f t="shared" si="7"/>
        <v>0</v>
      </c>
      <c r="V31" s="113">
        <f t="shared" si="7"/>
        <v>0</v>
      </c>
      <c r="W31" s="113">
        <f t="shared" si="7"/>
        <v>0</v>
      </c>
      <c r="X31" s="113">
        <f t="shared" si="7"/>
        <v>0</v>
      </c>
      <c r="Y31" s="113">
        <f t="shared" si="7"/>
        <v>0</v>
      </c>
      <c r="Z31" s="113">
        <f t="shared" si="7"/>
        <v>0</v>
      </c>
      <c r="AA31" s="113">
        <f t="shared" si="7"/>
        <v>0</v>
      </c>
      <c r="AB31" s="117">
        <f t="shared" si="8"/>
        <v>0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0</v>
      </c>
      <c r="AD31" s="100">
        <f>VLOOKUP($D$7,ETo!$B$4:$P$88,MONTH(D31)+2,FALSE)/4</f>
        <v>25.152990420694501</v>
      </c>
      <c r="AE31" s="100">
        <f t="shared" si="9"/>
        <v>0</v>
      </c>
      <c r="AF31" s="101">
        <f t="shared" si="10"/>
        <v>0</v>
      </c>
      <c r="AG31" s="101">
        <f>IF(ISERROR(INDEX(H31:AA31,1,IF(E31&lt;$E$6,0,VLOOKUP(E31,$S$3:$T$22,2,FALSE)))),0,INDEX(H31:AA31,1,IF(E31&lt;$E$6,0,VLOOKUP(E31,$S$3:$T$22,2,FALSE))))</f>
        <v>0</v>
      </c>
      <c r="AH31" s="101">
        <f>AG31*$E$11*1.6</f>
        <v>0</v>
      </c>
      <c r="AI31" s="101">
        <f t="shared" si="11"/>
        <v>0</v>
      </c>
      <c r="AJ31" s="101">
        <f>VLOOKUP(MONTH(D31),[0]!rainforpaddy,4)/1000*AB31*1600*7</f>
        <v>0</v>
      </c>
    </row>
    <row r="32" spans="2:36" x14ac:dyDescent="0.15">
      <c r="B32" s="106">
        <f t="shared" si="12"/>
        <v>39788</v>
      </c>
      <c r="C32" s="107">
        <f t="shared" si="13"/>
        <v>39794</v>
      </c>
      <c r="D32" s="99">
        <f t="shared" si="14"/>
        <v>39794</v>
      </c>
      <c r="E32" s="91">
        <v>6</v>
      </c>
      <c r="F32" s="407">
        <f>IF(ISERROR(VLOOKUP(E32,Crop!$I$3:$J$70,2,FALSE)),0,VLOOKUP(paddy_Dry!E32,Crop!$I$3:$J$71,2,FALSE))</f>
        <v>0</v>
      </c>
      <c r="G32" s="100">
        <f>IF(ISERROR(HLOOKUP($D$5,Kc!$B$3:$AI$57,paddy_Dry!F32+3,FALSE)),0,HLOOKUP($D$5,Kc!$B$3:$AI$57,paddy_Dry!F32+3,FALSE))</f>
        <v>0</v>
      </c>
      <c r="H32" s="112">
        <f t="shared" si="3"/>
        <v>0</v>
      </c>
      <c r="I32" s="113">
        <f t="shared" si="6"/>
        <v>0</v>
      </c>
      <c r="J32" s="113">
        <f t="shared" si="6"/>
        <v>0</v>
      </c>
      <c r="K32" s="113">
        <f t="shared" si="6"/>
        <v>0</v>
      </c>
      <c r="L32" s="113">
        <f t="shared" si="6"/>
        <v>0</v>
      </c>
      <c r="M32" s="113">
        <f t="shared" si="6"/>
        <v>0</v>
      </c>
      <c r="N32" s="113">
        <f t="shared" si="6"/>
        <v>0</v>
      </c>
      <c r="O32" s="113">
        <f t="shared" si="6"/>
        <v>0</v>
      </c>
      <c r="P32" s="113">
        <f t="shared" si="6"/>
        <v>0</v>
      </c>
      <c r="Q32" s="113">
        <f t="shared" si="6"/>
        <v>0</v>
      </c>
      <c r="R32" s="113">
        <f t="shared" si="6"/>
        <v>0</v>
      </c>
      <c r="S32" s="113">
        <f t="shared" si="7"/>
        <v>0</v>
      </c>
      <c r="T32" s="113">
        <f t="shared" si="7"/>
        <v>0</v>
      </c>
      <c r="U32" s="113">
        <f t="shared" si="7"/>
        <v>0</v>
      </c>
      <c r="V32" s="113">
        <f t="shared" si="7"/>
        <v>0</v>
      </c>
      <c r="W32" s="113">
        <f t="shared" si="7"/>
        <v>0</v>
      </c>
      <c r="X32" s="113">
        <f t="shared" si="7"/>
        <v>0</v>
      </c>
      <c r="Y32" s="113">
        <f t="shared" si="7"/>
        <v>0</v>
      </c>
      <c r="Z32" s="113">
        <f t="shared" si="7"/>
        <v>0</v>
      </c>
      <c r="AA32" s="113">
        <f t="shared" si="7"/>
        <v>0</v>
      </c>
      <c r="AB32" s="117">
        <f t="shared" si="8"/>
        <v>0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0</v>
      </c>
      <c r="AD32" s="100">
        <f>VLOOKUP($D$7,ETo!$B$4:$P$88,MONTH(D32)+2,FALSE)/4</f>
        <v>25.152990420694501</v>
      </c>
      <c r="AE32" s="100">
        <f t="shared" si="9"/>
        <v>0</v>
      </c>
      <c r="AF32" s="101">
        <f t="shared" si="10"/>
        <v>0</v>
      </c>
      <c r="AG32" s="101">
        <f t="shared" ref="AG32:AG78" si="15">IF(ISERROR(INDEX(H32:AA32,1,IF(E32&lt;$E$6,0,VLOOKUP(E32,$S$3:$T$22,2,FALSE)))),0,INDEX(H32:AA32,1,IF(E32&lt;$E$6,0,VLOOKUP(E32,$S$3:$T$22,2,FALSE))))</f>
        <v>0</v>
      </c>
      <c r="AH32" s="101">
        <f t="shared" ref="AH32:AH78" si="16">AG32*$E$11*1.6</f>
        <v>0</v>
      </c>
      <c r="AI32" s="101">
        <f t="shared" si="11"/>
        <v>0</v>
      </c>
      <c r="AJ32" s="101">
        <f>VLOOKUP(MONTH(D32),[0]!rainforpaddy,4)/1000*AB32*1600*7</f>
        <v>0</v>
      </c>
    </row>
    <row r="33" spans="2:36" x14ac:dyDescent="0.15">
      <c r="B33" s="106">
        <f t="shared" si="12"/>
        <v>39795</v>
      </c>
      <c r="C33" s="107">
        <f t="shared" si="13"/>
        <v>39801</v>
      </c>
      <c r="D33" s="99">
        <f t="shared" si="14"/>
        <v>39801</v>
      </c>
      <c r="E33" s="91">
        <v>7</v>
      </c>
      <c r="F33" s="407">
        <f>IF(ISERROR(VLOOKUP(E33,Crop!$I$3:$J$70,2,FALSE)),0,VLOOKUP(paddy_Dry!E33,Crop!$I$3:$J$71,2,FALSE))</f>
        <v>0</v>
      </c>
      <c r="G33" s="100">
        <f>IF(ISERROR(HLOOKUP($D$5,Kc!$B$3:$AI$57,paddy_Dry!F33+3,FALSE)),0,HLOOKUP($D$5,Kc!$B$3:$AI$57,paddy_Dry!F33+3,FALSE))</f>
        <v>0</v>
      </c>
      <c r="H33" s="112">
        <f t="shared" si="3"/>
        <v>0</v>
      </c>
      <c r="I33" s="113">
        <f t="shared" si="6"/>
        <v>0</v>
      </c>
      <c r="J33" s="113">
        <f t="shared" si="6"/>
        <v>0</v>
      </c>
      <c r="K33" s="113">
        <f t="shared" si="6"/>
        <v>0</v>
      </c>
      <c r="L33" s="113">
        <f t="shared" si="6"/>
        <v>0</v>
      </c>
      <c r="M33" s="113">
        <f t="shared" si="6"/>
        <v>0</v>
      </c>
      <c r="N33" s="113">
        <f t="shared" si="6"/>
        <v>0</v>
      </c>
      <c r="O33" s="113">
        <f t="shared" si="6"/>
        <v>0</v>
      </c>
      <c r="P33" s="113">
        <f t="shared" si="6"/>
        <v>0</v>
      </c>
      <c r="Q33" s="113">
        <f t="shared" si="6"/>
        <v>0</v>
      </c>
      <c r="R33" s="113">
        <f t="shared" si="6"/>
        <v>0</v>
      </c>
      <c r="S33" s="113">
        <f t="shared" si="7"/>
        <v>0</v>
      </c>
      <c r="T33" s="113">
        <f t="shared" si="7"/>
        <v>0</v>
      </c>
      <c r="U33" s="113">
        <f t="shared" si="7"/>
        <v>0</v>
      </c>
      <c r="V33" s="113">
        <f t="shared" si="7"/>
        <v>0</v>
      </c>
      <c r="W33" s="113">
        <f t="shared" si="7"/>
        <v>0</v>
      </c>
      <c r="X33" s="113">
        <f t="shared" si="7"/>
        <v>0</v>
      </c>
      <c r="Y33" s="113">
        <f t="shared" si="7"/>
        <v>0</v>
      </c>
      <c r="Z33" s="113">
        <f t="shared" si="7"/>
        <v>0</v>
      </c>
      <c r="AA33" s="113">
        <f t="shared" si="7"/>
        <v>0</v>
      </c>
      <c r="AB33" s="117">
        <f t="shared" si="8"/>
        <v>0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0</v>
      </c>
      <c r="AD33" s="100">
        <f>VLOOKUP($D$7,ETo!$B$4:$P$88,MONTH(D33)+2,FALSE)/4</f>
        <v>25.152990420694501</v>
      </c>
      <c r="AE33" s="100">
        <f t="shared" si="9"/>
        <v>0</v>
      </c>
      <c r="AF33" s="101">
        <f t="shared" si="10"/>
        <v>0</v>
      </c>
      <c r="AG33" s="101">
        <f t="shared" si="15"/>
        <v>0</v>
      </c>
      <c r="AH33" s="101">
        <f t="shared" si="16"/>
        <v>0</v>
      </c>
      <c r="AI33" s="101">
        <f t="shared" si="11"/>
        <v>0</v>
      </c>
      <c r="AJ33" s="101">
        <f>VLOOKUP(MONTH(D33),[0]!rainforpaddy,4)/1000*AB33*1600*7</f>
        <v>0</v>
      </c>
    </row>
    <row r="34" spans="2:36" x14ac:dyDescent="0.15">
      <c r="B34" s="106">
        <f t="shared" si="12"/>
        <v>39802</v>
      </c>
      <c r="C34" s="107">
        <f t="shared" si="13"/>
        <v>39808</v>
      </c>
      <c r="D34" s="99">
        <f t="shared" si="14"/>
        <v>39808</v>
      </c>
      <c r="E34" s="91">
        <v>8</v>
      </c>
      <c r="F34" s="407">
        <f>IF(ISERROR(VLOOKUP(E34,Crop!$I$3:$J$70,2,FALSE)),0,VLOOKUP(paddy_Dry!E34,Crop!$I$3:$J$71,2,FALSE))</f>
        <v>0</v>
      </c>
      <c r="G34" s="100">
        <f>IF(ISERROR(HLOOKUP($D$5,Kc!$B$3:$AI$57,paddy_Dry!F34+3,FALSE)),0,HLOOKUP($D$5,Kc!$B$3:$AI$57,paddy_Dry!F34+3,FALSE))</f>
        <v>0</v>
      </c>
      <c r="H34" s="112">
        <f t="shared" si="3"/>
        <v>0</v>
      </c>
      <c r="I34" s="113">
        <f t="shared" si="6"/>
        <v>0</v>
      </c>
      <c r="J34" s="113">
        <f t="shared" si="6"/>
        <v>0</v>
      </c>
      <c r="K34" s="113">
        <f t="shared" si="6"/>
        <v>0</v>
      </c>
      <c r="L34" s="113">
        <f t="shared" si="6"/>
        <v>0</v>
      </c>
      <c r="M34" s="113">
        <f t="shared" si="6"/>
        <v>0</v>
      </c>
      <c r="N34" s="113">
        <f t="shared" si="6"/>
        <v>0</v>
      </c>
      <c r="O34" s="113">
        <f t="shared" si="6"/>
        <v>0</v>
      </c>
      <c r="P34" s="113">
        <f t="shared" si="6"/>
        <v>0</v>
      </c>
      <c r="Q34" s="113">
        <f t="shared" si="6"/>
        <v>0</v>
      </c>
      <c r="R34" s="113">
        <f t="shared" si="6"/>
        <v>0</v>
      </c>
      <c r="S34" s="113">
        <f t="shared" si="7"/>
        <v>0</v>
      </c>
      <c r="T34" s="113">
        <f t="shared" si="7"/>
        <v>0</v>
      </c>
      <c r="U34" s="113">
        <f t="shared" si="7"/>
        <v>0</v>
      </c>
      <c r="V34" s="113">
        <f t="shared" si="7"/>
        <v>0</v>
      </c>
      <c r="W34" s="113">
        <f t="shared" si="7"/>
        <v>0</v>
      </c>
      <c r="X34" s="113">
        <f t="shared" si="7"/>
        <v>0</v>
      </c>
      <c r="Y34" s="113">
        <f t="shared" si="7"/>
        <v>0</v>
      </c>
      <c r="Z34" s="113">
        <f t="shared" si="7"/>
        <v>0</v>
      </c>
      <c r="AA34" s="113">
        <f t="shared" si="7"/>
        <v>0</v>
      </c>
      <c r="AB34" s="117">
        <f t="shared" si="8"/>
        <v>0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0</v>
      </c>
      <c r="AD34" s="100">
        <f>VLOOKUP($D$7,ETo!$B$4:$P$88,MONTH(D34)+2,FALSE)/4</f>
        <v>25.152990420694501</v>
      </c>
      <c r="AE34" s="100">
        <f t="shared" si="9"/>
        <v>0</v>
      </c>
      <c r="AF34" s="101">
        <f t="shared" si="10"/>
        <v>0</v>
      </c>
      <c r="AG34" s="101">
        <f t="shared" si="15"/>
        <v>0</v>
      </c>
      <c r="AH34" s="101">
        <f t="shared" si="16"/>
        <v>0</v>
      </c>
      <c r="AI34" s="101">
        <f t="shared" si="11"/>
        <v>0</v>
      </c>
      <c r="AJ34" s="101">
        <f>VLOOKUP(MONTH(D34),[0]!rainforpaddy,4)/1000*AB34*1600*7</f>
        <v>0</v>
      </c>
    </row>
    <row r="35" spans="2:36" x14ac:dyDescent="0.15">
      <c r="B35" s="106">
        <f t="shared" si="12"/>
        <v>39809</v>
      </c>
      <c r="C35" s="107">
        <f t="shared" si="13"/>
        <v>39815</v>
      </c>
      <c r="D35" s="99">
        <f t="shared" si="14"/>
        <v>39815</v>
      </c>
      <c r="E35" s="91">
        <v>9</v>
      </c>
      <c r="F35" s="407">
        <f>IF(ISERROR(VLOOKUP(E35,Crop!$I$3:$J$70,2,FALSE)),0,VLOOKUP(paddy_Dry!E35,Crop!$I$3:$J$71,2,FALSE))</f>
        <v>0</v>
      </c>
      <c r="G35" s="100">
        <f>IF(ISERROR(HLOOKUP($D$5,Kc!$B$3:$AI$57,paddy_Dry!F35+3,FALSE)),0,HLOOKUP($D$5,Kc!$B$3:$AI$57,paddy_Dry!F35+3,FALSE))</f>
        <v>0</v>
      </c>
      <c r="H35" s="112">
        <f t="shared" si="3"/>
        <v>0</v>
      </c>
      <c r="I35" s="113">
        <f t="shared" si="6"/>
        <v>0</v>
      </c>
      <c r="J35" s="113">
        <f t="shared" si="6"/>
        <v>0</v>
      </c>
      <c r="K35" s="113">
        <f t="shared" si="6"/>
        <v>0</v>
      </c>
      <c r="L35" s="113">
        <f t="shared" si="6"/>
        <v>0</v>
      </c>
      <c r="M35" s="113">
        <f t="shared" si="6"/>
        <v>0</v>
      </c>
      <c r="N35" s="113">
        <f t="shared" si="6"/>
        <v>0</v>
      </c>
      <c r="O35" s="113">
        <f t="shared" si="6"/>
        <v>0</v>
      </c>
      <c r="P35" s="113">
        <f t="shared" si="6"/>
        <v>0</v>
      </c>
      <c r="Q35" s="113">
        <f t="shared" si="6"/>
        <v>0</v>
      </c>
      <c r="R35" s="113">
        <f t="shared" si="6"/>
        <v>0</v>
      </c>
      <c r="S35" s="113">
        <f t="shared" si="7"/>
        <v>0</v>
      </c>
      <c r="T35" s="113">
        <f t="shared" si="7"/>
        <v>0</v>
      </c>
      <c r="U35" s="113">
        <f t="shared" si="7"/>
        <v>0</v>
      </c>
      <c r="V35" s="113">
        <f t="shared" si="7"/>
        <v>0</v>
      </c>
      <c r="W35" s="113">
        <f t="shared" si="7"/>
        <v>0</v>
      </c>
      <c r="X35" s="113">
        <f t="shared" si="7"/>
        <v>0</v>
      </c>
      <c r="Y35" s="113">
        <f t="shared" si="7"/>
        <v>0</v>
      </c>
      <c r="Z35" s="113">
        <f t="shared" si="7"/>
        <v>0</v>
      </c>
      <c r="AA35" s="113">
        <f t="shared" si="7"/>
        <v>0</v>
      </c>
      <c r="AB35" s="117">
        <f t="shared" si="8"/>
        <v>0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0</v>
      </c>
      <c r="AD35" s="100">
        <f>VLOOKUP($D$7,ETo!$B$4:$P$88,MONTH(D35)+2,FALSE)/4</f>
        <v>26.227032335674728</v>
      </c>
      <c r="AE35" s="100">
        <f t="shared" si="9"/>
        <v>0</v>
      </c>
      <c r="AF35" s="101">
        <f t="shared" si="10"/>
        <v>0</v>
      </c>
      <c r="AG35" s="101">
        <f t="shared" si="15"/>
        <v>0</v>
      </c>
      <c r="AH35" s="101">
        <f t="shared" si="16"/>
        <v>0</v>
      </c>
      <c r="AI35" s="101">
        <f t="shared" si="11"/>
        <v>0</v>
      </c>
      <c r="AJ35" s="101">
        <f>VLOOKUP(MONTH(D35),[0]!rainforpaddy,4)/1000*AB35*1600*7</f>
        <v>0</v>
      </c>
    </row>
    <row r="36" spans="2:36" x14ac:dyDescent="0.15">
      <c r="B36" s="106">
        <f t="shared" si="12"/>
        <v>39816</v>
      </c>
      <c r="C36" s="107">
        <f t="shared" si="13"/>
        <v>39822</v>
      </c>
      <c r="D36" s="99">
        <f t="shared" si="14"/>
        <v>39822</v>
      </c>
      <c r="E36" s="91">
        <v>10</v>
      </c>
      <c r="F36" s="407">
        <f>IF(ISERROR(VLOOKUP(E36,Crop!$I$3:$J$70,2,FALSE)),0,VLOOKUP(paddy_Dry!E36,Crop!$I$3:$J$71,2,FALSE))</f>
        <v>0</v>
      </c>
      <c r="G36" s="100">
        <f>IF(ISERROR(HLOOKUP($D$5,Kc!$B$3:$AI$57,paddy_Dry!F36+3,FALSE)),0,HLOOKUP($D$5,Kc!$B$3:$AI$57,paddy_Dry!F36+3,FALSE))</f>
        <v>0</v>
      </c>
      <c r="H36" s="112">
        <f t="shared" ref="H36:H78" si="17">IF(G36&gt;0,IF(H$26&gt;$E$9,0,VLOOKUP(H$26,$F$3:$G$23,2,FALSE)),0)</f>
        <v>0</v>
      </c>
      <c r="I36" s="113">
        <f t="shared" si="6"/>
        <v>0</v>
      </c>
      <c r="J36" s="113">
        <f t="shared" si="6"/>
        <v>0</v>
      </c>
      <c r="K36" s="113">
        <f t="shared" si="6"/>
        <v>0</v>
      </c>
      <c r="L36" s="113">
        <f t="shared" si="6"/>
        <v>0</v>
      </c>
      <c r="M36" s="113">
        <f t="shared" si="6"/>
        <v>0</v>
      </c>
      <c r="N36" s="113">
        <f t="shared" si="6"/>
        <v>0</v>
      </c>
      <c r="O36" s="113">
        <f t="shared" si="6"/>
        <v>0</v>
      </c>
      <c r="P36" s="113">
        <f t="shared" si="6"/>
        <v>0</v>
      </c>
      <c r="Q36" s="113">
        <f t="shared" si="6"/>
        <v>0</v>
      </c>
      <c r="R36" s="113">
        <f t="shared" si="6"/>
        <v>0</v>
      </c>
      <c r="S36" s="113">
        <f t="shared" si="7"/>
        <v>0</v>
      </c>
      <c r="T36" s="113">
        <f t="shared" si="7"/>
        <v>0</v>
      </c>
      <c r="U36" s="113">
        <f t="shared" si="7"/>
        <v>0</v>
      </c>
      <c r="V36" s="113">
        <f t="shared" si="7"/>
        <v>0</v>
      </c>
      <c r="W36" s="113">
        <f t="shared" si="7"/>
        <v>0</v>
      </c>
      <c r="X36" s="113">
        <f t="shared" si="7"/>
        <v>0</v>
      </c>
      <c r="Y36" s="113">
        <f t="shared" si="7"/>
        <v>0</v>
      </c>
      <c r="Z36" s="113">
        <f t="shared" si="7"/>
        <v>0</v>
      </c>
      <c r="AA36" s="113">
        <f t="shared" si="7"/>
        <v>0</v>
      </c>
      <c r="AB36" s="117">
        <f t="shared" si="8"/>
        <v>0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0</v>
      </c>
      <c r="AD36" s="100">
        <f>VLOOKUP($D$7,ETo!$B$4:$P$88,MONTH(D36)+2,FALSE)/4</f>
        <v>26.227032335674728</v>
      </c>
      <c r="AE36" s="100">
        <f t="shared" si="9"/>
        <v>0</v>
      </c>
      <c r="AF36" s="101">
        <f t="shared" si="10"/>
        <v>0</v>
      </c>
      <c r="AG36" s="101">
        <f t="shared" si="15"/>
        <v>0</v>
      </c>
      <c r="AH36" s="101">
        <f t="shared" si="16"/>
        <v>0</v>
      </c>
      <c r="AI36" s="101">
        <f t="shared" si="11"/>
        <v>0</v>
      </c>
      <c r="AJ36" s="101">
        <f>VLOOKUP(MONTH(D36),[0]!rainforpaddy,4)/1000*AB36*1600*7</f>
        <v>0</v>
      </c>
    </row>
    <row r="37" spans="2:36" x14ac:dyDescent="0.15">
      <c r="B37" s="106">
        <f t="shared" si="12"/>
        <v>39823</v>
      </c>
      <c r="C37" s="107">
        <f t="shared" si="13"/>
        <v>39829</v>
      </c>
      <c r="D37" s="99">
        <f t="shared" si="14"/>
        <v>39829</v>
      </c>
      <c r="E37" s="91">
        <v>11</v>
      </c>
      <c r="F37" s="407">
        <f>IF(ISERROR(VLOOKUP(E37,Crop!$I$3:$J$70,2,FALSE)),0,VLOOKUP(paddy_Dry!E37,Crop!$I$3:$J$71,2,FALSE))</f>
        <v>0</v>
      </c>
      <c r="G37" s="100">
        <f>IF(ISERROR(HLOOKUP($D$5,Kc!$B$3:$AI$57,paddy_Dry!F37+3,FALSE)),0,HLOOKUP($D$5,Kc!$B$3:$AI$57,paddy_Dry!F37+3,FALSE))</f>
        <v>0</v>
      </c>
      <c r="H37" s="112">
        <f t="shared" si="17"/>
        <v>0</v>
      </c>
      <c r="I37" s="113">
        <f t="shared" ref="I37:I78" si="18">IF(H36&gt;0,IF(I$26&gt;$E$9,0,VLOOKUP(I$26,$F$3:$G$23,2,FALSE)),0)</f>
        <v>0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8"/>
        <v>0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0</v>
      </c>
      <c r="AD37" s="100">
        <f>VLOOKUP($D$7,ETo!$B$4:$P$88,MONTH(D37)+2,FALSE)/4</f>
        <v>26.227032335674728</v>
      </c>
      <c r="AE37" s="100">
        <f t="shared" si="9"/>
        <v>0</v>
      </c>
      <c r="AF37" s="101">
        <f t="shared" si="10"/>
        <v>0</v>
      </c>
      <c r="AG37" s="101">
        <f t="shared" si="15"/>
        <v>0</v>
      </c>
      <c r="AH37" s="101">
        <f t="shared" si="16"/>
        <v>0</v>
      </c>
      <c r="AI37" s="101">
        <f t="shared" si="11"/>
        <v>0</v>
      </c>
      <c r="AJ37" s="101">
        <f>VLOOKUP(MONTH(D37),[0]!rainforpaddy,4)/1000*AB37*1600*7</f>
        <v>0</v>
      </c>
    </row>
    <row r="38" spans="2:36" x14ac:dyDescent="0.15">
      <c r="B38" s="106">
        <f t="shared" si="12"/>
        <v>39830</v>
      </c>
      <c r="C38" s="107">
        <f t="shared" si="13"/>
        <v>39836</v>
      </c>
      <c r="D38" s="99">
        <f t="shared" si="14"/>
        <v>39836</v>
      </c>
      <c r="E38" s="91">
        <v>12</v>
      </c>
      <c r="F38" s="407">
        <f>IF(ISERROR(VLOOKUP(E38,Crop!$I$3:$J$70,2,FALSE)),0,VLOOKUP(paddy_Dry!E38,Crop!$I$3:$J$71,2,FALSE))</f>
        <v>0</v>
      </c>
      <c r="G38" s="100">
        <f>IF(ISERROR(HLOOKUP($D$5,Kc!$B$3:$AI$57,paddy_Dry!F38+3,FALSE)),0,HLOOKUP($D$5,Kc!$B$3:$AI$57,paddy_Dry!F38+3,FALSE))</f>
        <v>0</v>
      </c>
      <c r="H38" s="112">
        <f t="shared" si="17"/>
        <v>0</v>
      </c>
      <c r="I38" s="113">
        <f t="shared" si="18"/>
        <v>0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8"/>
        <v>0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0</v>
      </c>
      <c r="AD38" s="100">
        <f>VLOOKUP($D$7,ETo!$B$4:$P$88,MONTH(D38)+2,FALSE)/4</f>
        <v>26.227032335674728</v>
      </c>
      <c r="AE38" s="100">
        <f t="shared" si="9"/>
        <v>0</v>
      </c>
      <c r="AF38" s="101">
        <f t="shared" si="10"/>
        <v>0</v>
      </c>
      <c r="AG38" s="101">
        <f t="shared" si="15"/>
        <v>0</v>
      </c>
      <c r="AH38" s="101">
        <f t="shared" si="16"/>
        <v>0</v>
      </c>
      <c r="AI38" s="101">
        <f t="shared" si="11"/>
        <v>0</v>
      </c>
      <c r="AJ38" s="101">
        <f>VLOOKUP(MONTH(D38),[0]!rainforpaddy,4)/1000*AB38*1600*7</f>
        <v>0</v>
      </c>
    </row>
    <row r="39" spans="2:36" x14ac:dyDescent="0.15">
      <c r="B39" s="106">
        <f t="shared" si="12"/>
        <v>39837</v>
      </c>
      <c r="C39" s="107">
        <f t="shared" si="13"/>
        <v>39843</v>
      </c>
      <c r="D39" s="99">
        <f t="shared" si="14"/>
        <v>39843</v>
      </c>
      <c r="E39" s="91">
        <v>13</v>
      </c>
      <c r="F39" s="407">
        <f>IF(ISERROR(VLOOKUP(E39,Crop!$I$3:$J$70,2,FALSE)),0,VLOOKUP(paddy_Dry!E39,Crop!$I$3:$J$71,2,FALSE))</f>
        <v>0</v>
      </c>
      <c r="G39" s="100">
        <f>IF(ISERROR(HLOOKUP($D$5,Kc!$B$3:$AI$57,paddy_Dry!F39+3,FALSE)),0,HLOOKUP($D$5,Kc!$B$3:$AI$57,paddy_Dry!F39+3,FALSE))</f>
        <v>0</v>
      </c>
      <c r="H39" s="112">
        <f t="shared" si="17"/>
        <v>0</v>
      </c>
      <c r="I39" s="113">
        <f t="shared" si="18"/>
        <v>0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8"/>
        <v>0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0</v>
      </c>
      <c r="AD39" s="100">
        <f>VLOOKUP($D$7,ETo!$B$4:$P$88,MONTH(D39)+2,FALSE)/4</f>
        <v>26.227032335674728</v>
      </c>
      <c r="AE39" s="100">
        <f t="shared" si="9"/>
        <v>0</v>
      </c>
      <c r="AF39" s="101">
        <f t="shared" si="10"/>
        <v>0</v>
      </c>
      <c r="AG39" s="101">
        <f t="shared" si="15"/>
        <v>0</v>
      </c>
      <c r="AH39" s="101">
        <f t="shared" si="16"/>
        <v>0</v>
      </c>
      <c r="AI39" s="101">
        <f t="shared" si="11"/>
        <v>0</v>
      </c>
      <c r="AJ39" s="101">
        <f>VLOOKUP(MONTH(D39),[0]!rainforpaddy,4)/1000*AB39*1600*7</f>
        <v>0</v>
      </c>
    </row>
    <row r="40" spans="2:36" x14ac:dyDescent="0.15">
      <c r="B40" s="106">
        <f t="shared" si="12"/>
        <v>39844</v>
      </c>
      <c r="C40" s="107">
        <f t="shared" si="13"/>
        <v>39850</v>
      </c>
      <c r="D40" s="99">
        <f t="shared" si="14"/>
        <v>39850</v>
      </c>
      <c r="E40" s="91">
        <v>14</v>
      </c>
      <c r="F40" s="407">
        <f>IF(ISERROR(VLOOKUP(E40,Crop!$I$3:$J$70,2,FALSE)),0,VLOOKUP(paddy_Dry!E40,Crop!$I$3:$J$71,2,FALSE))</f>
        <v>1</v>
      </c>
      <c r="G40" s="100">
        <f>IF(ISERROR(HLOOKUP($D$5,Kc!$B$3:$AI$57,paddy_Dry!F40+3,FALSE)),0,HLOOKUP($D$5,Kc!$B$3:$AI$57,paddy_Dry!F40+3,FALSE))</f>
        <v>1.03</v>
      </c>
      <c r="H40" s="112">
        <f t="shared" si="17"/>
        <v>0</v>
      </c>
      <c r="I40" s="113">
        <f t="shared" si="18"/>
        <v>0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8"/>
        <v>0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0</v>
      </c>
      <c r="AD40" s="100">
        <f>VLOOKUP($D$7,ETo!$B$4:$P$88,MONTH(D40)+2,FALSE)/4</f>
        <v>28.598453964472196</v>
      </c>
      <c r="AE40" s="100">
        <f t="shared" si="9"/>
        <v>0</v>
      </c>
      <c r="AF40" s="101">
        <f t="shared" si="10"/>
        <v>0</v>
      </c>
      <c r="AG40" s="101">
        <f t="shared" si="15"/>
        <v>0</v>
      </c>
      <c r="AH40" s="101">
        <f t="shared" si="16"/>
        <v>0</v>
      </c>
      <c r="AI40" s="101">
        <f t="shared" si="11"/>
        <v>0</v>
      </c>
      <c r="AJ40" s="101">
        <f>VLOOKUP(MONTH(D40),[0]!rainforpaddy,4)/1000*AB40*1600*7</f>
        <v>0</v>
      </c>
    </row>
    <row r="41" spans="2:36" x14ac:dyDescent="0.15">
      <c r="B41" s="106">
        <f t="shared" si="12"/>
        <v>39851</v>
      </c>
      <c r="C41" s="107">
        <f t="shared" si="13"/>
        <v>39857</v>
      </c>
      <c r="D41" s="99">
        <f t="shared" si="14"/>
        <v>39857</v>
      </c>
      <c r="E41" s="91">
        <v>15</v>
      </c>
      <c r="F41" s="407">
        <f>IF(ISERROR(VLOOKUP(E41,Crop!$I$3:$J$70,2,FALSE)),0,VLOOKUP(paddy_Dry!E41,Crop!$I$3:$J$71,2,FALSE))</f>
        <v>2</v>
      </c>
      <c r="G41" s="100">
        <f>IF(ISERROR(HLOOKUP($D$5,Kc!$B$3:$AI$57,paddy_Dry!F41+3,FALSE)),0,HLOOKUP($D$5,Kc!$B$3:$AI$57,paddy_Dry!F41+3,FALSE))</f>
        <v>1.07</v>
      </c>
      <c r="H41" s="112">
        <f t="shared" si="17"/>
        <v>0</v>
      </c>
      <c r="I41" s="113">
        <f t="shared" si="18"/>
        <v>0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8"/>
        <v>0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0</v>
      </c>
      <c r="AD41" s="100">
        <f>VLOOKUP($D$7,ETo!$B$4:$P$88,MONTH(D41)+2,FALSE)/4</f>
        <v>28.598453964472196</v>
      </c>
      <c r="AE41" s="100">
        <f t="shared" si="9"/>
        <v>0</v>
      </c>
      <c r="AF41" s="101">
        <f t="shared" si="10"/>
        <v>0</v>
      </c>
      <c r="AG41" s="101">
        <f t="shared" si="15"/>
        <v>0</v>
      </c>
      <c r="AH41" s="101">
        <f t="shared" si="16"/>
        <v>0</v>
      </c>
      <c r="AI41" s="101">
        <f t="shared" si="11"/>
        <v>0</v>
      </c>
      <c r="AJ41" s="101">
        <f>VLOOKUP(MONTH(D41),[0]!rainforpaddy,4)/1000*AB41*1600*7</f>
        <v>0</v>
      </c>
    </row>
    <row r="42" spans="2:36" x14ac:dyDescent="0.15">
      <c r="B42" s="106">
        <f t="shared" si="12"/>
        <v>39858</v>
      </c>
      <c r="C42" s="107">
        <f t="shared" si="13"/>
        <v>39864</v>
      </c>
      <c r="D42" s="99">
        <f t="shared" si="14"/>
        <v>39864</v>
      </c>
      <c r="E42" s="91">
        <v>16</v>
      </c>
      <c r="F42" s="407">
        <f>IF(ISERROR(VLOOKUP(E42,Crop!$I$3:$J$70,2,FALSE)),0,VLOOKUP(paddy_Dry!E42,Crop!$I$3:$J$71,2,FALSE))</f>
        <v>3</v>
      </c>
      <c r="G42" s="100">
        <f>IF(ISERROR(HLOOKUP($D$5,Kc!$B$3:$AI$57,paddy_Dry!F42+3,FALSE)),0,HLOOKUP($D$5,Kc!$B$3:$AI$57,paddy_Dry!F42+3,FALSE))</f>
        <v>1.1200000000000001</v>
      </c>
      <c r="H42" s="112">
        <f t="shared" si="17"/>
        <v>0</v>
      </c>
      <c r="I42" s="113">
        <f t="shared" si="18"/>
        <v>0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8"/>
        <v>0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</v>
      </c>
      <c r="AD42" s="100">
        <f>VLOOKUP($D$7,ETo!$B$4:$P$88,MONTH(D42)+2,FALSE)/4</f>
        <v>28.598453964472196</v>
      </c>
      <c r="AE42" s="100">
        <f t="shared" si="9"/>
        <v>0</v>
      </c>
      <c r="AF42" s="101">
        <f t="shared" si="10"/>
        <v>0</v>
      </c>
      <c r="AG42" s="101">
        <f t="shared" si="15"/>
        <v>0</v>
      </c>
      <c r="AH42" s="101">
        <f t="shared" si="16"/>
        <v>0</v>
      </c>
      <c r="AI42" s="101">
        <f t="shared" si="11"/>
        <v>0</v>
      </c>
      <c r="AJ42" s="101">
        <f>VLOOKUP(MONTH(D42),[0]!rainforpaddy,4)/1000*AB42*1600*7</f>
        <v>0</v>
      </c>
    </row>
    <row r="43" spans="2:36" x14ac:dyDescent="0.15">
      <c r="B43" s="106">
        <f t="shared" si="12"/>
        <v>39865</v>
      </c>
      <c r="C43" s="107">
        <f t="shared" si="13"/>
        <v>39871</v>
      </c>
      <c r="D43" s="99">
        <f t="shared" si="14"/>
        <v>39871</v>
      </c>
      <c r="E43" s="91">
        <v>17</v>
      </c>
      <c r="F43" s="407">
        <f>IF(ISERROR(VLOOKUP(E43,Crop!$I$3:$J$70,2,FALSE)),0,VLOOKUP(paddy_Dry!E43,Crop!$I$3:$J$71,2,FALSE))</f>
        <v>4</v>
      </c>
      <c r="G43" s="100">
        <f>IF(ISERROR(HLOOKUP($D$5,Kc!$B$3:$AI$57,paddy_Dry!F43+3,FALSE)),0,HLOOKUP($D$5,Kc!$B$3:$AI$57,paddy_Dry!F43+3,FALSE))</f>
        <v>1.29</v>
      </c>
      <c r="H43" s="112">
        <f t="shared" si="17"/>
        <v>0</v>
      </c>
      <c r="I43" s="113">
        <f t="shared" si="18"/>
        <v>0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8"/>
        <v>0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</v>
      </c>
      <c r="AD43" s="100">
        <f>VLOOKUP($D$7,ETo!$B$4:$P$88,MONTH(D43)+2,FALSE)/4</f>
        <v>28.598453964472196</v>
      </c>
      <c r="AE43" s="100">
        <f t="shared" si="9"/>
        <v>0</v>
      </c>
      <c r="AF43" s="101">
        <f t="shared" si="10"/>
        <v>0</v>
      </c>
      <c r="AG43" s="101">
        <f t="shared" si="15"/>
        <v>0</v>
      </c>
      <c r="AH43" s="101">
        <f t="shared" si="16"/>
        <v>0</v>
      </c>
      <c r="AI43" s="101">
        <f t="shared" si="11"/>
        <v>0</v>
      </c>
      <c r="AJ43" s="101">
        <f>VLOOKUP(MONTH(D43),[0]!rainforpaddy,4)/1000*AB43*1600*7</f>
        <v>0</v>
      </c>
    </row>
    <row r="44" spans="2:36" x14ac:dyDescent="0.15">
      <c r="B44" s="106">
        <f t="shared" si="12"/>
        <v>39872</v>
      </c>
      <c r="C44" s="107">
        <f t="shared" si="13"/>
        <v>39878</v>
      </c>
      <c r="D44" s="99">
        <f t="shared" si="14"/>
        <v>39878</v>
      </c>
      <c r="E44" s="91">
        <v>18</v>
      </c>
      <c r="F44" s="407">
        <f>IF(ISERROR(VLOOKUP(E44,Crop!$I$3:$J$70,2,FALSE)),0,VLOOKUP(paddy_Dry!E44,Crop!$I$3:$J$71,2,FALSE))</f>
        <v>5</v>
      </c>
      <c r="G44" s="100">
        <f>IF(ISERROR(HLOOKUP($D$5,Kc!$B$3:$AI$57,paddy_Dry!F44+3,FALSE)),0,HLOOKUP($D$5,Kc!$B$3:$AI$57,paddy_Dry!F44+3,FALSE))</f>
        <v>1.38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8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9"/>
        <v>0</v>
      </c>
      <c r="AF44" s="101">
        <f t="shared" si="10"/>
        <v>0</v>
      </c>
      <c r="AG44" s="101">
        <f t="shared" si="15"/>
        <v>0</v>
      </c>
      <c r="AH44" s="101">
        <f t="shared" si="16"/>
        <v>0</v>
      </c>
      <c r="AI44" s="101">
        <f t="shared" si="11"/>
        <v>0</v>
      </c>
      <c r="AJ44" s="101">
        <f>VLOOKUP(MONTH(D44),[0]!rainforpaddy,4)/1000*AB44*1600*7</f>
        <v>0</v>
      </c>
    </row>
    <row r="45" spans="2:36" x14ac:dyDescent="0.15">
      <c r="B45" s="106">
        <f t="shared" si="12"/>
        <v>39879</v>
      </c>
      <c r="C45" s="107">
        <f t="shared" si="13"/>
        <v>39885</v>
      </c>
      <c r="D45" s="99">
        <f t="shared" si="14"/>
        <v>39885</v>
      </c>
      <c r="E45" s="91">
        <v>19</v>
      </c>
      <c r="F45" s="407">
        <f>IF(ISERROR(VLOOKUP(E45,Crop!$I$3:$J$70,2,FALSE)),0,VLOOKUP(paddy_Dry!E45,Crop!$I$3:$J$71,2,FALSE))</f>
        <v>6</v>
      </c>
      <c r="G45" s="100">
        <f>IF(ISERROR(HLOOKUP($D$5,Kc!$B$3:$AI$57,paddy_Dry!F45+3,FALSE)),0,HLOOKUP($D$5,Kc!$B$3:$AI$57,paddy_Dry!F45+3,FALSE))</f>
        <v>1.45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8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9"/>
        <v>0</v>
      </c>
      <c r="AF45" s="101">
        <f t="shared" si="10"/>
        <v>0</v>
      </c>
      <c r="AG45" s="101">
        <f t="shared" si="15"/>
        <v>0</v>
      </c>
      <c r="AH45" s="101">
        <f t="shared" si="16"/>
        <v>0</v>
      </c>
      <c r="AI45" s="101">
        <f t="shared" si="11"/>
        <v>0</v>
      </c>
      <c r="AJ45" s="101">
        <f>VLOOKUP(MONTH(D45),[0]!rainforpaddy,4)/1000*AB45*1600*7</f>
        <v>0</v>
      </c>
    </row>
    <row r="46" spans="2:36" x14ac:dyDescent="0.15">
      <c r="B46" s="106">
        <f t="shared" si="12"/>
        <v>39886</v>
      </c>
      <c r="C46" s="107">
        <f t="shared" si="13"/>
        <v>39892</v>
      </c>
      <c r="D46" s="99">
        <f t="shared" si="14"/>
        <v>39892</v>
      </c>
      <c r="E46" s="91">
        <v>20</v>
      </c>
      <c r="F46" s="407">
        <f>IF(ISERROR(VLOOKUP(E46,Crop!$I$3:$J$70,2,FALSE)),0,VLOOKUP(paddy_Dry!E46,Crop!$I$3:$J$71,2,FALSE))</f>
        <v>7</v>
      </c>
      <c r="G46" s="100">
        <f>IF(ISERROR(HLOOKUP($D$5,Kc!$B$3:$AI$57,paddy_Dry!F46+3,FALSE)),0,HLOOKUP($D$5,Kc!$B$3:$AI$57,paddy_Dry!F46+3,FALSE))</f>
        <v>1.5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8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9"/>
        <v>0</v>
      </c>
      <c r="AF46" s="101">
        <f t="shared" si="10"/>
        <v>0</v>
      </c>
      <c r="AG46" s="101">
        <f t="shared" si="15"/>
        <v>0</v>
      </c>
      <c r="AH46" s="101">
        <f t="shared" si="16"/>
        <v>0</v>
      </c>
      <c r="AI46" s="101">
        <f t="shared" si="11"/>
        <v>0</v>
      </c>
      <c r="AJ46" s="101">
        <f>VLOOKUP(MONTH(D46),[0]!rainforpaddy,4)/1000*AB46*1600*7</f>
        <v>0</v>
      </c>
    </row>
    <row r="47" spans="2:36" x14ac:dyDescent="0.15">
      <c r="B47" s="106">
        <f t="shared" si="12"/>
        <v>39893</v>
      </c>
      <c r="C47" s="107">
        <f t="shared" si="13"/>
        <v>39899</v>
      </c>
      <c r="D47" s="99">
        <f t="shared" si="14"/>
        <v>39899</v>
      </c>
      <c r="E47" s="91">
        <v>21</v>
      </c>
      <c r="F47" s="407">
        <f>IF(ISERROR(VLOOKUP(E47,Crop!$I$3:$J$70,2,FALSE)),0,VLOOKUP(paddy_Dry!E47,Crop!$I$3:$J$71,2,FALSE))</f>
        <v>8</v>
      </c>
      <c r="G47" s="100">
        <f>IF(ISERROR(HLOOKUP($D$5,Kc!$B$3:$AI$57,paddy_Dry!F47+3,FALSE)),0,HLOOKUP($D$5,Kc!$B$3:$AI$57,paddy_Dry!F47+3,FALSE))</f>
        <v>1.48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8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9"/>
        <v>0</v>
      </c>
      <c r="AF47" s="101">
        <f t="shared" si="10"/>
        <v>0</v>
      </c>
      <c r="AG47" s="101">
        <f t="shared" si="15"/>
        <v>0</v>
      </c>
      <c r="AH47" s="101">
        <f t="shared" si="16"/>
        <v>0</v>
      </c>
      <c r="AI47" s="101">
        <f t="shared" si="11"/>
        <v>0</v>
      </c>
      <c r="AJ47" s="101">
        <f>VLOOKUP(MONTH(D47),[0]!rainforpaddy,4)/1000*AB47*1600*7</f>
        <v>0</v>
      </c>
    </row>
    <row r="48" spans="2:36" x14ac:dyDescent="0.15">
      <c r="B48" s="106">
        <f t="shared" si="12"/>
        <v>39900</v>
      </c>
      <c r="C48" s="107">
        <f t="shared" si="13"/>
        <v>39906</v>
      </c>
      <c r="D48" s="99">
        <f t="shared" si="14"/>
        <v>39906</v>
      </c>
      <c r="E48" s="91">
        <v>22</v>
      </c>
      <c r="F48" s="407">
        <f>IF(ISERROR(VLOOKUP(E48,Crop!$I$3:$J$70,2,FALSE)),0,VLOOKUP(paddy_Dry!E48,Crop!$I$3:$J$71,2,FALSE))</f>
        <v>9</v>
      </c>
      <c r="G48" s="100">
        <f>IF(ISERROR(HLOOKUP($D$5,Kc!$B$3:$AI$57,paddy_Dry!F48+3,FALSE)),0,HLOOKUP($D$5,Kc!$B$3:$AI$57,paddy_Dry!F48+3,FALSE))</f>
        <v>1.42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8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9"/>
        <v>0</v>
      </c>
      <c r="AF48" s="101">
        <f t="shared" si="10"/>
        <v>0</v>
      </c>
      <c r="AG48" s="101">
        <f t="shared" si="15"/>
        <v>0</v>
      </c>
      <c r="AH48" s="101">
        <f t="shared" si="16"/>
        <v>0</v>
      </c>
      <c r="AI48" s="101">
        <f t="shared" si="11"/>
        <v>0</v>
      </c>
      <c r="AJ48" s="101">
        <f>VLOOKUP(MONTH(D48),[0]!rainforpaddy,4)/1000*AB48*1600*7</f>
        <v>0</v>
      </c>
    </row>
    <row r="49" spans="2:36" x14ac:dyDescent="0.15">
      <c r="B49" s="106">
        <f t="shared" si="12"/>
        <v>39907</v>
      </c>
      <c r="C49" s="107">
        <f t="shared" si="13"/>
        <v>39913</v>
      </c>
      <c r="D49" s="99">
        <f t="shared" si="14"/>
        <v>39913</v>
      </c>
      <c r="E49" s="91">
        <v>23</v>
      </c>
      <c r="F49" s="407">
        <f>IF(ISERROR(VLOOKUP(E49,Crop!$I$3:$J$70,2,FALSE)),0,VLOOKUP(paddy_Dry!E49,Crop!$I$3:$J$71,2,FALSE))</f>
        <v>10</v>
      </c>
      <c r="G49" s="100">
        <f>IF(ISERROR(HLOOKUP($D$5,Kc!$B$3:$AI$57,paddy_Dry!F49+3,FALSE)),0,HLOOKUP($D$5,Kc!$B$3:$AI$57,paddy_Dry!F49+3,FALSE))</f>
        <v>1.34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8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9"/>
        <v>0</v>
      </c>
      <c r="AF49" s="101">
        <f t="shared" si="10"/>
        <v>0</v>
      </c>
      <c r="AG49" s="101">
        <f t="shared" si="15"/>
        <v>0</v>
      </c>
      <c r="AH49" s="101">
        <f t="shared" si="16"/>
        <v>0</v>
      </c>
      <c r="AI49" s="101">
        <f t="shared" si="11"/>
        <v>0</v>
      </c>
      <c r="AJ49" s="101">
        <f>VLOOKUP(MONTH(D49),[0]!rainforpaddy,4)/1000*AB49*1600*7</f>
        <v>0</v>
      </c>
    </row>
    <row r="50" spans="2:36" x14ac:dyDescent="0.15">
      <c r="B50" s="106">
        <f t="shared" si="12"/>
        <v>39914</v>
      </c>
      <c r="C50" s="107">
        <f t="shared" si="13"/>
        <v>39920</v>
      </c>
      <c r="D50" s="99">
        <f t="shared" si="14"/>
        <v>39920</v>
      </c>
      <c r="E50" s="91">
        <v>24</v>
      </c>
      <c r="F50" s="407">
        <f>IF(ISERROR(VLOOKUP(E50,Crop!$I$3:$J$70,2,FALSE)),0,VLOOKUP(paddy_Dry!E50,Crop!$I$3:$J$71,2,FALSE))</f>
        <v>11</v>
      </c>
      <c r="G50" s="100">
        <f>IF(ISERROR(HLOOKUP($D$5,Kc!$B$3:$AI$57,paddy_Dry!F50+3,FALSE)),0,HLOOKUP($D$5,Kc!$B$3:$AI$57,paddy_Dry!F50+3,FALSE))</f>
        <v>1.23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8"/>
        <v>0</v>
      </c>
      <c r="AC50" s="405">
        <f>IF(ISERROR((H50*G50+I50*G49+J50*G48+K50*G47+L50*G46+M50*G45+N50*G44+O50*G43+P50*G42+Q50*G41+R50*G40+S50*G39+T50*G38+U50*G37+V50*G36+W50*G35+X50*G34+Y50*G33+Z50*G32+AA50*G31)/AB50),0,(H50*G50+I50*G49+J50*G48+K50*G47+L50*G46+M50*G45+N50*G44+O50*G43+P50*G42+Q50*G41+R50*G40+S50*G39+T50*G38+U50*G37+V50*G36+W50*G35+X50*G34+Y50*G33+Z50*G32+AA50*G31)/AB50)</f>
        <v>0</v>
      </c>
      <c r="AD50" s="100">
        <f>VLOOKUP($D$7,ETo!$B$4:$P$88,MONTH(D50)+2,FALSE)/4</f>
        <v>38.112530722170547</v>
      </c>
      <c r="AE50" s="100">
        <f t="shared" si="9"/>
        <v>0</v>
      </c>
      <c r="AF50" s="101">
        <f t="shared" si="10"/>
        <v>0</v>
      </c>
      <c r="AG50" s="101">
        <f t="shared" si="15"/>
        <v>0</v>
      </c>
      <c r="AH50" s="101">
        <f t="shared" si="16"/>
        <v>0</v>
      </c>
      <c r="AI50" s="101">
        <f t="shared" si="11"/>
        <v>0</v>
      </c>
      <c r="AJ50" s="101">
        <f>VLOOKUP(MONTH(D50),[0]!rainforpaddy,4)/1000*AB50*1600*7</f>
        <v>0</v>
      </c>
    </row>
    <row r="51" spans="2:36" x14ac:dyDescent="0.15">
      <c r="B51" s="106">
        <f t="shared" si="12"/>
        <v>39921</v>
      </c>
      <c r="C51" s="107">
        <f t="shared" si="13"/>
        <v>39927</v>
      </c>
      <c r="D51" s="99">
        <f t="shared" si="14"/>
        <v>39927</v>
      </c>
      <c r="E51" s="91">
        <v>25</v>
      </c>
      <c r="F51" s="407">
        <f>IF(ISERROR(VLOOKUP(E51,Crop!$I$3:$J$70,2,FALSE)),0,VLOOKUP(paddy_Dry!E51,Crop!$I$3:$J$71,2,FALSE))</f>
        <v>12</v>
      </c>
      <c r="G51" s="100">
        <f>IF(ISERROR(HLOOKUP($D$5,Kc!$B$3:$AI$57,paddy_Dry!F51+3,FALSE)),0,HLOOKUP($D$5,Kc!$B$3:$AI$57,paddy_Dry!F51+3,FALSE))</f>
        <v>0.94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8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9"/>
        <v>0</v>
      </c>
      <c r="AF51" s="101">
        <f t="shared" si="10"/>
        <v>0</v>
      </c>
      <c r="AG51" s="101">
        <f t="shared" si="15"/>
        <v>0</v>
      </c>
      <c r="AH51" s="101">
        <f t="shared" si="16"/>
        <v>0</v>
      </c>
      <c r="AI51" s="101">
        <f t="shared" si="11"/>
        <v>0</v>
      </c>
      <c r="AJ51" s="101">
        <f>VLOOKUP(MONTH(D51),[0]!rainforpaddy,4)/1000*AB51*1600*7</f>
        <v>0</v>
      </c>
    </row>
    <row r="52" spans="2:36" x14ac:dyDescent="0.15">
      <c r="B52" s="106">
        <f t="shared" si="12"/>
        <v>39928</v>
      </c>
      <c r="C52" s="107">
        <f t="shared" si="13"/>
        <v>39934</v>
      </c>
      <c r="D52" s="99">
        <f t="shared" si="14"/>
        <v>39934</v>
      </c>
      <c r="E52" s="91">
        <v>26</v>
      </c>
      <c r="F52" s="407">
        <f>IF(ISERROR(VLOOKUP(E52,Crop!$I$3:$J$70,2,FALSE)),0,VLOOKUP(paddy_Dry!E52,Crop!$I$3:$J$71,2,FALSE))</f>
        <v>13</v>
      </c>
      <c r="G52" s="100">
        <f>IF(ISERROR(HLOOKUP($D$5,Kc!$B$3:$AI$57,paddy_Dry!F52+3,FALSE)),0,HLOOKUP($D$5,Kc!$B$3:$AI$57,paddy_Dry!F52+3,FALSE))</f>
        <v>0.86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8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9"/>
        <v>0</v>
      </c>
      <c r="AF52" s="101">
        <f t="shared" si="10"/>
        <v>0</v>
      </c>
      <c r="AG52" s="101">
        <f t="shared" si="15"/>
        <v>0</v>
      </c>
      <c r="AH52" s="101">
        <f t="shared" si="16"/>
        <v>0</v>
      </c>
      <c r="AI52" s="101">
        <f t="shared" si="11"/>
        <v>0</v>
      </c>
      <c r="AJ52" s="101">
        <f>VLOOKUP(MONTH(D52),[0]!rainforpaddy,4)/1000*AB52*1600*7</f>
        <v>0</v>
      </c>
    </row>
    <row r="53" spans="2:36" x14ac:dyDescent="0.15">
      <c r="B53" s="106">
        <f t="shared" si="12"/>
        <v>39935</v>
      </c>
      <c r="C53" s="107">
        <f t="shared" si="13"/>
        <v>39941</v>
      </c>
      <c r="D53" s="99">
        <f t="shared" si="14"/>
        <v>39941</v>
      </c>
      <c r="E53" s="91">
        <v>27</v>
      </c>
      <c r="F53" s="407">
        <f>IF(ISERROR(VLOOKUP(E53,Crop!$I$3:$J$70,2,FALSE)),0,VLOOKUP(paddy_Dry!E53,Crop!$I$3:$J$71,2,FALSE))</f>
        <v>0</v>
      </c>
      <c r="G53" s="100">
        <f>IF(ISERROR(HLOOKUP($D$5,Kc!$B$3:$AI$57,paddy_Dry!F53+3,FALSE)),0,HLOOKUP($D$5,Kc!$B$3:$AI$57,paddy_Dry!F53+3,FALSE))</f>
        <v>0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8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9"/>
        <v>0</v>
      </c>
      <c r="AF53" s="101">
        <f t="shared" si="10"/>
        <v>0</v>
      </c>
      <c r="AG53" s="101">
        <f t="shared" si="15"/>
        <v>0</v>
      </c>
      <c r="AH53" s="101">
        <f t="shared" si="16"/>
        <v>0</v>
      </c>
      <c r="AI53" s="101">
        <f t="shared" si="11"/>
        <v>0</v>
      </c>
      <c r="AJ53" s="101">
        <f>VLOOKUP(MONTH(D53),[0]!rainforpaddy,4)/1000*AB53*1600*7</f>
        <v>0</v>
      </c>
    </row>
    <row r="54" spans="2:36" x14ac:dyDescent="0.15">
      <c r="B54" s="106">
        <f t="shared" si="12"/>
        <v>39942</v>
      </c>
      <c r="C54" s="107">
        <f t="shared" si="13"/>
        <v>39948</v>
      </c>
      <c r="D54" s="99">
        <f t="shared" si="14"/>
        <v>39948</v>
      </c>
      <c r="E54" s="91">
        <v>28</v>
      </c>
      <c r="F54" s="407">
        <f>IF(ISERROR(VLOOKUP(E54,Crop!$I$3:$J$70,2,FALSE)),0,VLOOKUP(paddy_Dry!E54,Crop!$I$3:$J$71,2,FALSE))</f>
        <v>0</v>
      </c>
      <c r="G54" s="100">
        <f>IF(ISERROR(HLOOKUP($D$5,Kc!$B$3:$AI$57,paddy_Dry!F54+3,FALSE)),0,HLOOKUP($D$5,Kc!$B$3:$AI$57,paddy_Dry!F54+3,FALSE))</f>
        <v>0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8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9"/>
        <v>0</v>
      </c>
      <c r="AF54" s="101">
        <f t="shared" si="10"/>
        <v>0</v>
      </c>
      <c r="AG54" s="101">
        <f t="shared" si="15"/>
        <v>0</v>
      </c>
      <c r="AH54" s="101">
        <f t="shared" si="16"/>
        <v>0</v>
      </c>
      <c r="AI54" s="101">
        <f t="shared" si="11"/>
        <v>0</v>
      </c>
      <c r="AJ54" s="101">
        <f>VLOOKUP(MONTH(D54),[0]!rainforpaddy,4)/1000*AB54*1600*7</f>
        <v>0</v>
      </c>
    </row>
    <row r="55" spans="2:36" x14ac:dyDescent="0.15">
      <c r="B55" s="106">
        <f t="shared" si="12"/>
        <v>39949</v>
      </c>
      <c r="C55" s="107">
        <f t="shared" si="13"/>
        <v>39955</v>
      </c>
      <c r="D55" s="99">
        <f t="shared" si="14"/>
        <v>39955</v>
      </c>
      <c r="E55" s="91">
        <v>29</v>
      </c>
      <c r="F55" s="407">
        <f>IF(ISERROR(VLOOKUP(E55,Crop!$I$3:$J$70,2,FALSE)),0,VLOOKUP(paddy_Dry!E55,Crop!$I$3:$J$71,2,FALSE))</f>
        <v>0</v>
      </c>
      <c r="G55" s="100">
        <f>IF(ISERROR(HLOOKUP($D$5,Kc!$B$3:$AI$57,paddy_Dry!F55+3,FALSE)),0,HLOOKUP($D$5,Kc!$B$3:$AI$57,paddy_Dry!F55+3,FALSE))</f>
        <v>0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8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9"/>
        <v>0</v>
      </c>
      <c r="AF55" s="101">
        <f t="shared" si="10"/>
        <v>0</v>
      </c>
      <c r="AG55" s="101">
        <f t="shared" si="15"/>
        <v>0</v>
      </c>
      <c r="AH55" s="101">
        <f t="shared" si="16"/>
        <v>0</v>
      </c>
      <c r="AI55" s="101">
        <f t="shared" si="11"/>
        <v>0</v>
      </c>
      <c r="AJ55" s="101">
        <f>VLOOKUP(MONTH(D55),[0]!rainforpaddy,4)/1000*AB55*1600*7</f>
        <v>0</v>
      </c>
    </row>
    <row r="56" spans="2:36" x14ac:dyDescent="0.15">
      <c r="B56" s="106">
        <f t="shared" si="12"/>
        <v>39956</v>
      </c>
      <c r="C56" s="107">
        <f t="shared" si="13"/>
        <v>39962</v>
      </c>
      <c r="D56" s="99">
        <f t="shared" si="14"/>
        <v>39962</v>
      </c>
      <c r="E56" s="91">
        <v>30</v>
      </c>
      <c r="F56" s="407">
        <f>IF(ISERROR(VLOOKUP(E56,Crop!$I$3:$J$70,2,FALSE)),0,VLOOKUP(paddy_Dry!E56,Crop!$I$3:$J$71,2,FALSE))</f>
        <v>0</v>
      </c>
      <c r="G56" s="100">
        <f>IF(ISERROR(HLOOKUP($D$5,Kc!$B$3:$AI$57,paddy_Dry!F56+3,FALSE)),0,HLOOKUP($D$5,Kc!$B$3:$AI$57,paddy_Dry!F56+3,FALSE))</f>
        <v>0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8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9"/>
        <v>0</v>
      </c>
      <c r="AF56" s="101">
        <f t="shared" si="10"/>
        <v>0</v>
      </c>
      <c r="AG56" s="101">
        <f t="shared" si="15"/>
        <v>0</v>
      </c>
      <c r="AH56" s="101">
        <f t="shared" si="16"/>
        <v>0</v>
      </c>
      <c r="AI56" s="101">
        <f t="shared" si="11"/>
        <v>0</v>
      </c>
      <c r="AJ56" s="101">
        <f>VLOOKUP(MONTH(D56),[0]!rainforpaddy,4)/1000*AB56*1600*7</f>
        <v>0</v>
      </c>
    </row>
    <row r="57" spans="2:36" x14ac:dyDescent="0.15">
      <c r="B57" s="106">
        <f t="shared" si="12"/>
        <v>39963</v>
      </c>
      <c r="C57" s="107">
        <f t="shared" si="13"/>
        <v>39969</v>
      </c>
      <c r="D57" s="99">
        <f t="shared" si="14"/>
        <v>39969</v>
      </c>
      <c r="E57" s="91">
        <v>31</v>
      </c>
      <c r="F57" s="407">
        <f>IF(ISERROR(VLOOKUP(E57,Crop!$I$3:$J$70,2,FALSE)),0,VLOOKUP(paddy_Dry!E57,Crop!$I$3:$J$71,2,FALSE))</f>
        <v>0</v>
      </c>
      <c r="G57" s="100">
        <f>IF(ISERROR(HLOOKUP($D$5,Kc!$B$3:$AI$57,paddy_Dry!F57+3,FALSE)),0,HLOOKUP($D$5,Kc!$B$3:$AI$57,paddy_Dry!F57+3,FALSE))</f>
        <v>0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8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9"/>
        <v>0</v>
      </c>
      <c r="AF57" s="101">
        <f t="shared" si="10"/>
        <v>0</v>
      </c>
      <c r="AG57" s="101">
        <f t="shared" si="15"/>
        <v>0</v>
      </c>
      <c r="AH57" s="101">
        <f t="shared" si="16"/>
        <v>0</v>
      </c>
      <c r="AI57" s="101">
        <f t="shared" si="11"/>
        <v>0</v>
      </c>
      <c r="AJ57" s="101">
        <f>VLOOKUP(MONTH(D57),[0]!rainforpaddy,4)/1000*AB57*1600*7</f>
        <v>0</v>
      </c>
    </row>
    <row r="58" spans="2:36" x14ac:dyDescent="0.15">
      <c r="B58" s="106">
        <f t="shared" si="12"/>
        <v>39970</v>
      </c>
      <c r="C58" s="107">
        <f t="shared" si="13"/>
        <v>39976</v>
      </c>
      <c r="D58" s="99">
        <f t="shared" si="14"/>
        <v>39976</v>
      </c>
      <c r="E58" s="91">
        <v>32</v>
      </c>
      <c r="F58" s="407">
        <f>IF(ISERROR(VLOOKUP(E58,Crop!$I$3:$J$70,2,FALSE)),0,VLOOKUP(paddy_Dry!E58,Crop!$I$3:$J$71,2,FALSE))</f>
        <v>0</v>
      </c>
      <c r="G58" s="100">
        <f>IF(ISERROR(HLOOKUP($D$5,Kc!$B$3:$AI$57,paddy_Dry!F58+3,FALSE)),0,HLOOKUP($D$5,Kc!$B$3:$AI$57,paddy_Dry!F58+3,FALSE))</f>
        <v>0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8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9"/>
        <v>0</v>
      </c>
      <c r="AF58" s="101">
        <f t="shared" si="10"/>
        <v>0</v>
      </c>
      <c r="AG58" s="101">
        <f t="shared" si="15"/>
        <v>0</v>
      </c>
      <c r="AH58" s="101">
        <f t="shared" si="16"/>
        <v>0</v>
      </c>
      <c r="AI58" s="101">
        <f t="shared" si="11"/>
        <v>0</v>
      </c>
      <c r="AJ58" s="101">
        <f>VLOOKUP(MONTH(D58),[0]!rainforpaddy,4)/1000*AB58*1600*7</f>
        <v>0</v>
      </c>
    </row>
    <row r="59" spans="2:36" x14ac:dyDescent="0.15">
      <c r="B59" s="106">
        <f t="shared" si="12"/>
        <v>39977</v>
      </c>
      <c r="C59" s="107">
        <f t="shared" si="13"/>
        <v>39983</v>
      </c>
      <c r="D59" s="99">
        <f t="shared" si="14"/>
        <v>39983</v>
      </c>
      <c r="E59" s="91">
        <v>33</v>
      </c>
      <c r="F59" s="407">
        <f>IF(ISERROR(VLOOKUP(E59,Crop!$I$3:$J$70,2,FALSE)),0,VLOOKUP(paddy_Dry!E59,Crop!$I$3:$J$71,2,FALSE))</f>
        <v>0</v>
      </c>
      <c r="G59" s="100">
        <f>IF(ISERROR(HLOOKUP($D$5,Kc!$B$3:$AI$57,paddy_Dry!F59+3,FALSE)),0,HLOOKUP($D$5,Kc!$B$3:$AI$57,paddy_Dry!F59+3,FALSE))</f>
        <v>0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8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si="9"/>
        <v>0</v>
      </c>
      <c r="AF59" s="101">
        <f t="shared" si="10"/>
        <v>0</v>
      </c>
      <c r="AG59" s="101">
        <f t="shared" si="15"/>
        <v>0</v>
      </c>
      <c r="AH59" s="101">
        <f t="shared" si="16"/>
        <v>0</v>
      </c>
      <c r="AI59" s="101">
        <f t="shared" si="11"/>
        <v>0</v>
      </c>
      <c r="AJ59" s="101">
        <f>VLOOKUP(MONTH(D59),[0]!rainforpaddy,4)/1000*AB59*1600*7</f>
        <v>0</v>
      </c>
    </row>
    <row r="60" spans="2:36" x14ac:dyDescent="0.15">
      <c r="B60" s="106">
        <f t="shared" si="12"/>
        <v>39984</v>
      </c>
      <c r="C60" s="107">
        <f t="shared" si="13"/>
        <v>39990</v>
      </c>
      <c r="D60" s="99">
        <f t="shared" si="14"/>
        <v>39990</v>
      </c>
      <c r="E60" s="91">
        <v>34</v>
      </c>
      <c r="F60" s="407">
        <f>IF(ISERROR(VLOOKUP(E60,Crop!$I$3:$J$70,2,FALSE)),0,VLOOKUP(paddy_Dry!E60,Crop!$I$3:$J$71,2,FALSE))</f>
        <v>0</v>
      </c>
      <c r="G60" s="100">
        <f>IF(ISERROR(HLOOKUP($D$5,Kc!$B$3:$AI$57,paddy_Dry!F60+3,FALSE)),0,HLOOKUP($D$5,Kc!$B$3:$AI$57,paddy_Dry!F60+3,FALSE))</f>
        <v>0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8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9"/>
        <v>0</v>
      </c>
      <c r="AF60" s="101">
        <f t="shared" si="10"/>
        <v>0</v>
      </c>
      <c r="AG60" s="101">
        <f t="shared" si="15"/>
        <v>0</v>
      </c>
      <c r="AH60" s="101">
        <f t="shared" si="16"/>
        <v>0</v>
      </c>
      <c r="AI60" s="101">
        <f t="shared" si="11"/>
        <v>0</v>
      </c>
      <c r="AJ60" s="101">
        <f>VLOOKUP(MONTH(D60),[0]!rainforpaddy,4)/1000*AB60*1600*7</f>
        <v>0</v>
      </c>
    </row>
    <row r="61" spans="2:36" x14ac:dyDescent="0.15">
      <c r="B61" s="106">
        <f t="shared" si="12"/>
        <v>39991</v>
      </c>
      <c r="C61" s="107">
        <f t="shared" si="13"/>
        <v>39997</v>
      </c>
      <c r="D61" s="99">
        <f t="shared" si="14"/>
        <v>39997</v>
      </c>
      <c r="E61" s="91">
        <v>35</v>
      </c>
      <c r="F61" s="407">
        <f>IF(ISERROR(VLOOKUP(E61,Crop!$I$3:$J$70,2,FALSE)),0,VLOOKUP(paddy_Dry!E61,Crop!$I$3:$J$71,2,FALSE))</f>
        <v>0</v>
      </c>
      <c r="G61" s="100">
        <f>IF(ISERROR(HLOOKUP($D$5,Kc!$B$3:$AI$57,paddy_Dry!F61+3,FALSE)),0,HLOOKUP($D$5,Kc!$B$3:$AI$57,paddy_Dry!F61+3,FALSE))</f>
        <v>0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8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9"/>
        <v>0</v>
      </c>
      <c r="AF61" s="101">
        <f t="shared" si="10"/>
        <v>0</v>
      </c>
      <c r="AG61" s="101">
        <f t="shared" si="15"/>
        <v>0</v>
      </c>
      <c r="AH61" s="101">
        <f t="shared" si="16"/>
        <v>0</v>
      </c>
      <c r="AI61" s="101">
        <f t="shared" si="11"/>
        <v>0</v>
      </c>
      <c r="AJ61" s="101">
        <f>VLOOKUP(MONTH(D61),[0]!rainforpaddy,4)/1000*AB61*1600*7</f>
        <v>0</v>
      </c>
    </row>
    <row r="62" spans="2:36" x14ac:dyDescent="0.15">
      <c r="B62" s="106">
        <f t="shared" si="12"/>
        <v>39998</v>
      </c>
      <c r="C62" s="107">
        <f t="shared" si="13"/>
        <v>40004</v>
      </c>
      <c r="D62" s="99">
        <f t="shared" si="14"/>
        <v>40004</v>
      </c>
      <c r="E62" s="91">
        <v>36</v>
      </c>
      <c r="F62" s="407">
        <f>IF(ISERROR(VLOOKUP(E62,Crop!$I$3:$J$70,2,FALSE)),0,VLOOKUP(paddy_Dry!E62,Crop!$I$3:$J$71,2,FALSE))</f>
        <v>0</v>
      </c>
      <c r="G62" s="100">
        <f>IF(ISERROR(HLOOKUP($D$5,Kc!$B$3:$AI$57,paddy_Dry!F62+3,FALSE)),0,HLOOKUP($D$5,Kc!$B$3:$AI$57,paddy_Dry!F62+3,FALSE))</f>
        <v>0</v>
      </c>
      <c r="H62" s="112">
        <f t="shared" si="17"/>
        <v>0</v>
      </c>
      <c r="I62" s="113">
        <f t="shared" si="18"/>
        <v>0</v>
      </c>
      <c r="J62" s="113">
        <f t="shared" si="19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 t="shared" si="8"/>
        <v>0</v>
      </c>
      <c r="AC62" s="405">
        <f t="shared" si="24"/>
        <v>0</v>
      </c>
      <c r="AD62" s="100">
        <f>VLOOKUP($D$7,ETo!$B$4:$P$88,MONTH(D62)+2,FALSE)/4</f>
        <v>33.131638852547908</v>
      </c>
      <c r="AE62" s="100">
        <f t="shared" si="9"/>
        <v>0</v>
      </c>
      <c r="AF62" s="101">
        <f t="shared" si="10"/>
        <v>0</v>
      </c>
      <c r="AG62" s="101">
        <f t="shared" si="15"/>
        <v>0</v>
      </c>
      <c r="AH62" s="101">
        <f t="shared" si="16"/>
        <v>0</v>
      </c>
      <c r="AI62" s="101">
        <f t="shared" si="11"/>
        <v>0</v>
      </c>
      <c r="AJ62" s="101">
        <f>VLOOKUP(MONTH(D62),[0]!rainforpaddy,4)/1000*AB62*1600*7</f>
        <v>0</v>
      </c>
    </row>
    <row r="63" spans="2:36" x14ac:dyDescent="0.15">
      <c r="B63" s="106">
        <f t="shared" si="12"/>
        <v>40005</v>
      </c>
      <c r="C63" s="107">
        <f t="shared" si="13"/>
        <v>40011</v>
      </c>
      <c r="D63" s="99">
        <f t="shared" si="14"/>
        <v>40011</v>
      </c>
      <c r="E63" s="91">
        <v>37</v>
      </c>
      <c r="F63" s="407">
        <f>IF(ISERROR(VLOOKUP(E63,Crop!$I$3:$J$70,2,FALSE)),0,VLOOKUP(paddy_Dry!E63,Crop!$I$3:$J$71,2,FALSE))</f>
        <v>0</v>
      </c>
      <c r="G63" s="100">
        <f>IF(ISERROR(HLOOKUP($D$5,Kc!$B$3:$AI$57,paddy_Dry!F63+3,FALSE)),0,HLOOKUP($D$5,Kc!$B$3:$AI$57,paddy_Dry!F63+3,FALSE))</f>
        <v>0</v>
      </c>
      <c r="H63" s="112">
        <f t="shared" si="17"/>
        <v>0</v>
      </c>
      <c r="I63" s="113">
        <f t="shared" si="18"/>
        <v>0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8"/>
        <v>0</v>
      </c>
      <c r="AC63" s="405">
        <f t="shared" si="24"/>
        <v>0</v>
      </c>
      <c r="AD63" s="100">
        <f>VLOOKUP($D$7,ETo!$B$4:$P$88,MONTH(D63)+2,FALSE)/4</f>
        <v>33.131638852547908</v>
      </c>
      <c r="AE63" s="100">
        <f t="shared" si="9"/>
        <v>0</v>
      </c>
      <c r="AF63" s="101">
        <f t="shared" si="10"/>
        <v>0</v>
      </c>
      <c r="AG63" s="101">
        <f t="shared" si="15"/>
        <v>0</v>
      </c>
      <c r="AH63" s="101">
        <f t="shared" si="16"/>
        <v>0</v>
      </c>
      <c r="AI63" s="101">
        <f t="shared" si="11"/>
        <v>0</v>
      </c>
      <c r="AJ63" s="101">
        <f>VLOOKUP(MONTH(D63),[0]!rainforpaddy,4)/1000*AB63*1600*7</f>
        <v>0</v>
      </c>
    </row>
    <row r="64" spans="2:36" x14ac:dyDescent="0.15">
      <c r="B64" s="106">
        <f t="shared" si="12"/>
        <v>40012</v>
      </c>
      <c r="C64" s="107">
        <f t="shared" si="13"/>
        <v>40018</v>
      </c>
      <c r="D64" s="99">
        <f t="shared" si="14"/>
        <v>40018</v>
      </c>
      <c r="E64" s="91">
        <v>38</v>
      </c>
      <c r="F64" s="407">
        <f>IF(ISERROR(VLOOKUP(E64,Crop!$I$3:$J$70,2,FALSE)),0,VLOOKUP(paddy_Dry!E64,Crop!$I$3:$J$71,2,FALSE))</f>
        <v>0</v>
      </c>
      <c r="G64" s="100">
        <f>IF(ISERROR(HLOOKUP($D$5,Kc!$B$3:$AI$57,paddy_Dry!F64+3,FALSE)),0,HLOOKUP($D$5,Kc!$B$3:$AI$57,paddy_Dry!F64+3,FALSE))</f>
        <v>0</v>
      </c>
      <c r="H64" s="112">
        <f t="shared" si="17"/>
        <v>0</v>
      </c>
      <c r="I64" s="113">
        <f t="shared" si="18"/>
        <v>0</v>
      </c>
      <c r="J64" s="113">
        <f t="shared" si="19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8"/>
        <v>0</v>
      </c>
      <c r="AC64" s="405">
        <f t="shared" si="24"/>
        <v>0</v>
      </c>
      <c r="AD64" s="100">
        <f>VLOOKUP($D$7,ETo!$B$4:$P$88,MONTH(D64)+2,FALSE)/4</f>
        <v>33.131638852547908</v>
      </c>
      <c r="AE64" s="100">
        <f t="shared" si="9"/>
        <v>0</v>
      </c>
      <c r="AF64" s="101">
        <f t="shared" si="10"/>
        <v>0</v>
      </c>
      <c r="AG64" s="101">
        <f t="shared" si="15"/>
        <v>0</v>
      </c>
      <c r="AH64" s="101">
        <f t="shared" si="16"/>
        <v>0</v>
      </c>
      <c r="AI64" s="101">
        <f t="shared" si="11"/>
        <v>0</v>
      </c>
      <c r="AJ64" s="101">
        <f>VLOOKUP(MONTH(D64),[0]!rainforpaddy,4)/1000*AB64*1600*7</f>
        <v>0</v>
      </c>
    </row>
    <row r="65" spans="2:36" x14ac:dyDescent="0.15">
      <c r="B65" s="106">
        <f t="shared" si="12"/>
        <v>40019</v>
      </c>
      <c r="C65" s="107">
        <f t="shared" si="13"/>
        <v>40025</v>
      </c>
      <c r="D65" s="99">
        <f t="shared" si="14"/>
        <v>40025</v>
      </c>
      <c r="E65" s="91">
        <v>39</v>
      </c>
      <c r="F65" s="407">
        <f>IF(ISERROR(VLOOKUP(E65,Crop!$I$3:$J$70,2,FALSE)),0,VLOOKUP(paddy_Dry!E65,Crop!$I$3:$J$71,2,FALSE))</f>
        <v>0</v>
      </c>
      <c r="G65" s="100">
        <f>IF(ISERROR(HLOOKUP($D$5,Kc!$B$3:$AI$57,paddy_Dry!F65+3,FALSE)),0,HLOOKUP($D$5,Kc!$B$3:$AI$57,paddy_Dry!F65+3,FALSE))</f>
        <v>0</v>
      </c>
      <c r="H65" s="112">
        <f t="shared" si="17"/>
        <v>0</v>
      </c>
      <c r="I65" s="113">
        <f t="shared" si="18"/>
        <v>0</v>
      </c>
      <c r="J65" s="113">
        <f t="shared" si="19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8"/>
        <v>0</v>
      </c>
      <c r="AC65" s="405">
        <f t="shared" si="24"/>
        <v>0</v>
      </c>
      <c r="AD65" s="100">
        <f>VLOOKUP($D$7,ETo!$B$4:$P$88,MONTH(D65)+2,FALSE)/4</f>
        <v>33.131638852547908</v>
      </c>
      <c r="AE65" s="100">
        <f t="shared" si="9"/>
        <v>0</v>
      </c>
      <c r="AF65" s="101">
        <f t="shared" si="10"/>
        <v>0</v>
      </c>
      <c r="AG65" s="101">
        <f t="shared" si="15"/>
        <v>0</v>
      </c>
      <c r="AH65" s="101">
        <f t="shared" si="16"/>
        <v>0</v>
      </c>
      <c r="AI65" s="101">
        <f t="shared" si="11"/>
        <v>0</v>
      </c>
      <c r="AJ65" s="101">
        <f>VLOOKUP(MONTH(D65),[0]!rainforpaddy,4)/1000*AB65*1600*7</f>
        <v>0</v>
      </c>
    </row>
    <row r="66" spans="2:36" x14ac:dyDescent="0.15">
      <c r="B66" s="106">
        <f t="shared" si="12"/>
        <v>40026</v>
      </c>
      <c r="C66" s="107">
        <f t="shared" si="13"/>
        <v>40032</v>
      </c>
      <c r="D66" s="99">
        <f t="shared" si="14"/>
        <v>40032</v>
      </c>
      <c r="E66" s="91">
        <v>40</v>
      </c>
      <c r="F66" s="407">
        <f>IF(ISERROR(VLOOKUP(E66,Crop!$I$3:$J$70,2,FALSE)),0,VLOOKUP(paddy_Dry!E66,Crop!$I$3:$J$71,2,FALSE))</f>
        <v>0</v>
      </c>
      <c r="G66" s="100">
        <f>IF(ISERROR(HLOOKUP($D$5,Kc!$B$3:$AI$57,paddy_Dry!F66+3,FALSE)),0,HLOOKUP($D$5,Kc!$B$3:$AI$57,paddy_Dry!F66+3,FALSE))</f>
        <v>0</v>
      </c>
      <c r="H66" s="112">
        <f t="shared" si="17"/>
        <v>0</v>
      </c>
      <c r="I66" s="113">
        <f t="shared" si="18"/>
        <v>0</v>
      </c>
      <c r="J66" s="113">
        <f t="shared" si="19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8"/>
        <v>0</v>
      </c>
      <c r="AC66" s="405">
        <f t="shared" si="24"/>
        <v>0</v>
      </c>
      <c r="AD66" s="100">
        <f>VLOOKUP($D$7,ETo!$B$4:$P$88,MONTH(D66)+2,FALSE)/4</f>
        <v>31.040695886359554</v>
      </c>
      <c r="AE66" s="100">
        <f t="shared" si="9"/>
        <v>0</v>
      </c>
      <c r="AF66" s="101">
        <f t="shared" si="10"/>
        <v>0</v>
      </c>
      <c r="AG66" s="101">
        <f t="shared" si="15"/>
        <v>0</v>
      </c>
      <c r="AH66" s="101">
        <f t="shared" si="16"/>
        <v>0</v>
      </c>
      <c r="AI66" s="101">
        <f t="shared" si="11"/>
        <v>0</v>
      </c>
      <c r="AJ66" s="101">
        <f>VLOOKUP(MONTH(D66),[0]!rainforpaddy,4)/1000*AB66*1600*7</f>
        <v>0</v>
      </c>
    </row>
    <row r="67" spans="2:36" x14ac:dyDescent="0.15">
      <c r="B67" s="106">
        <f t="shared" si="12"/>
        <v>40033</v>
      </c>
      <c r="C67" s="107">
        <f t="shared" si="13"/>
        <v>40039</v>
      </c>
      <c r="D67" s="99">
        <f t="shared" si="14"/>
        <v>40039</v>
      </c>
      <c r="E67" s="91">
        <v>41</v>
      </c>
      <c r="F67" s="407">
        <f>IF(ISERROR(VLOOKUP(E67,Crop!$I$3:$J$70,2,FALSE)),0,VLOOKUP(paddy_Dry!E67,Crop!$I$3:$J$71,2,FALSE))</f>
        <v>0</v>
      </c>
      <c r="G67" s="100">
        <f>IF(ISERROR(HLOOKUP($D$5,Kc!$B$3:$AI$57,paddy_Dry!F67+3,FALSE)),0,HLOOKUP($D$5,Kc!$B$3:$AI$57,paddy_Dry!F67+3,FALSE))</f>
        <v>0</v>
      </c>
      <c r="H67" s="112">
        <f t="shared" si="17"/>
        <v>0</v>
      </c>
      <c r="I67" s="113">
        <f t="shared" si="18"/>
        <v>0</v>
      </c>
      <c r="J67" s="113">
        <f t="shared" si="19"/>
        <v>0</v>
      </c>
      <c r="K67" s="113">
        <f t="shared" ref="K67:T78" si="27">IF(J66&gt;0,IF(K$26&gt;$E$9,0,VLOOKUP(K$26,$F$3:$G$23,2,FALSE)),0)</f>
        <v>0</v>
      </c>
      <c r="L67" s="113">
        <f t="shared" si="27"/>
        <v>0</v>
      </c>
      <c r="M67" s="113">
        <f t="shared" si="27"/>
        <v>0</v>
      </c>
      <c r="N67" s="113">
        <f t="shared" si="27"/>
        <v>0</v>
      </c>
      <c r="O67" s="113">
        <f t="shared" si="27"/>
        <v>0</v>
      </c>
      <c r="P67" s="113">
        <f t="shared" si="27"/>
        <v>0</v>
      </c>
      <c r="Q67" s="113">
        <f t="shared" si="27"/>
        <v>0</v>
      </c>
      <c r="R67" s="113">
        <f t="shared" si="27"/>
        <v>0</v>
      </c>
      <c r="S67" s="113">
        <f t="shared" si="27"/>
        <v>0</v>
      </c>
      <c r="T67" s="113">
        <f t="shared" si="27"/>
        <v>0</v>
      </c>
      <c r="U67" s="113">
        <f t="shared" ref="U67:AA78" si="28">IF(T66&gt;0,IF(U$26&gt;$E$9,0,VLOOKUP(U$26,$F$3:$G$23,2,FALSE)),0)</f>
        <v>0</v>
      </c>
      <c r="V67" s="113">
        <f t="shared" si="28"/>
        <v>0</v>
      </c>
      <c r="W67" s="113">
        <f t="shared" si="28"/>
        <v>0</v>
      </c>
      <c r="X67" s="113">
        <f t="shared" si="28"/>
        <v>0</v>
      </c>
      <c r="Y67" s="113">
        <f t="shared" si="28"/>
        <v>0</v>
      </c>
      <c r="Z67" s="113">
        <f t="shared" si="28"/>
        <v>0</v>
      </c>
      <c r="AA67" s="113">
        <f t="shared" si="28"/>
        <v>0</v>
      </c>
      <c r="AB67" s="117">
        <f t="shared" si="8"/>
        <v>0</v>
      </c>
      <c r="AC67" s="405">
        <f t="shared" si="24"/>
        <v>0</v>
      </c>
      <c r="AD67" s="100">
        <f>VLOOKUP($D$7,ETo!$B$4:$P$88,MONTH(D67)+2,FALSE)/4</f>
        <v>31.040695886359554</v>
      </c>
      <c r="AE67" s="100">
        <f t="shared" si="9"/>
        <v>0</v>
      </c>
      <c r="AF67" s="101">
        <f t="shared" si="10"/>
        <v>0</v>
      </c>
      <c r="AG67" s="101">
        <f t="shared" si="15"/>
        <v>0</v>
      </c>
      <c r="AH67" s="101">
        <f t="shared" si="16"/>
        <v>0</v>
      </c>
      <c r="AI67" s="101">
        <f t="shared" si="11"/>
        <v>0</v>
      </c>
      <c r="AJ67" s="101">
        <f>VLOOKUP(MONTH(D67),[0]!rainforpaddy,4)/1000*AB67*1600*7</f>
        <v>0</v>
      </c>
    </row>
    <row r="68" spans="2:36" x14ac:dyDescent="0.15">
      <c r="B68" s="106">
        <f t="shared" si="12"/>
        <v>40040</v>
      </c>
      <c r="C68" s="107">
        <f t="shared" si="13"/>
        <v>40046</v>
      </c>
      <c r="D68" s="99">
        <f t="shared" si="14"/>
        <v>40046</v>
      </c>
      <c r="E68" s="91">
        <v>42</v>
      </c>
      <c r="F68" s="407">
        <f>IF(ISERROR(VLOOKUP(E68,Crop!$I$3:$J$70,2,FALSE)),0,VLOOKUP(paddy_Dry!E68,Crop!$I$3:$J$71,2,FALSE))</f>
        <v>0</v>
      </c>
      <c r="G68" s="100">
        <f>IF(ISERROR(HLOOKUP($D$5,Kc!$B$3:$AI$57,paddy_Dry!F68+3,FALSE)),0,HLOOKUP($D$5,Kc!$B$3:$AI$57,paddy_Dry!F68+3,FALSE))</f>
        <v>0</v>
      </c>
      <c r="H68" s="112">
        <f t="shared" si="17"/>
        <v>0</v>
      </c>
      <c r="I68" s="113">
        <f t="shared" si="18"/>
        <v>0</v>
      </c>
      <c r="J68" s="113">
        <f t="shared" si="19"/>
        <v>0</v>
      </c>
      <c r="K68" s="113">
        <f t="shared" si="27"/>
        <v>0</v>
      </c>
      <c r="L68" s="113">
        <f t="shared" si="27"/>
        <v>0</v>
      </c>
      <c r="M68" s="113">
        <f t="shared" si="27"/>
        <v>0</v>
      </c>
      <c r="N68" s="113">
        <f t="shared" si="27"/>
        <v>0</v>
      </c>
      <c r="O68" s="113">
        <f t="shared" si="27"/>
        <v>0</v>
      </c>
      <c r="P68" s="113">
        <f t="shared" si="27"/>
        <v>0</v>
      </c>
      <c r="Q68" s="113">
        <f t="shared" si="27"/>
        <v>0</v>
      </c>
      <c r="R68" s="113">
        <f t="shared" si="27"/>
        <v>0</v>
      </c>
      <c r="S68" s="113">
        <f t="shared" si="27"/>
        <v>0</v>
      </c>
      <c r="T68" s="113">
        <f t="shared" si="27"/>
        <v>0</v>
      </c>
      <c r="U68" s="113">
        <f t="shared" si="28"/>
        <v>0</v>
      </c>
      <c r="V68" s="113">
        <f t="shared" si="28"/>
        <v>0</v>
      </c>
      <c r="W68" s="113">
        <f t="shared" si="28"/>
        <v>0</v>
      </c>
      <c r="X68" s="113">
        <f t="shared" si="28"/>
        <v>0</v>
      </c>
      <c r="Y68" s="113">
        <f t="shared" si="28"/>
        <v>0</v>
      </c>
      <c r="Z68" s="113">
        <f t="shared" si="28"/>
        <v>0</v>
      </c>
      <c r="AA68" s="113">
        <f t="shared" si="28"/>
        <v>0</v>
      </c>
      <c r="AB68" s="117">
        <f t="shared" si="8"/>
        <v>0</v>
      </c>
      <c r="AC68" s="405">
        <f t="shared" si="24"/>
        <v>0</v>
      </c>
      <c r="AD68" s="100">
        <f>VLOOKUP($D$7,ETo!$B$4:$P$88,MONTH(D68)+2,FALSE)/4</f>
        <v>31.040695886359554</v>
      </c>
      <c r="AE68" s="100">
        <f t="shared" si="9"/>
        <v>0</v>
      </c>
      <c r="AF68" s="101">
        <f t="shared" si="10"/>
        <v>0</v>
      </c>
      <c r="AG68" s="101">
        <f t="shared" si="15"/>
        <v>0</v>
      </c>
      <c r="AH68" s="101">
        <f t="shared" si="16"/>
        <v>0</v>
      </c>
      <c r="AI68" s="101">
        <f t="shared" si="11"/>
        <v>0</v>
      </c>
      <c r="AJ68" s="101">
        <f>VLOOKUP(MONTH(D68),[0]!rainforpaddy,4)/1000*AB68*1600*7</f>
        <v>0</v>
      </c>
    </row>
    <row r="69" spans="2:36" x14ac:dyDescent="0.15">
      <c r="B69" s="106">
        <f t="shared" si="12"/>
        <v>40047</v>
      </c>
      <c r="C69" s="107">
        <f t="shared" si="13"/>
        <v>40053</v>
      </c>
      <c r="D69" s="99">
        <f t="shared" si="14"/>
        <v>40053</v>
      </c>
      <c r="E69" s="91">
        <v>43</v>
      </c>
      <c r="F69" s="407">
        <f>IF(ISERROR(VLOOKUP(E69,Crop!$I$3:$J$70,2,FALSE)),0,VLOOKUP(paddy_Dry!E69,Crop!$I$3:$J$71,2,FALSE))</f>
        <v>0</v>
      </c>
      <c r="G69" s="100">
        <f>IF(ISERROR(HLOOKUP($D$5,Kc!$B$3:$AI$57,paddy_Dry!F69+3,FALSE)),0,HLOOKUP($D$5,Kc!$B$3:$AI$57,paddy_Dry!F69+3,FALSE))</f>
        <v>0</v>
      </c>
      <c r="H69" s="112">
        <f t="shared" si="17"/>
        <v>0</v>
      </c>
      <c r="I69" s="113">
        <f t="shared" si="18"/>
        <v>0</v>
      </c>
      <c r="J69" s="113">
        <f t="shared" si="19"/>
        <v>0</v>
      </c>
      <c r="K69" s="113">
        <f t="shared" si="27"/>
        <v>0</v>
      </c>
      <c r="L69" s="113">
        <f t="shared" si="27"/>
        <v>0</v>
      </c>
      <c r="M69" s="113">
        <f t="shared" si="27"/>
        <v>0</v>
      </c>
      <c r="N69" s="113">
        <f t="shared" si="27"/>
        <v>0</v>
      </c>
      <c r="O69" s="113">
        <f t="shared" si="27"/>
        <v>0</v>
      </c>
      <c r="P69" s="113">
        <f t="shared" si="27"/>
        <v>0</v>
      </c>
      <c r="Q69" s="113">
        <f t="shared" si="27"/>
        <v>0</v>
      </c>
      <c r="R69" s="113">
        <f t="shared" si="27"/>
        <v>0</v>
      </c>
      <c r="S69" s="113">
        <f t="shared" si="27"/>
        <v>0</v>
      </c>
      <c r="T69" s="113">
        <f t="shared" si="27"/>
        <v>0</v>
      </c>
      <c r="U69" s="113">
        <f t="shared" si="28"/>
        <v>0</v>
      </c>
      <c r="V69" s="113">
        <f t="shared" si="28"/>
        <v>0</v>
      </c>
      <c r="W69" s="113">
        <f t="shared" si="28"/>
        <v>0</v>
      </c>
      <c r="X69" s="113">
        <f t="shared" si="28"/>
        <v>0</v>
      </c>
      <c r="Y69" s="113">
        <f t="shared" si="28"/>
        <v>0</v>
      </c>
      <c r="Z69" s="113">
        <f t="shared" si="28"/>
        <v>0</v>
      </c>
      <c r="AA69" s="113">
        <f t="shared" si="28"/>
        <v>0</v>
      </c>
      <c r="AB69" s="117">
        <f t="shared" si="8"/>
        <v>0</v>
      </c>
      <c r="AC69" s="405">
        <f t="shared" si="24"/>
        <v>0</v>
      </c>
      <c r="AD69" s="100">
        <f>VLOOKUP($D$7,ETo!$B$4:$P$88,MONTH(D69)+2,FALSE)/4</f>
        <v>31.040695886359554</v>
      </c>
      <c r="AE69" s="100">
        <f t="shared" si="9"/>
        <v>0</v>
      </c>
      <c r="AF69" s="101">
        <f t="shared" si="10"/>
        <v>0</v>
      </c>
      <c r="AG69" s="101">
        <f t="shared" si="15"/>
        <v>0</v>
      </c>
      <c r="AH69" s="101">
        <f t="shared" si="16"/>
        <v>0</v>
      </c>
      <c r="AI69" s="101">
        <f t="shared" si="11"/>
        <v>0</v>
      </c>
      <c r="AJ69" s="101">
        <f>VLOOKUP(MONTH(D69),[0]!rainforpaddy,4)/1000*AB69*1600*7</f>
        <v>0</v>
      </c>
    </row>
    <row r="70" spans="2:36" x14ac:dyDescent="0.15">
      <c r="B70" s="106">
        <f t="shared" si="12"/>
        <v>40054</v>
      </c>
      <c r="C70" s="107">
        <f t="shared" si="13"/>
        <v>40060</v>
      </c>
      <c r="D70" s="99">
        <f t="shared" si="14"/>
        <v>40060</v>
      </c>
      <c r="E70" s="91">
        <v>44</v>
      </c>
      <c r="F70" s="407">
        <f>IF(ISERROR(VLOOKUP(E70,Crop!$I$3:$J$70,2,FALSE)),0,VLOOKUP(paddy_Dry!E70,Crop!$I$3:$J$71,2,FALSE))</f>
        <v>0</v>
      </c>
      <c r="G70" s="100">
        <f>IF(ISERROR(HLOOKUP($D$5,Kc!$B$3:$AI$57,paddy_Dry!F70+3,FALSE)),0,HLOOKUP($D$5,Kc!$B$3:$AI$57,paddy_Dry!F70+3,FALSE))</f>
        <v>0</v>
      </c>
      <c r="H70" s="112">
        <f t="shared" si="17"/>
        <v>0</v>
      </c>
      <c r="I70" s="113">
        <f t="shared" si="18"/>
        <v>0</v>
      </c>
      <c r="J70" s="113">
        <f t="shared" si="19"/>
        <v>0</v>
      </c>
      <c r="K70" s="113">
        <f t="shared" si="27"/>
        <v>0</v>
      </c>
      <c r="L70" s="113">
        <f t="shared" si="27"/>
        <v>0</v>
      </c>
      <c r="M70" s="113">
        <f t="shared" si="27"/>
        <v>0</v>
      </c>
      <c r="N70" s="113">
        <f t="shared" si="27"/>
        <v>0</v>
      </c>
      <c r="O70" s="113">
        <f t="shared" si="27"/>
        <v>0</v>
      </c>
      <c r="P70" s="113">
        <f t="shared" si="27"/>
        <v>0</v>
      </c>
      <c r="Q70" s="113">
        <f t="shared" si="27"/>
        <v>0</v>
      </c>
      <c r="R70" s="113">
        <f t="shared" si="27"/>
        <v>0</v>
      </c>
      <c r="S70" s="113">
        <f t="shared" si="27"/>
        <v>0</v>
      </c>
      <c r="T70" s="113">
        <f t="shared" si="27"/>
        <v>0</v>
      </c>
      <c r="U70" s="113">
        <f t="shared" si="28"/>
        <v>0</v>
      </c>
      <c r="V70" s="113">
        <f t="shared" si="28"/>
        <v>0</v>
      </c>
      <c r="W70" s="113">
        <f t="shared" si="28"/>
        <v>0</v>
      </c>
      <c r="X70" s="113">
        <f t="shared" si="28"/>
        <v>0</v>
      </c>
      <c r="Y70" s="113">
        <f t="shared" si="28"/>
        <v>0</v>
      </c>
      <c r="Z70" s="113">
        <f t="shared" si="28"/>
        <v>0</v>
      </c>
      <c r="AA70" s="113">
        <f t="shared" si="28"/>
        <v>0</v>
      </c>
      <c r="AB70" s="117">
        <f t="shared" si="8"/>
        <v>0</v>
      </c>
      <c r="AC70" s="405">
        <f t="shared" si="24"/>
        <v>0</v>
      </c>
      <c r="AD70" s="100">
        <f>VLOOKUP($D$7,ETo!$B$4:$P$88,MONTH(D70)+2,FALSE)/4</f>
        <v>28.50368641826438</v>
      </c>
      <c r="AE70" s="100">
        <f t="shared" si="9"/>
        <v>0</v>
      </c>
      <c r="AF70" s="101">
        <f t="shared" si="10"/>
        <v>0</v>
      </c>
      <c r="AG70" s="101">
        <f t="shared" si="15"/>
        <v>0</v>
      </c>
      <c r="AH70" s="101">
        <f t="shared" si="16"/>
        <v>0</v>
      </c>
      <c r="AI70" s="101">
        <f t="shared" si="11"/>
        <v>0</v>
      </c>
      <c r="AJ70" s="101">
        <f>VLOOKUP(MONTH(D70),[0]!rainforpaddy,4)/1000*AB70*1600*7</f>
        <v>0</v>
      </c>
    </row>
    <row r="71" spans="2:36" x14ac:dyDescent="0.15">
      <c r="B71" s="106">
        <f t="shared" si="12"/>
        <v>40061</v>
      </c>
      <c r="C71" s="107">
        <f t="shared" si="13"/>
        <v>40067</v>
      </c>
      <c r="D71" s="99">
        <f t="shared" si="14"/>
        <v>40067</v>
      </c>
      <c r="E71" s="91">
        <v>45</v>
      </c>
      <c r="F71" s="407">
        <f>IF(ISERROR(VLOOKUP(E71,Crop!$I$3:$J$70,2,FALSE)),0,VLOOKUP(paddy_Dry!E71,Crop!$I$3:$J$71,2,FALSE))</f>
        <v>0</v>
      </c>
      <c r="G71" s="100">
        <f>IF(ISERROR(HLOOKUP($D$5,Kc!$B$3:$AI$57,paddy_Dry!F71+3,FALSE)),0,HLOOKUP($D$5,Kc!$B$3:$AI$57,paddy_Dry!F71+3,FALSE))</f>
        <v>0</v>
      </c>
      <c r="H71" s="112">
        <f t="shared" si="17"/>
        <v>0</v>
      </c>
      <c r="I71" s="113">
        <f t="shared" si="18"/>
        <v>0</v>
      </c>
      <c r="J71" s="113">
        <f t="shared" si="19"/>
        <v>0</v>
      </c>
      <c r="K71" s="113">
        <f t="shared" si="27"/>
        <v>0</v>
      </c>
      <c r="L71" s="113">
        <f t="shared" si="27"/>
        <v>0</v>
      </c>
      <c r="M71" s="113">
        <f t="shared" si="27"/>
        <v>0</v>
      </c>
      <c r="N71" s="113">
        <f t="shared" si="27"/>
        <v>0</v>
      </c>
      <c r="O71" s="113">
        <f t="shared" si="27"/>
        <v>0</v>
      </c>
      <c r="P71" s="113">
        <f t="shared" si="27"/>
        <v>0</v>
      </c>
      <c r="Q71" s="113">
        <f t="shared" si="27"/>
        <v>0</v>
      </c>
      <c r="R71" s="113">
        <f t="shared" si="27"/>
        <v>0</v>
      </c>
      <c r="S71" s="113">
        <f t="shared" si="27"/>
        <v>0</v>
      </c>
      <c r="T71" s="113">
        <f t="shared" si="27"/>
        <v>0</v>
      </c>
      <c r="U71" s="113">
        <f t="shared" si="28"/>
        <v>0</v>
      </c>
      <c r="V71" s="113">
        <f t="shared" si="28"/>
        <v>0</v>
      </c>
      <c r="W71" s="113">
        <f t="shared" si="28"/>
        <v>0</v>
      </c>
      <c r="X71" s="113">
        <f t="shared" si="28"/>
        <v>0</v>
      </c>
      <c r="Y71" s="113">
        <f t="shared" si="28"/>
        <v>0</v>
      </c>
      <c r="Z71" s="113">
        <f t="shared" si="28"/>
        <v>0</v>
      </c>
      <c r="AA71" s="113">
        <f t="shared" si="28"/>
        <v>0</v>
      </c>
      <c r="AB71" s="117">
        <f t="shared" si="8"/>
        <v>0</v>
      </c>
      <c r="AC71" s="405">
        <f t="shared" si="24"/>
        <v>0</v>
      </c>
      <c r="AD71" s="100">
        <f>VLOOKUP($D$7,ETo!$B$4:$P$88,MONTH(D71)+2,FALSE)/4</f>
        <v>28.50368641826438</v>
      </c>
      <c r="AE71" s="100">
        <f t="shared" si="9"/>
        <v>0</v>
      </c>
      <c r="AF71" s="101">
        <f t="shared" si="10"/>
        <v>0</v>
      </c>
      <c r="AG71" s="101">
        <f t="shared" si="15"/>
        <v>0</v>
      </c>
      <c r="AH71" s="101">
        <f t="shared" si="16"/>
        <v>0</v>
      </c>
      <c r="AI71" s="101">
        <f t="shared" si="11"/>
        <v>0</v>
      </c>
      <c r="AJ71" s="101">
        <f>VLOOKUP(MONTH(D71),[0]!rainforpaddy,4)/1000*AB71*1600*7</f>
        <v>0</v>
      </c>
    </row>
    <row r="72" spans="2:36" x14ac:dyDescent="0.15">
      <c r="B72" s="106">
        <f t="shared" si="12"/>
        <v>40068</v>
      </c>
      <c r="C72" s="107">
        <f t="shared" si="13"/>
        <v>40074</v>
      </c>
      <c r="D72" s="99">
        <f t="shared" si="14"/>
        <v>40074</v>
      </c>
      <c r="E72" s="91">
        <v>46</v>
      </c>
      <c r="F72" s="407">
        <f>IF(ISERROR(VLOOKUP(E72,Crop!$I$3:$J$70,2,FALSE)),0,VLOOKUP(paddy_Dry!E72,Crop!$I$3:$J$71,2,FALSE))</f>
        <v>0</v>
      </c>
      <c r="G72" s="100">
        <f>IF(ISERROR(HLOOKUP($D$5,Kc!$B$3:$AI$57,paddy_Dry!F72+3,FALSE)),0,HLOOKUP($D$5,Kc!$B$3:$AI$57,paddy_Dry!F72+3,FALSE))</f>
        <v>0</v>
      </c>
      <c r="H72" s="112">
        <f t="shared" si="17"/>
        <v>0</v>
      </c>
      <c r="I72" s="113">
        <f t="shared" si="18"/>
        <v>0</v>
      </c>
      <c r="J72" s="113">
        <f t="shared" si="19"/>
        <v>0</v>
      </c>
      <c r="K72" s="113">
        <f t="shared" si="27"/>
        <v>0</v>
      </c>
      <c r="L72" s="113">
        <f t="shared" si="27"/>
        <v>0</v>
      </c>
      <c r="M72" s="113">
        <f t="shared" si="27"/>
        <v>0</v>
      </c>
      <c r="N72" s="113">
        <f t="shared" si="27"/>
        <v>0</v>
      </c>
      <c r="O72" s="113">
        <f t="shared" si="27"/>
        <v>0</v>
      </c>
      <c r="P72" s="113">
        <f t="shared" si="27"/>
        <v>0</v>
      </c>
      <c r="Q72" s="113">
        <f t="shared" si="27"/>
        <v>0</v>
      </c>
      <c r="R72" s="113">
        <f t="shared" si="27"/>
        <v>0</v>
      </c>
      <c r="S72" s="113">
        <f t="shared" si="27"/>
        <v>0</v>
      </c>
      <c r="T72" s="113">
        <f t="shared" si="27"/>
        <v>0</v>
      </c>
      <c r="U72" s="113">
        <f t="shared" si="28"/>
        <v>0</v>
      </c>
      <c r="V72" s="113">
        <f t="shared" si="28"/>
        <v>0</v>
      </c>
      <c r="W72" s="113">
        <f t="shared" si="28"/>
        <v>0</v>
      </c>
      <c r="X72" s="113">
        <f t="shared" si="28"/>
        <v>0</v>
      </c>
      <c r="Y72" s="113">
        <f t="shared" si="28"/>
        <v>0</v>
      </c>
      <c r="Z72" s="113">
        <f t="shared" si="28"/>
        <v>0</v>
      </c>
      <c r="AA72" s="113">
        <f t="shared" si="28"/>
        <v>0</v>
      </c>
      <c r="AB72" s="117">
        <f t="shared" si="8"/>
        <v>0</v>
      </c>
      <c r="AC72" s="405">
        <f t="shared" si="24"/>
        <v>0</v>
      </c>
      <c r="AD72" s="100">
        <f>VLOOKUP($D$7,ETo!$B$4:$P$88,MONTH(D72)+2,FALSE)/4</f>
        <v>28.50368641826438</v>
      </c>
      <c r="AE72" s="100">
        <f t="shared" si="9"/>
        <v>0</v>
      </c>
      <c r="AF72" s="101">
        <f t="shared" si="10"/>
        <v>0</v>
      </c>
      <c r="AG72" s="101">
        <f t="shared" si="15"/>
        <v>0</v>
      </c>
      <c r="AH72" s="101">
        <f t="shared" si="16"/>
        <v>0</v>
      </c>
      <c r="AI72" s="101">
        <f t="shared" si="11"/>
        <v>0</v>
      </c>
      <c r="AJ72" s="101">
        <f>VLOOKUP(MONTH(D72),[0]!rainforpaddy,4)/1000*AB72*1600*7</f>
        <v>0</v>
      </c>
    </row>
    <row r="73" spans="2:36" x14ac:dyDescent="0.15">
      <c r="B73" s="106">
        <f t="shared" si="12"/>
        <v>40075</v>
      </c>
      <c r="C73" s="107">
        <f t="shared" si="13"/>
        <v>40081</v>
      </c>
      <c r="D73" s="99">
        <f t="shared" si="14"/>
        <v>40081</v>
      </c>
      <c r="E73" s="91">
        <v>47</v>
      </c>
      <c r="F73" s="407">
        <f>IF(ISERROR(VLOOKUP(E73,Crop!$I$3:$J$70,2,FALSE)),0,VLOOKUP(paddy_Dry!E73,Crop!$I$3:$J$71,2,FALSE))</f>
        <v>0</v>
      </c>
      <c r="G73" s="100">
        <f>IF(ISERROR(HLOOKUP($D$5,Kc!$B$3:$AI$57,paddy_Dry!F73+3,FALSE)),0,HLOOKUP($D$5,Kc!$B$3:$AI$57,paddy_Dry!F73+3,FALSE))</f>
        <v>0</v>
      </c>
      <c r="H73" s="112">
        <f t="shared" si="17"/>
        <v>0</v>
      </c>
      <c r="I73" s="113">
        <f t="shared" si="18"/>
        <v>0</v>
      </c>
      <c r="J73" s="113">
        <f t="shared" si="19"/>
        <v>0</v>
      </c>
      <c r="K73" s="113">
        <f t="shared" si="27"/>
        <v>0</v>
      </c>
      <c r="L73" s="113">
        <f t="shared" si="27"/>
        <v>0</v>
      </c>
      <c r="M73" s="113">
        <f t="shared" si="27"/>
        <v>0</v>
      </c>
      <c r="N73" s="113">
        <f t="shared" si="27"/>
        <v>0</v>
      </c>
      <c r="O73" s="113">
        <f t="shared" si="27"/>
        <v>0</v>
      </c>
      <c r="P73" s="113">
        <f t="shared" si="27"/>
        <v>0</v>
      </c>
      <c r="Q73" s="113">
        <f t="shared" si="27"/>
        <v>0</v>
      </c>
      <c r="R73" s="113">
        <f t="shared" si="27"/>
        <v>0</v>
      </c>
      <c r="S73" s="113">
        <f t="shared" si="27"/>
        <v>0</v>
      </c>
      <c r="T73" s="113">
        <f t="shared" si="27"/>
        <v>0</v>
      </c>
      <c r="U73" s="113">
        <f t="shared" si="28"/>
        <v>0</v>
      </c>
      <c r="V73" s="113">
        <f t="shared" si="28"/>
        <v>0</v>
      </c>
      <c r="W73" s="113">
        <f t="shared" si="28"/>
        <v>0</v>
      </c>
      <c r="X73" s="113">
        <f t="shared" si="28"/>
        <v>0</v>
      </c>
      <c r="Y73" s="113">
        <f t="shared" si="28"/>
        <v>0</v>
      </c>
      <c r="Z73" s="113">
        <f t="shared" si="28"/>
        <v>0</v>
      </c>
      <c r="AA73" s="113">
        <f t="shared" si="28"/>
        <v>0</v>
      </c>
      <c r="AB73" s="117">
        <f t="shared" si="8"/>
        <v>0</v>
      </c>
      <c r="AC73" s="405">
        <f t="shared" si="24"/>
        <v>0</v>
      </c>
      <c r="AD73" s="100">
        <f>VLOOKUP($D$7,ETo!$B$4:$P$88,MONTH(D73)+2,FALSE)/4</f>
        <v>28.50368641826438</v>
      </c>
      <c r="AE73" s="100">
        <f t="shared" si="9"/>
        <v>0</v>
      </c>
      <c r="AF73" s="101">
        <f t="shared" si="10"/>
        <v>0</v>
      </c>
      <c r="AG73" s="101">
        <f t="shared" si="15"/>
        <v>0</v>
      </c>
      <c r="AH73" s="101">
        <f t="shared" si="16"/>
        <v>0</v>
      </c>
      <c r="AI73" s="101">
        <f t="shared" si="11"/>
        <v>0</v>
      </c>
      <c r="AJ73" s="101">
        <f>VLOOKUP(MONTH(D73),[0]!rainforpaddy,4)/1000*AB73*1600*7</f>
        <v>0</v>
      </c>
    </row>
    <row r="74" spans="2:36" x14ac:dyDescent="0.15">
      <c r="B74" s="106">
        <f t="shared" si="12"/>
        <v>40082</v>
      </c>
      <c r="C74" s="107">
        <f t="shared" si="13"/>
        <v>40088</v>
      </c>
      <c r="D74" s="99">
        <f t="shared" si="14"/>
        <v>40088</v>
      </c>
      <c r="E74" s="91">
        <v>48</v>
      </c>
      <c r="F74" s="407">
        <f>IF(ISERROR(VLOOKUP(E74,Crop!$I$3:$J$70,2,FALSE)),0,VLOOKUP(paddy_Dry!E74,Crop!$I$3:$J$71,2,FALSE))</f>
        <v>0</v>
      </c>
      <c r="G74" s="100">
        <f>IF(ISERROR(HLOOKUP($D$5,Kc!$B$3:$AI$57,paddy_Dry!F74+3,FALSE)),0,HLOOKUP($D$5,Kc!$B$3:$AI$57,paddy_Dry!F74+3,FALSE))</f>
        <v>0</v>
      </c>
      <c r="H74" s="112">
        <f t="shared" si="17"/>
        <v>0</v>
      </c>
      <c r="I74" s="113">
        <f t="shared" si="18"/>
        <v>0</v>
      </c>
      <c r="J74" s="113">
        <f t="shared" si="19"/>
        <v>0</v>
      </c>
      <c r="K74" s="113">
        <f t="shared" si="27"/>
        <v>0</v>
      </c>
      <c r="L74" s="113">
        <f t="shared" si="27"/>
        <v>0</v>
      </c>
      <c r="M74" s="113">
        <f t="shared" si="27"/>
        <v>0</v>
      </c>
      <c r="N74" s="113">
        <f t="shared" si="27"/>
        <v>0</v>
      </c>
      <c r="O74" s="113">
        <f t="shared" si="27"/>
        <v>0</v>
      </c>
      <c r="P74" s="113">
        <f t="shared" si="27"/>
        <v>0</v>
      </c>
      <c r="Q74" s="113">
        <f t="shared" si="27"/>
        <v>0</v>
      </c>
      <c r="R74" s="113">
        <f t="shared" si="27"/>
        <v>0</v>
      </c>
      <c r="S74" s="113">
        <f t="shared" si="27"/>
        <v>0</v>
      </c>
      <c r="T74" s="113">
        <f t="shared" si="27"/>
        <v>0</v>
      </c>
      <c r="U74" s="113">
        <f t="shared" si="28"/>
        <v>0</v>
      </c>
      <c r="V74" s="113">
        <f t="shared" si="28"/>
        <v>0</v>
      </c>
      <c r="W74" s="113">
        <f t="shared" si="28"/>
        <v>0</v>
      </c>
      <c r="X74" s="113">
        <f t="shared" si="28"/>
        <v>0</v>
      </c>
      <c r="Y74" s="113">
        <f t="shared" si="28"/>
        <v>0</v>
      </c>
      <c r="Z74" s="113">
        <f t="shared" si="28"/>
        <v>0</v>
      </c>
      <c r="AA74" s="113">
        <f t="shared" si="28"/>
        <v>0</v>
      </c>
      <c r="AB74" s="117">
        <f t="shared" si="8"/>
        <v>0</v>
      </c>
      <c r="AC74" s="405">
        <f t="shared" si="24"/>
        <v>0</v>
      </c>
      <c r="AD74" s="100">
        <f>VLOOKUP($D$7,ETo!$B$4:$P$88,MONTH(D74)+2,FALSE)/4</f>
        <v>29.411745068861798</v>
      </c>
      <c r="AE74" s="100">
        <f t="shared" si="9"/>
        <v>0</v>
      </c>
      <c r="AF74" s="101">
        <f t="shared" si="10"/>
        <v>0</v>
      </c>
      <c r="AG74" s="101">
        <f t="shared" si="15"/>
        <v>0</v>
      </c>
      <c r="AH74" s="101">
        <f t="shared" si="16"/>
        <v>0</v>
      </c>
      <c r="AI74" s="101">
        <f t="shared" si="11"/>
        <v>0</v>
      </c>
      <c r="AJ74" s="101">
        <f>VLOOKUP(MONTH(D74),[0]!rainforpaddy,4)/1000*AB74*1600*7</f>
        <v>0</v>
      </c>
    </row>
    <row r="75" spans="2:36" x14ac:dyDescent="0.15">
      <c r="B75" s="106">
        <f t="shared" si="12"/>
        <v>40089</v>
      </c>
      <c r="C75" s="107">
        <f t="shared" si="13"/>
        <v>40095</v>
      </c>
      <c r="D75" s="99">
        <f t="shared" si="14"/>
        <v>40095</v>
      </c>
      <c r="E75" s="91">
        <v>49</v>
      </c>
      <c r="F75" s="407">
        <f>IF(ISERROR(VLOOKUP(E75,Crop!$I$3:$J$70,2,FALSE)),0,VLOOKUP(paddy_Dry!E75,Crop!$I$3:$J$71,2,FALSE))</f>
        <v>0</v>
      </c>
      <c r="G75" s="100">
        <f>IF(ISERROR(HLOOKUP($D$5,Kc!$B$3:$AI$57,paddy_Dry!F75+3,FALSE)),0,HLOOKUP($D$5,Kc!$B$3:$AI$57,paddy_Dry!F75+3,FALSE))</f>
        <v>0</v>
      </c>
      <c r="H75" s="112">
        <f t="shared" si="17"/>
        <v>0</v>
      </c>
      <c r="I75" s="113">
        <f t="shared" si="18"/>
        <v>0</v>
      </c>
      <c r="J75" s="113">
        <f t="shared" si="19"/>
        <v>0</v>
      </c>
      <c r="K75" s="113">
        <f t="shared" si="27"/>
        <v>0</v>
      </c>
      <c r="L75" s="113">
        <f t="shared" si="27"/>
        <v>0</v>
      </c>
      <c r="M75" s="113">
        <f t="shared" si="27"/>
        <v>0</v>
      </c>
      <c r="N75" s="113">
        <f t="shared" si="27"/>
        <v>0</v>
      </c>
      <c r="O75" s="113">
        <f t="shared" si="27"/>
        <v>0</v>
      </c>
      <c r="P75" s="113">
        <f t="shared" si="27"/>
        <v>0</v>
      </c>
      <c r="Q75" s="113">
        <f t="shared" si="27"/>
        <v>0</v>
      </c>
      <c r="R75" s="113">
        <f t="shared" si="27"/>
        <v>0</v>
      </c>
      <c r="S75" s="113">
        <f t="shared" si="27"/>
        <v>0</v>
      </c>
      <c r="T75" s="113">
        <f t="shared" si="27"/>
        <v>0</v>
      </c>
      <c r="U75" s="113">
        <f t="shared" si="28"/>
        <v>0</v>
      </c>
      <c r="V75" s="113">
        <f t="shared" si="28"/>
        <v>0</v>
      </c>
      <c r="W75" s="113">
        <f t="shared" si="28"/>
        <v>0</v>
      </c>
      <c r="X75" s="113">
        <f t="shared" si="28"/>
        <v>0</v>
      </c>
      <c r="Y75" s="113">
        <f t="shared" si="28"/>
        <v>0</v>
      </c>
      <c r="Z75" s="113">
        <f t="shared" si="28"/>
        <v>0</v>
      </c>
      <c r="AA75" s="113">
        <f t="shared" si="28"/>
        <v>0</v>
      </c>
      <c r="AB75" s="117">
        <f t="shared" si="8"/>
        <v>0</v>
      </c>
      <c r="AC75" s="405">
        <f t="shared" si="24"/>
        <v>0</v>
      </c>
      <c r="AD75" s="100">
        <f>VLOOKUP($D$7,ETo!$B$4:$P$88,MONTH(D75)+2,FALSE)/4</f>
        <v>29.411745068861798</v>
      </c>
      <c r="AE75" s="100">
        <f t="shared" si="9"/>
        <v>0</v>
      </c>
      <c r="AF75" s="101">
        <f t="shared" si="10"/>
        <v>0</v>
      </c>
      <c r="AG75" s="101">
        <f t="shared" si="15"/>
        <v>0</v>
      </c>
      <c r="AH75" s="101">
        <f t="shared" si="16"/>
        <v>0</v>
      </c>
      <c r="AI75" s="101">
        <f t="shared" si="11"/>
        <v>0</v>
      </c>
      <c r="AJ75" s="101">
        <f>VLOOKUP(MONTH(D75),[0]!rainforpaddy,4)/1000*AB75*1600*7</f>
        <v>0</v>
      </c>
    </row>
    <row r="76" spans="2:36" x14ac:dyDescent="0.15">
      <c r="B76" s="106">
        <f t="shared" si="12"/>
        <v>40096</v>
      </c>
      <c r="C76" s="107">
        <f t="shared" si="13"/>
        <v>40102</v>
      </c>
      <c r="D76" s="99">
        <f t="shared" si="14"/>
        <v>40102</v>
      </c>
      <c r="E76" s="91">
        <v>50</v>
      </c>
      <c r="F76" s="407">
        <f>IF(ISERROR(VLOOKUP(E76,Crop!$I$3:$J$70,2,FALSE)),0,VLOOKUP(paddy_Dry!E76,Crop!$I$3:$J$71,2,FALSE))</f>
        <v>0</v>
      </c>
      <c r="G76" s="100">
        <f>IF(ISERROR(HLOOKUP($D$5,Kc!$B$3:$AI$57,paddy_Dry!F76+3,FALSE)),0,HLOOKUP($D$5,Kc!$B$3:$AI$57,paddy_Dry!F76+3,FALSE))</f>
        <v>0</v>
      </c>
      <c r="H76" s="112">
        <f t="shared" si="17"/>
        <v>0</v>
      </c>
      <c r="I76" s="113">
        <f t="shared" si="18"/>
        <v>0</v>
      </c>
      <c r="J76" s="113">
        <f t="shared" si="19"/>
        <v>0</v>
      </c>
      <c r="K76" s="113">
        <f t="shared" si="27"/>
        <v>0</v>
      </c>
      <c r="L76" s="113">
        <f t="shared" si="27"/>
        <v>0</v>
      </c>
      <c r="M76" s="113">
        <f t="shared" si="27"/>
        <v>0</v>
      </c>
      <c r="N76" s="113">
        <f t="shared" si="27"/>
        <v>0</v>
      </c>
      <c r="O76" s="113">
        <f t="shared" si="27"/>
        <v>0</v>
      </c>
      <c r="P76" s="113">
        <f t="shared" si="27"/>
        <v>0</v>
      </c>
      <c r="Q76" s="113">
        <f t="shared" si="27"/>
        <v>0</v>
      </c>
      <c r="R76" s="113">
        <f t="shared" si="27"/>
        <v>0</v>
      </c>
      <c r="S76" s="113">
        <f t="shared" si="27"/>
        <v>0</v>
      </c>
      <c r="T76" s="113">
        <f t="shared" si="27"/>
        <v>0</v>
      </c>
      <c r="U76" s="113">
        <f t="shared" si="28"/>
        <v>0</v>
      </c>
      <c r="V76" s="113">
        <f t="shared" si="28"/>
        <v>0</v>
      </c>
      <c r="W76" s="113">
        <f t="shared" si="28"/>
        <v>0</v>
      </c>
      <c r="X76" s="113">
        <f t="shared" si="28"/>
        <v>0</v>
      </c>
      <c r="Y76" s="113">
        <f t="shared" si="28"/>
        <v>0</v>
      </c>
      <c r="Z76" s="113">
        <f t="shared" si="28"/>
        <v>0</v>
      </c>
      <c r="AA76" s="113">
        <f t="shared" si="28"/>
        <v>0</v>
      </c>
      <c r="AB76" s="117">
        <f t="shared" si="8"/>
        <v>0</v>
      </c>
      <c r="AC76" s="405">
        <f t="shared" si="24"/>
        <v>0</v>
      </c>
      <c r="AD76" s="100">
        <f>VLOOKUP($D$7,ETo!$B$4:$P$88,MONTH(D76)+2,FALSE)/4</f>
        <v>29.411745068861798</v>
      </c>
      <c r="AE76" s="100">
        <f t="shared" si="9"/>
        <v>0</v>
      </c>
      <c r="AF76" s="101">
        <f t="shared" si="10"/>
        <v>0</v>
      </c>
      <c r="AG76" s="101">
        <f t="shared" si="15"/>
        <v>0</v>
      </c>
      <c r="AH76" s="101">
        <f t="shared" si="16"/>
        <v>0</v>
      </c>
      <c r="AI76" s="101">
        <f t="shared" si="11"/>
        <v>0</v>
      </c>
      <c r="AJ76" s="101">
        <f>VLOOKUP(MONTH(D76),[0]!rainforpaddy,4)/1000*AB76*1600*7</f>
        <v>0</v>
      </c>
    </row>
    <row r="77" spans="2:36" x14ac:dyDescent="0.15">
      <c r="B77" s="106">
        <f t="shared" si="12"/>
        <v>40103</v>
      </c>
      <c r="C77" s="107">
        <f t="shared" si="13"/>
        <v>40109</v>
      </c>
      <c r="D77" s="99">
        <f t="shared" si="14"/>
        <v>40109</v>
      </c>
      <c r="E77" s="91">
        <v>51</v>
      </c>
      <c r="F77" s="407">
        <f>IF(ISERROR(VLOOKUP(E77,Crop!$I$3:$J$70,2,FALSE)),0,VLOOKUP(paddy_Dry!E77,Crop!$I$3:$J$71,2,FALSE))</f>
        <v>0</v>
      </c>
      <c r="G77" s="100">
        <f>IF(ISERROR(HLOOKUP($D$5,Kc!$B$3:$AI$57,paddy_Dry!F77+3,FALSE)),0,HLOOKUP($D$5,Kc!$B$3:$AI$57,paddy_Dry!F77+3,FALSE))</f>
        <v>0</v>
      </c>
      <c r="H77" s="112">
        <f t="shared" si="17"/>
        <v>0</v>
      </c>
      <c r="I77" s="113">
        <f t="shared" si="18"/>
        <v>0</v>
      </c>
      <c r="J77" s="113">
        <f t="shared" si="19"/>
        <v>0</v>
      </c>
      <c r="K77" s="113">
        <f t="shared" si="27"/>
        <v>0</v>
      </c>
      <c r="L77" s="113">
        <f t="shared" si="27"/>
        <v>0</v>
      </c>
      <c r="M77" s="113">
        <f t="shared" si="27"/>
        <v>0</v>
      </c>
      <c r="N77" s="113">
        <f t="shared" si="27"/>
        <v>0</v>
      </c>
      <c r="O77" s="113">
        <f t="shared" si="27"/>
        <v>0</v>
      </c>
      <c r="P77" s="113">
        <f t="shared" si="27"/>
        <v>0</v>
      </c>
      <c r="Q77" s="113">
        <f t="shared" si="27"/>
        <v>0</v>
      </c>
      <c r="R77" s="113">
        <f t="shared" si="27"/>
        <v>0</v>
      </c>
      <c r="S77" s="113">
        <f t="shared" si="27"/>
        <v>0</v>
      </c>
      <c r="T77" s="113">
        <f t="shared" si="27"/>
        <v>0</v>
      </c>
      <c r="U77" s="113">
        <f t="shared" si="28"/>
        <v>0</v>
      </c>
      <c r="V77" s="113">
        <f t="shared" si="28"/>
        <v>0</v>
      </c>
      <c r="W77" s="113">
        <f t="shared" si="28"/>
        <v>0</v>
      </c>
      <c r="X77" s="113">
        <f t="shared" si="28"/>
        <v>0</v>
      </c>
      <c r="Y77" s="113">
        <f t="shared" si="28"/>
        <v>0</v>
      </c>
      <c r="Z77" s="113">
        <f t="shared" si="28"/>
        <v>0</v>
      </c>
      <c r="AA77" s="113">
        <f t="shared" si="28"/>
        <v>0</v>
      </c>
      <c r="AB77" s="117">
        <f t="shared" si="8"/>
        <v>0</v>
      </c>
      <c r="AC77" s="405">
        <f t="shared" si="24"/>
        <v>0</v>
      </c>
      <c r="AD77" s="100">
        <f>VLOOKUP($D$7,ETo!$B$4:$P$88,MONTH(D77)+2,FALSE)/4</f>
        <v>29.411745068861798</v>
      </c>
      <c r="AE77" s="100">
        <f t="shared" si="9"/>
        <v>0</v>
      </c>
      <c r="AF77" s="101">
        <f t="shared" si="10"/>
        <v>0</v>
      </c>
      <c r="AG77" s="101">
        <f t="shared" si="15"/>
        <v>0</v>
      </c>
      <c r="AH77" s="101">
        <f t="shared" si="16"/>
        <v>0</v>
      </c>
      <c r="AI77" s="101">
        <f t="shared" si="11"/>
        <v>0</v>
      </c>
      <c r="AJ77" s="101">
        <f>VLOOKUP(MONTH(D77),[0]!rainforpaddy,4)/1000*AB77*1600*7</f>
        <v>0</v>
      </c>
    </row>
    <row r="78" spans="2:36" x14ac:dyDescent="0.15">
      <c r="B78" s="108">
        <f t="shared" si="12"/>
        <v>40110</v>
      </c>
      <c r="C78" s="109">
        <f t="shared" si="13"/>
        <v>40116</v>
      </c>
      <c r="D78" s="154">
        <f t="shared" si="14"/>
        <v>40116</v>
      </c>
      <c r="E78" s="92">
        <v>52</v>
      </c>
      <c r="F78" s="408">
        <f>IF(ISERROR(VLOOKUP(E78,Crop!$I$3:$J$70,2,FALSE)),0,VLOOKUP(paddy_Dry!E78,Crop!$I$3:$J$71,2,FALSE))</f>
        <v>0</v>
      </c>
      <c r="G78" s="102">
        <f>IF(ISERROR(HLOOKUP($D$5,Kc!$B$3:$AI$57,paddy_Dry!F78+3,FALSE)),0,HLOOKUP($D$5,Kc!$B$3:$AI$57,paddy_Dry!F78+3,FALSE))</f>
        <v>0</v>
      </c>
      <c r="H78" s="114">
        <f t="shared" si="17"/>
        <v>0</v>
      </c>
      <c r="I78" s="115">
        <f t="shared" si="18"/>
        <v>0</v>
      </c>
      <c r="J78" s="115">
        <f t="shared" si="19"/>
        <v>0</v>
      </c>
      <c r="K78" s="115">
        <f t="shared" si="27"/>
        <v>0</v>
      </c>
      <c r="L78" s="115">
        <f t="shared" si="27"/>
        <v>0</v>
      </c>
      <c r="M78" s="115">
        <f t="shared" si="27"/>
        <v>0</v>
      </c>
      <c r="N78" s="115">
        <f t="shared" si="27"/>
        <v>0</v>
      </c>
      <c r="O78" s="115">
        <f t="shared" si="27"/>
        <v>0</v>
      </c>
      <c r="P78" s="115">
        <f t="shared" si="27"/>
        <v>0</v>
      </c>
      <c r="Q78" s="115">
        <f t="shared" si="27"/>
        <v>0</v>
      </c>
      <c r="R78" s="115">
        <f t="shared" si="27"/>
        <v>0</v>
      </c>
      <c r="S78" s="115">
        <f t="shared" si="27"/>
        <v>0</v>
      </c>
      <c r="T78" s="115">
        <f t="shared" si="27"/>
        <v>0</v>
      </c>
      <c r="U78" s="115">
        <f t="shared" si="28"/>
        <v>0</v>
      </c>
      <c r="V78" s="115">
        <f t="shared" si="28"/>
        <v>0</v>
      </c>
      <c r="W78" s="115">
        <f t="shared" si="28"/>
        <v>0</v>
      </c>
      <c r="X78" s="115">
        <f t="shared" si="28"/>
        <v>0</v>
      </c>
      <c r="Y78" s="115">
        <f t="shared" si="28"/>
        <v>0</v>
      </c>
      <c r="Z78" s="115">
        <f t="shared" si="28"/>
        <v>0</v>
      </c>
      <c r="AA78" s="115">
        <f t="shared" si="28"/>
        <v>0</v>
      </c>
      <c r="AB78" s="118">
        <f t="shared" si="8"/>
        <v>0</v>
      </c>
      <c r="AC78" s="406">
        <f t="shared" si="24"/>
        <v>0</v>
      </c>
      <c r="AD78" s="102">
        <f>VLOOKUP($D$7,ETo!$B$4:$P$88,MONTH(D78)+2,FALSE)/4</f>
        <v>29.411745068861798</v>
      </c>
      <c r="AE78" s="102">
        <f t="shared" si="9"/>
        <v>0</v>
      </c>
      <c r="AF78" s="103">
        <f t="shared" si="10"/>
        <v>0</v>
      </c>
      <c r="AG78" s="103">
        <f t="shared" si="15"/>
        <v>0</v>
      </c>
      <c r="AH78" s="103">
        <f t="shared" si="16"/>
        <v>0</v>
      </c>
      <c r="AI78" s="103">
        <f t="shared" si="11"/>
        <v>0</v>
      </c>
      <c r="AJ78" s="103">
        <f>VLOOKUP(MONTH(D78),[0]!rainforpaddy,4)/1000*AB78*1600*7</f>
        <v>0</v>
      </c>
    </row>
    <row r="79" spans="2:36" x14ac:dyDescent="0.15">
      <c r="AI79" s="49">
        <f>SUM(AI27:AI78)</f>
        <v>0</v>
      </c>
      <c r="AJ79" s="49">
        <f>SUM(AJ27:AJ78)</f>
        <v>0</v>
      </c>
    </row>
    <row r="80" spans="2:36" x14ac:dyDescent="0.15">
      <c r="AI80" s="50"/>
    </row>
  </sheetData>
  <sheetProtection password="DD72" sheet="1"/>
  <mergeCells count="3">
    <mergeCell ref="D7:E7"/>
    <mergeCell ref="D4:E4"/>
    <mergeCell ref="D5:E5"/>
  </mergeCells>
  <phoneticPr fontId="2" type="noConversion"/>
  <conditionalFormatting sqref="AE15 F27:AJ78">
    <cfRule type="cellIs" dxfId="6" priority="1" stopIfTrue="1" operator="equal">
      <formula>0</formula>
    </cfRule>
  </conditionalFormatting>
  <printOptions horizontalCentered="1"/>
  <pageMargins left="0.51181102362204722" right="0.51181102362204722" top="0.32" bottom="0.34" header="0.23" footer="0.17"/>
  <pageSetup paperSize="9" scale="64" fitToHeight="2" orientation="landscape"/>
  <headerFooter alignWithMargins="0">
    <oddFooter>&amp;L&amp;Z&amp;F&amp;A&amp;C&amp;P/&amp;N&amp;R&amp;D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D225E-4FAC-CC44-8D14-7429E348D9FF}">
  <sheetPr codeName="Sheet9">
    <tabColor indexed="57"/>
  </sheetPr>
  <dimension ref="B1:AJ82"/>
  <sheetViews>
    <sheetView showGridLines="0" workbookViewId="0">
      <pane xSplit="5" ySplit="26" topLeftCell="F55" activePane="bottomRight" state="frozen"/>
      <selection activeCell="M26" sqref="M26"/>
      <selection pane="topRight" activeCell="M26" sqref="M26"/>
      <selection pane="bottomLeft" activeCell="M26" sqref="M26"/>
      <selection pane="bottomRight" activeCell="J72" sqref="J72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9.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10.1640625" customWidth="1"/>
    <col min="31" max="31" width="9.5" customWidth="1"/>
    <col min="32" max="32" width="12.5" customWidth="1"/>
    <col min="33" max="33" width="8.83203125" customWidth="1"/>
    <col min="34" max="34" width="13" customWidth="1"/>
    <col min="35" max="35" width="14" bestFit="1" customWidth="1"/>
    <col min="36" max="36" width="12.5" customWidth="1"/>
    <col min="37" max="256" width="8.83203125" customWidth="1"/>
  </cols>
  <sheetData>
    <row r="1" spans="2:30" ht="17" thickBot="1" x14ac:dyDescent="0.25">
      <c r="B1" s="51" t="s">
        <v>175</v>
      </c>
    </row>
    <row r="2" spans="2:30" ht="17" thickBot="1" x14ac:dyDescent="0.25">
      <c r="B2" s="51"/>
      <c r="F2" s="403" t="s">
        <v>2</v>
      </c>
      <c r="G2" s="404" t="s">
        <v>371</v>
      </c>
    </row>
    <row r="3" spans="2:30" ht="14" thickBot="1" x14ac:dyDescent="0.2">
      <c r="F3" s="401">
        <v>1</v>
      </c>
      <c r="G3" s="402">
        <f>+fill_data!F9</f>
        <v>9820</v>
      </c>
      <c r="H3" s="46"/>
      <c r="S3" s="410">
        <f>+E6</f>
        <v>36</v>
      </c>
      <c r="T3" s="411">
        <v>1</v>
      </c>
    </row>
    <row r="4" spans="2:30" x14ac:dyDescent="0.15">
      <c r="B4" s="230" t="s">
        <v>108</v>
      </c>
      <c r="C4" s="261"/>
      <c r="D4" s="820" t="str">
        <f>+fill_data!C4</f>
        <v>นครราชสีมา</v>
      </c>
      <c r="E4" s="820"/>
      <c r="F4" s="95">
        <f t="shared" ref="F4:F12" si="0">IF(F3="","",IF(F3+1&lt;=$E$9,F3+1,""))</f>
        <v>2</v>
      </c>
      <c r="G4" s="124">
        <f>+fill_data!F10</f>
        <v>10432</v>
      </c>
      <c r="H4" s="46"/>
      <c r="S4" s="410">
        <f>IF(+S3+1&gt;52,+S3+1-52,S3+1)</f>
        <v>37</v>
      </c>
      <c r="T4" s="411">
        <v>2</v>
      </c>
    </row>
    <row r="5" spans="2:30" x14ac:dyDescent="0.15">
      <c r="B5" s="262" t="s">
        <v>146</v>
      </c>
      <c r="C5" s="228"/>
      <c r="D5" s="822" t="str">
        <f>+fill_data!C10</f>
        <v>ข้าว กข.(นาดำ)</v>
      </c>
      <c r="E5" s="822"/>
      <c r="F5" s="95">
        <f t="shared" si="0"/>
        <v>3</v>
      </c>
      <c r="G5" s="124">
        <f>+fill_data!F11</f>
        <v>12500</v>
      </c>
      <c r="H5" s="46"/>
      <c r="S5" s="410">
        <f t="shared" ref="S5:S22" si="1">IF(+S4+1&gt;52,+S4+1-52,S4+1)</f>
        <v>38</v>
      </c>
      <c r="T5" s="411">
        <v>3</v>
      </c>
    </row>
    <row r="6" spans="2:30" x14ac:dyDescent="0.15">
      <c r="B6" s="263" t="s">
        <v>147</v>
      </c>
      <c r="C6" s="228"/>
      <c r="D6" s="46">
        <f>VLOOKUP(D5,Crop!$B$3:$C$35,2,FALSE)</f>
        <v>13</v>
      </c>
      <c r="E6" s="370">
        <f>+fill_data!D11</f>
        <v>36</v>
      </c>
      <c r="F6" s="95">
        <f t="shared" si="0"/>
        <v>4</v>
      </c>
      <c r="G6" s="124">
        <f>+fill_data!F12</f>
        <v>12979</v>
      </c>
      <c r="H6" s="46"/>
      <c r="S6" s="410">
        <f t="shared" si="1"/>
        <v>39</v>
      </c>
      <c r="T6" s="411">
        <v>4</v>
      </c>
    </row>
    <row r="7" spans="2:30" x14ac:dyDescent="0.15">
      <c r="B7" s="225" t="s">
        <v>377</v>
      </c>
      <c r="C7" s="228"/>
      <c r="D7" s="818" t="str">
        <f>+fill_data!C5</f>
        <v>นครราชสีมา</v>
      </c>
      <c r="E7" s="824"/>
      <c r="F7" s="95" t="str">
        <f t="shared" si="0"/>
        <v/>
      </c>
      <c r="G7" s="124">
        <f>+fill_data!F13</f>
        <v>0</v>
      </c>
      <c r="H7" s="46"/>
      <c r="S7" s="410">
        <f t="shared" si="1"/>
        <v>40</v>
      </c>
      <c r="T7" s="411">
        <v>5</v>
      </c>
    </row>
    <row r="8" spans="2:30" x14ac:dyDescent="0.15">
      <c r="B8" s="227" t="s">
        <v>373</v>
      </c>
      <c r="C8" s="226"/>
      <c r="D8" s="264"/>
      <c r="E8" s="417">
        <f>+fill_data!D12</f>
        <v>45731</v>
      </c>
      <c r="F8" s="95" t="str">
        <f t="shared" si="0"/>
        <v/>
      </c>
      <c r="G8" s="124">
        <f>+fill_data!F14</f>
        <v>0</v>
      </c>
      <c r="H8" s="46"/>
      <c r="S8" s="410">
        <f t="shared" si="1"/>
        <v>41</v>
      </c>
      <c r="T8" s="411">
        <v>6</v>
      </c>
      <c r="AC8" s="148"/>
    </row>
    <row r="9" spans="2:30" x14ac:dyDescent="0.15">
      <c r="B9" s="227" t="s">
        <v>376</v>
      </c>
      <c r="C9" s="228"/>
      <c r="D9" s="265"/>
      <c r="E9" s="370">
        <f>+fill_data!D13</f>
        <v>4</v>
      </c>
      <c r="F9" s="95" t="str">
        <f t="shared" si="0"/>
        <v/>
      </c>
      <c r="G9" s="124">
        <f>+fill_data!F15</f>
        <v>0</v>
      </c>
      <c r="H9" s="46"/>
      <c r="S9" s="410">
        <f t="shared" si="1"/>
        <v>42</v>
      </c>
      <c r="T9" s="411">
        <v>7</v>
      </c>
    </row>
    <row r="10" spans="2:30" x14ac:dyDescent="0.15">
      <c r="B10" s="225" t="s">
        <v>374</v>
      </c>
      <c r="C10" s="228"/>
      <c r="D10" s="265"/>
      <c r="E10" s="370">
        <f>+fill_data!D6</f>
        <v>14</v>
      </c>
      <c r="F10" s="95" t="str">
        <f t="shared" si="0"/>
        <v/>
      </c>
      <c r="G10" s="124">
        <f>+fill_data!F16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43</v>
      </c>
      <c r="T10" s="412">
        <v>8</v>
      </c>
      <c r="U10" s="43"/>
      <c r="V10" s="43"/>
      <c r="W10" s="43"/>
      <c r="X10" s="43"/>
      <c r="Y10" s="43"/>
      <c r="Z10" s="43"/>
      <c r="AA10" s="43"/>
    </row>
    <row r="11" spans="2:30" ht="14" thickBot="1" x14ac:dyDescent="0.2">
      <c r="B11" s="224" t="s">
        <v>375</v>
      </c>
      <c r="C11" s="229"/>
      <c r="D11" s="266"/>
      <c r="E11" s="371">
        <f>+fill_data!D14</f>
        <v>100</v>
      </c>
      <c r="F11" s="95" t="str">
        <f t="shared" si="0"/>
        <v/>
      </c>
      <c r="G11" s="124">
        <f>+fill_data!F17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44</v>
      </c>
      <c r="T11" s="411">
        <v>9</v>
      </c>
      <c r="U11" s="48"/>
      <c r="V11" s="48"/>
      <c r="W11" s="48"/>
      <c r="X11" s="48"/>
      <c r="Y11" s="48"/>
      <c r="Z11" s="48"/>
      <c r="AA11" s="48"/>
    </row>
    <row r="12" spans="2:30" x14ac:dyDescent="0.15">
      <c r="B12" s="44"/>
      <c r="C12" s="44"/>
      <c r="D12" s="44"/>
      <c r="E12" s="45"/>
      <c r="F12" s="372" t="str">
        <f t="shared" si="0"/>
        <v/>
      </c>
      <c r="G12" s="124">
        <f>+fill_data!F18</f>
        <v>0</v>
      </c>
      <c r="H12" s="46"/>
      <c r="S12" s="410">
        <f t="shared" si="1"/>
        <v>45</v>
      </c>
      <c r="T12" s="411">
        <v>10</v>
      </c>
      <c r="AD12">
        <f>+MONTH(D32)</f>
        <v>12</v>
      </c>
    </row>
    <row r="13" spans="2:30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+fill_data!F19</f>
        <v>0</v>
      </c>
      <c r="H13" s="46"/>
      <c r="S13" s="410">
        <f t="shared" si="1"/>
        <v>46</v>
      </c>
      <c r="T13" s="411">
        <v>11</v>
      </c>
    </row>
    <row r="14" spans="2:30" hidden="1" x14ac:dyDescent="0.15">
      <c r="B14" s="44"/>
      <c r="C14" s="44"/>
      <c r="D14" s="44"/>
      <c r="E14" s="45"/>
      <c r="F14" s="372" t="str">
        <f t="shared" si="2"/>
        <v/>
      </c>
      <c r="G14" s="124">
        <f>+fill_data!F20</f>
        <v>0</v>
      </c>
      <c r="H14" s="46"/>
      <c r="S14" s="410">
        <f t="shared" si="1"/>
        <v>47</v>
      </c>
      <c r="T14" s="411">
        <v>12</v>
      </c>
    </row>
    <row r="15" spans="2:30" hidden="1" x14ac:dyDescent="0.15">
      <c r="B15" s="44"/>
      <c r="C15" s="44"/>
      <c r="D15" s="44"/>
      <c r="E15" s="45"/>
      <c r="F15" s="372" t="str">
        <f t="shared" si="2"/>
        <v/>
      </c>
      <c r="G15" s="124">
        <f>+fill_data!F21</f>
        <v>0</v>
      </c>
      <c r="H15" s="46"/>
      <c r="S15" s="410">
        <f t="shared" si="1"/>
        <v>48</v>
      </c>
      <c r="T15" s="411">
        <v>13</v>
      </c>
    </row>
    <row r="16" spans="2:30" hidden="1" x14ac:dyDescent="0.15">
      <c r="B16" s="44"/>
      <c r="C16" s="44"/>
      <c r="D16" s="44"/>
      <c r="E16" s="45"/>
      <c r="F16" s="372" t="str">
        <f t="shared" si="2"/>
        <v/>
      </c>
      <c r="G16" s="124">
        <f>+fill_data!F22</f>
        <v>0</v>
      </c>
      <c r="H16" s="46"/>
      <c r="S16" s="410">
        <f t="shared" si="1"/>
        <v>49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+fill_data!F23</f>
        <v>0</v>
      </c>
      <c r="H17" s="46"/>
      <c r="S17" s="410">
        <f t="shared" si="1"/>
        <v>50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+fill_data!F24</f>
        <v>0</v>
      </c>
      <c r="H18" s="46"/>
      <c r="S18" s="410">
        <f t="shared" si="1"/>
        <v>51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+fill_data!F25</f>
        <v>0</v>
      </c>
      <c r="H19" s="46"/>
      <c r="S19" s="410">
        <f t="shared" si="1"/>
        <v>52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+fill_data!F26</f>
        <v>0</v>
      </c>
      <c r="H20" s="46"/>
      <c r="S20" s="410">
        <f t="shared" si="1"/>
        <v>1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+fill_data!F27</f>
        <v>0</v>
      </c>
      <c r="H21" s="46"/>
      <c r="S21" s="410">
        <f t="shared" si="1"/>
        <v>2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+fill_data!F28</f>
        <v>0</v>
      </c>
      <c r="H22" s="46"/>
      <c r="S22" s="410">
        <f t="shared" si="1"/>
        <v>3</v>
      </c>
      <c r="T22" s="411">
        <v>20</v>
      </c>
    </row>
    <row r="23" spans="2:36" x14ac:dyDescent="0.15">
      <c r="B23" s="44"/>
      <c r="C23" s="44"/>
      <c r="D23" s="44"/>
      <c r="E23" s="45"/>
      <c r="H23" s="46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v>39759</v>
      </c>
      <c r="D27" s="99">
        <f t="shared" ref="D27:D58" si="3">+C27</f>
        <v>39759</v>
      </c>
      <c r="E27" s="90">
        <v>1</v>
      </c>
      <c r="F27" s="176">
        <f>IF(ISERROR(VLOOKUP(E27,Crop!$X$3:$Y$70,2,FALSE)),0,VLOOKUP(E27,Crop!$X$3:$Y$70,2,FALSE))</f>
        <v>0</v>
      </c>
      <c r="G27" s="97">
        <f>IF(ISERROR(HLOOKUP($D$5,Kc!$B$3:$AI$57,paddy_rain!F27+3,FALSE)),0,HLOOKUP($D$5,Kc!$B$3:$AI$57,paddy_rain!F27+3,FALSE))</f>
        <v>0</v>
      </c>
      <c r="H27" s="110">
        <f t="shared" ref="H27:H35" si="4">IF(G27&gt;0,IF(H$26&gt;$E$9,0,VLOOKUP(H$26,$F$3:$G$23,2,FALSE)),0)</f>
        <v>0</v>
      </c>
      <c r="I27" s="111">
        <f t="shared" ref="I27:R27" si="5">IF(H78&gt;0,IF(I$26&gt;$E$9,0,VLOOKUP(I$26,$F$3:$G$23,2,FALSE)),0)</f>
        <v>0</v>
      </c>
      <c r="J27" s="111">
        <f t="shared" si="5"/>
        <v>0</v>
      </c>
      <c r="K27" s="111">
        <f t="shared" si="5"/>
        <v>0</v>
      </c>
      <c r="L27" s="111">
        <f t="shared" si="5"/>
        <v>0</v>
      </c>
      <c r="M27" s="111">
        <f t="shared" si="5"/>
        <v>0</v>
      </c>
      <c r="N27" s="111">
        <f t="shared" si="5"/>
        <v>0</v>
      </c>
      <c r="O27" s="111">
        <f t="shared" si="5"/>
        <v>0</v>
      </c>
      <c r="P27" s="111">
        <f t="shared" si="5"/>
        <v>0</v>
      </c>
      <c r="Q27" s="111">
        <f t="shared" si="5"/>
        <v>0</v>
      </c>
      <c r="R27" s="111">
        <f t="shared" si="5"/>
        <v>0</v>
      </c>
      <c r="S27" s="111">
        <f t="shared" ref="S27:AA27" si="6">IF(R78&gt;0,IF(S$26&gt;$E$9,0,VLOOKUP(S$26,$F$3:$G$23,2,FALSE)),0)</f>
        <v>0</v>
      </c>
      <c r="T27" s="111">
        <f t="shared" si="6"/>
        <v>0</v>
      </c>
      <c r="U27" s="111">
        <f t="shared" si="6"/>
        <v>0</v>
      </c>
      <c r="V27" s="111">
        <f t="shared" si="6"/>
        <v>0</v>
      </c>
      <c r="W27" s="111">
        <f t="shared" si="6"/>
        <v>0</v>
      </c>
      <c r="X27" s="111">
        <f t="shared" si="6"/>
        <v>0</v>
      </c>
      <c r="Y27" s="111">
        <f t="shared" si="6"/>
        <v>0</v>
      </c>
      <c r="Z27" s="111">
        <f t="shared" si="6"/>
        <v>0</v>
      </c>
      <c r="AA27" s="111">
        <f t="shared" si="6"/>
        <v>0</v>
      </c>
      <c r="AB27" s="116">
        <f>SUM(H27:AA27)</f>
        <v>0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0</v>
      </c>
      <c r="AD27" s="97">
        <f>VLOOKUP($D$7,ETo!$B$4:$P$88,MONTH(D27)+2,FALSE)/4</f>
        <v>26.334910938750578</v>
      </c>
      <c r="AE27" s="97">
        <f t="shared" ref="AE27:AE58" si="7">IF(AC27*AD27=0,0,(AC27*AD27)+$E$10)</f>
        <v>0</v>
      </c>
      <c r="AF27" s="98">
        <f t="shared" ref="AF27:AF58" si="8">AE27*AB27*1.6</f>
        <v>0</v>
      </c>
      <c r="AG27" s="98">
        <f t="shared" ref="AG27:AG58" si="9">IF(ISERROR(INDEX(H27:L27,1,F27)),0,INDEX(H27:L27,1,F27))</f>
        <v>0</v>
      </c>
      <c r="AH27" s="98">
        <f t="shared" ref="AH27:AH58" si="10">AG27*$E$11*1.6</f>
        <v>0</v>
      </c>
      <c r="AI27" s="98">
        <f t="shared" ref="AI27:AI58" si="11">AF27+AH27</f>
        <v>0</v>
      </c>
      <c r="AJ27" s="98">
        <f>VLOOKUP(MONTH(D27),[0]!rainforpaddy,4)/1000*AB27*1600*7</f>
        <v>0</v>
      </c>
    </row>
    <row r="28" spans="2:36" x14ac:dyDescent="0.15">
      <c r="B28" s="106">
        <f t="shared" ref="B28:B59" si="12">C27+1</f>
        <v>39760</v>
      </c>
      <c r="C28" s="107">
        <f t="shared" ref="C28:C59" si="13">B28+6</f>
        <v>39766</v>
      </c>
      <c r="D28" s="99">
        <f t="shared" si="3"/>
        <v>39766</v>
      </c>
      <c r="E28" s="91">
        <v>2</v>
      </c>
      <c r="F28" s="407">
        <f>IF(ISERROR(VLOOKUP(E28,Crop!$X$3:$Y$70,2,FALSE)),0,VLOOKUP(E28,Crop!$X$3:$Y$70,2,FALSE))</f>
        <v>0</v>
      </c>
      <c r="G28" s="100">
        <f>IF(ISERROR(HLOOKUP($D$5,Kc!$B$3:$AI$57,paddy_rain!F28+3,FALSE)),0,HLOOKUP($D$5,Kc!$B$3:$AI$57,paddy_rain!F28+3,FALSE))</f>
        <v>0</v>
      </c>
      <c r="H28" s="112">
        <f t="shared" si="4"/>
        <v>0</v>
      </c>
      <c r="I28" s="113">
        <f t="shared" ref="I28:R36" si="14">IF(H27&gt;0,IF(I$26&gt;$E$9,0,VLOOKUP(I$26,$F$3:$G$23,2,FALSE)),0)</f>
        <v>0</v>
      </c>
      <c r="J28" s="113">
        <f t="shared" si="14"/>
        <v>0</v>
      </c>
      <c r="K28" s="113">
        <f t="shared" si="14"/>
        <v>0</v>
      </c>
      <c r="L28" s="113">
        <f t="shared" si="14"/>
        <v>0</v>
      </c>
      <c r="M28" s="113">
        <f t="shared" si="14"/>
        <v>0</v>
      </c>
      <c r="N28" s="113">
        <f t="shared" si="14"/>
        <v>0</v>
      </c>
      <c r="O28" s="113">
        <f t="shared" si="14"/>
        <v>0</v>
      </c>
      <c r="P28" s="113">
        <f t="shared" si="14"/>
        <v>0</v>
      </c>
      <c r="Q28" s="113">
        <f t="shared" si="14"/>
        <v>0</v>
      </c>
      <c r="R28" s="113">
        <f t="shared" si="14"/>
        <v>0</v>
      </c>
      <c r="S28" s="113">
        <f t="shared" ref="S28:AA36" si="15">IF(R27&gt;0,IF(S$26&gt;$E$9,0,VLOOKUP(S$26,$F$3:$G$23,2,FALSE)),0)</f>
        <v>0</v>
      </c>
      <c r="T28" s="113">
        <f t="shared" si="15"/>
        <v>0</v>
      </c>
      <c r="U28" s="113">
        <f t="shared" si="15"/>
        <v>0</v>
      </c>
      <c r="V28" s="113">
        <f t="shared" si="15"/>
        <v>0</v>
      </c>
      <c r="W28" s="113">
        <f t="shared" si="15"/>
        <v>0</v>
      </c>
      <c r="X28" s="113">
        <f t="shared" si="15"/>
        <v>0</v>
      </c>
      <c r="Y28" s="113">
        <f t="shared" si="15"/>
        <v>0</v>
      </c>
      <c r="Z28" s="113">
        <f t="shared" si="15"/>
        <v>0</v>
      </c>
      <c r="AA28" s="113">
        <f t="shared" si="15"/>
        <v>0</v>
      </c>
      <c r="AB28" s="117">
        <f t="shared" ref="AB28:AB78" si="16">SUM(H28:AA28)</f>
        <v>0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0</v>
      </c>
      <c r="AD28" s="100">
        <f>VLOOKUP($D$7,ETo!$B$4:$P$88,MONTH(D28)+2,FALSE)/4</f>
        <v>26.334910938750578</v>
      </c>
      <c r="AE28" s="100">
        <f t="shared" si="7"/>
        <v>0</v>
      </c>
      <c r="AF28" s="101">
        <f t="shared" si="8"/>
        <v>0</v>
      </c>
      <c r="AG28" s="101">
        <f t="shared" si="9"/>
        <v>0</v>
      </c>
      <c r="AH28" s="101">
        <f t="shared" si="10"/>
        <v>0</v>
      </c>
      <c r="AI28" s="101">
        <f t="shared" si="11"/>
        <v>0</v>
      </c>
      <c r="AJ28" s="101">
        <f>VLOOKUP(MONTH(D28),[0]!rainforpaddy,4)/1000*AB28*1600*7</f>
        <v>0</v>
      </c>
    </row>
    <row r="29" spans="2:36" x14ac:dyDescent="0.15">
      <c r="B29" s="106">
        <f t="shared" si="12"/>
        <v>39767</v>
      </c>
      <c r="C29" s="107">
        <f t="shared" si="13"/>
        <v>39773</v>
      </c>
      <c r="D29" s="99">
        <f t="shared" si="3"/>
        <v>39773</v>
      </c>
      <c r="E29" s="91">
        <v>3</v>
      </c>
      <c r="F29" s="407">
        <f>IF(ISERROR(VLOOKUP(E29,Crop!$X$3:$Y$70,2,FALSE)),0,VLOOKUP(E29,Crop!$X$3:$Y$70,2,FALSE))</f>
        <v>0</v>
      </c>
      <c r="G29" s="100">
        <f>IF(ISERROR(HLOOKUP($D$5,Kc!$B$3:$AI$57,paddy_rain!F29+3,FALSE)),0,HLOOKUP($D$5,Kc!$B$3:$AI$57,paddy_rain!F29+3,FALSE))</f>
        <v>0</v>
      </c>
      <c r="H29" s="112">
        <f t="shared" si="4"/>
        <v>0</v>
      </c>
      <c r="I29" s="113">
        <f t="shared" si="14"/>
        <v>0</v>
      </c>
      <c r="J29" s="113">
        <f t="shared" si="14"/>
        <v>0</v>
      </c>
      <c r="K29" s="113">
        <f t="shared" si="14"/>
        <v>0</v>
      </c>
      <c r="L29" s="113">
        <f t="shared" si="14"/>
        <v>0</v>
      </c>
      <c r="M29" s="113">
        <f t="shared" si="14"/>
        <v>0</v>
      </c>
      <c r="N29" s="113">
        <f t="shared" si="14"/>
        <v>0</v>
      </c>
      <c r="O29" s="113">
        <f t="shared" si="14"/>
        <v>0</v>
      </c>
      <c r="P29" s="113">
        <f t="shared" si="14"/>
        <v>0</v>
      </c>
      <c r="Q29" s="113">
        <f t="shared" si="14"/>
        <v>0</v>
      </c>
      <c r="R29" s="113">
        <f t="shared" si="14"/>
        <v>0</v>
      </c>
      <c r="S29" s="113">
        <f t="shared" si="15"/>
        <v>0</v>
      </c>
      <c r="T29" s="113">
        <f t="shared" si="15"/>
        <v>0</v>
      </c>
      <c r="U29" s="113">
        <f t="shared" si="15"/>
        <v>0</v>
      </c>
      <c r="V29" s="113">
        <f t="shared" si="15"/>
        <v>0</v>
      </c>
      <c r="W29" s="113">
        <f t="shared" si="15"/>
        <v>0</v>
      </c>
      <c r="X29" s="113">
        <f t="shared" si="15"/>
        <v>0</v>
      </c>
      <c r="Y29" s="113">
        <f t="shared" si="15"/>
        <v>0</v>
      </c>
      <c r="Z29" s="113">
        <f t="shared" si="15"/>
        <v>0</v>
      </c>
      <c r="AA29" s="113">
        <f t="shared" si="15"/>
        <v>0</v>
      </c>
      <c r="AB29" s="117">
        <f t="shared" si="16"/>
        <v>0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0</v>
      </c>
      <c r="AD29" s="100">
        <f>VLOOKUP($D$7,ETo!$B$4:$P$88,MONTH(D29)+2,FALSE)/4</f>
        <v>26.334910938750578</v>
      </c>
      <c r="AE29" s="100">
        <f t="shared" si="7"/>
        <v>0</v>
      </c>
      <c r="AF29" s="101">
        <f t="shared" si="8"/>
        <v>0</v>
      </c>
      <c r="AG29" s="101">
        <f t="shared" si="9"/>
        <v>0</v>
      </c>
      <c r="AH29" s="101">
        <f t="shared" si="10"/>
        <v>0</v>
      </c>
      <c r="AI29" s="101">
        <f t="shared" si="11"/>
        <v>0</v>
      </c>
      <c r="AJ29" s="101">
        <f>VLOOKUP(MONTH(D29),[0]!rainforpaddy,4)/1000*AB29*1600*7</f>
        <v>0</v>
      </c>
    </row>
    <row r="30" spans="2:36" x14ac:dyDescent="0.15">
      <c r="B30" s="106">
        <f t="shared" si="12"/>
        <v>39774</v>
      </c>
      <c r="C30" s="107">
        <f t="shared" si="13"/>
        <v>39780</v>
      </c>
      <c r="D30" s="99">
        <f t="shared" si="3"/>
        <v>39780</v>
      </c>
      <c r="E30" s="91">
        <v>4</v>
      </c>
      <c r="F30" s="407">
        <f>IF(ISERROR(VLOOKUP(E30,Crop!$X$3:$Y$70,2,FALSE)),0,VLOOKUP(E30,Crop!$X$3:$Y$70,2,FALSE))</f>
        <v>0</v>
      </c>
      <c r="G30" s="100">
        <f>IF(ISERROR(HLOOKUP($D$5,Kc!$B$3:$AI$57,paddy_rain!F30+3,FALSE)),0,HLOOKUP($D$5,Kc!$B$3:$AI$57,paddy_rain!F30+3,FALSE))</f>
        <v>0</v>
      </c>
      <c r="H30" s="112">
        <f t="shared" si="4"/>
        <v>0</v>
      </c>
      <c r="I30" s="113">
        <f t="shared" si="14"/>
        <v>0</v>
      </c>
      <c r="J30" s="113">
        <f t="shared" si="14"/>
        <v>0</v>
      </c>
      <c r="K30" s="113">
        <f t="shared" si="14"/>
        <v>0</v>
      </c>
      <c r="L30" s="113">
        <f t="shared" si="14"/>
        <v>0</v>
      </c>
      <c r="M30" s="113">
        <f t="shared" si="14"/>
        <v>0</v>
      </c>
      <c r="N30" s="113">
        <f t="shared" si="14"/>
        <v>0</v>
      </c>
      <c r="O30" s="113">
        <f t="shared" si="14"/>
        <v>0</v>
      </c>
      <c r="P30" s="113">
        <f t="shared" si="14"/>
        <v>0</v>
      </c>
      <c r="Q30" s="113">
        <f t="shared" si="14"/>
        <v>0</v>
      </c>
      <c r="R30" s="113">
        <f t="shared" si="14"/>
        <v>0</v>
      </c>
      <c r="S30" s="113">
        <f t="shared" si="15"/>
        <v>0</v>
      </c>
      <c r="T30" s="113">
        <f t="shared" si="15"/>
        <v>0</v>
      </c>
      <c r="U30" s="113">
        <f t="shared" si="15"/>
        <v>0</v>
      </c>
      <c r="V30" s="113">
        <f t="shared" si="15"/>
        <v>0</v>
      </c>
      <c r="W30" s="113">
        <f t="shared" si="15"/>
        <v>0</v>
      </c>
      <c r="X30" s="113">
        <f t="shared" si="15"/>
        <v>0</v>
      </c>
      <c r="Y30" s="113">
        <f t="shared" si="15"/>
        <v>0</v>
      </c>
      <c r="Z30" s="113">
        <f t="shared" si="15"/>
        <v>0</v>
      </c>
      <c r="AA30" s="113">
        <f t="shared" si="15"/>
        <v>0</v>
      </c>
      <c r="AB30" s="117">
        <f t="shared" si="16"/>
        <v>0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0</v>
      </c>
      <c r="AD30" s="100">
        <f>VLOOKUP($D$7,ETo!$B$4:$P$88,MONTH(D30)+2,FALSE)/4</f>
        <v>26.334910938750578</v>
      </c>
      <c r="AE30" s="100">
        <f t="shared" si="7"/>
        <v>0</v>
      </c>
      <c r="AF30" s="101">
        <f t="shared" si="8"/>
        <v>0</v>
      </c>
      <c r="AG30" s="101">
        <f t="shared" si="9"/>
        <v>0</v>
      </c>
      <c r="AH30" s="101">
        <f t="shared" si="10"/>
        <v>0</v>
      </c>
      <c r="AI30" s="101">
        <f t="shared" si="11"/>
        <v>0</v>
      </c>
      <c r="AJ30" s="101">
        <f>VLOOKUP(MONTH(D30),[0]!rainforpaddy,4)/1000*AB30*1600*7</f>
        <v>0</v>
      </c>
    </row>
    <row r="31" spans="2:36" x14ac:dyDescent="0.15">
      <c r="B31" s="106">
        <f t="shared" si="12"/>
        <v>39781</v>
      </c>
      <c r="C31" s="107">
        <f t="shared" si="13"/>
        <v>39787</v>
      </c>
      <c r="D31" s="99">
        <f t="shared" si="3"/>
        <v>39787</v>
      </c>
      <c r="E31" s="91">
        <v>5</v>
      </c>
      <c r="F31" s="407">
        <f>IF(ISERROR(VLOOKUP(E31,Crop!$X$3:$Y$70,2,FALSE)),0,VLOOKUP(E31,Crop!$X$3:$Y$70,2,FALSE))</f>
        <v>0</v>
      </c>
      <c r="G31" s="100">
        <f>IF(ISERROR(HLOOKUP($D$5,Kc!$B$3:$AI$57,paddy_rain!F31+3,FALSE)),0,HLOOKUP($D$5,Kc!$B$3:$AI$57,paddy_rain!F31+3,FALSE))</f>
        <v>0</v>
      </c>
      <c r="H31" s="112">
        <f t="shared" si="4"/>
        <v>0</v>
      </c>
      <c r="I31" s="113">
        <f t="shared" si="14"/>
        <v>0</v>
      </c>
      <c r="J31" s="113">
        <f t="shared" si="14"/>
        <v>0</v>
      </c>
      <c r="K31" s="113">
        <f t="shared" si="14"/>
        <v>0</v>
      </c>
      <c r="L31" s="113">
        <f t="shared" si="14"/>
        <v>0</v>
      </c>
      <c r="M31" s="113">
        <f t="shared" si="14"/>
        <v>0</v>
      </c>
      <c r="N31" s="113">
        <f t="shared" si="14"/>
        <v>0</v>
      </c>
      <c r="O31" s="113">
        <f t="shared" si="14"/>
        <v>0</v>
      </c>
      <c r="P31" s="113">
        <f t="shared" si="14"/>
        <v>0</v>
      </c>
      <c r="Q31" s="113">
        <f t="shared" si="14"/>
        <v>0</v>
      </c>
      <c r="R31" s="113">
        <f t="shared" si="14"/>
        <v>0</v>
      </c>
      <c r="S31" s="113">
        <f t="shared" si="15"/>
        <v>0</v>
      </c>
      <c r="T31" s="113">
        <f t="shared" si="15"/>
        <v>0</v>
      </c>
      <c r="U31" s="113">
        <f t="shared" si="15"/>
        <v>0</v>
      </c>
      <c r="V31" s="113">
        <f t="shared" si="15"/>
        <v>0</v>
      </c>
      <c r="W31" s="113">
        <f t="shared" si="15"/>
        <v>0</v>
      </c>
      <c r="X31" s="113">
        <f t="shared" si="15"/>
        <v>0</v>
      </c>
      <c r="Y31" s="113">
        <f t="shared" si="15"/>
        <v>0</v>
      </c>
      <c r="Z31" s="113">
        <f t="shared" si="15"/>
        <v>0</v>
      </c>
      <c r="AA31" s="113">
        <f t="shared" si="15"/>
        <v>0</v>
      </c>
      <c r="AB31" s="117">
        <f t="shared" si="16"/>
        <v>0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0</v>
      </c>
      <c r="AD31" s="100">
        <f>VLOOKUP($D$7,ETo!$B$4:$P$88,MONTH(D31)+2,FALSE)/4</f>
        <v>25.152990420694501</v>
      </c>
      <c r="AE31" s="100">
        <f t="shared" si="7"/>
        <v>0</v>
      </c>
      <c r="AF31" s="101">
        <f t="shared" si="8"/>
        <v>0</v>
      </c>
      <c r="AG31" s="101">
        <f t="shared" si="9"/>
        <v>0</v>
      </c>
      <c r="AH31" s="101">
        <f t="shared" si="10"/>
        <v>0</v>
      </c>
      <c r="AI31" s="101">
        <f t="shared" si="11"/>
        <v>0</v>
      </c>
      <c r="AJ31" s="101">
        <f>VLOOKUP(MONTH(D31),[0]!rainforpaddy,4)/1000*AB31*1600*7</f>
        <v>0</v>
      </c>
    </row>
    <row r="32" spans="2:36" x14ac:dyDescent="0.15">
      <c r="B32" s="106">
        <f t="shared" si="12"/>
        <v>39788</v>
      </c>
      <c r="C32" s="107">
        <f t="shared" si="13"/>
        <v>39794</v>
      </c>
      <c r="D32" s="99">
        <f t="shared" si="3"/>
        <v>39794</v>
      </c>
      <c r="E32" s="91">
        <v>6</v>
      </c>
      <c r="F32" s="407">
        <f>IF(ISERROR(VLOOKUP(E32,Crop!$X$3:$Y$70,2,FALSE)),0,VLOOKUP(E32,Crop!$X$3:$Y$70,2,FALSE))</f>
        <v>0</v>
      </c>
      <c r="G32" s="100">
        <f>IF(ISERROR(HLOOKUP($D$5,Kc!$B$3:$AI$57,paddy_rain!F32+3,FALSE)),0,HLOOKUP($D$5,Kc!$B$3:$AI$57,paddy_rain!F32+3,FALSE))</f>
        <v>0</v>
      </c>
      <c r="H32" s="112">
        <f t="shared" si="4"/>
        <v>0</v>
      </c>
      <c r="I32" s="113">
        <f t="shared" si="14"/>
        <v>0</v>
      </c>
      <c r="J32" s="113">
        <f t="shared" si="14"/>
        <v>0</v>
      </c>
      <c r="K32" s="113">
        <f t="shared" si="14"/>
        <v>0</v>
      </c>
      <c r="L32" s="113">
        <f t="shared" si="14"/>
        <v>0</v>
      </c>
      <c r="M32" s="113">
        <f t="shared" si="14"/>
        <v>0</v>
      </c>
      <c r="N32" s="113">
        <f t="shared" si="14"/>
        <v>0</v>
      </c>
      <c r="O32" s="113">
        <f t="shared" si="14"/>
        <v>0</v>
      </c>
      <c r="P32" s="113">
        <f t="shared" si="14"/>
        <v>0</v>
      </c>
      <c r="Q32" s="113">
        <f t="shared" si="14"/>
        <v>0</v>
      </c>
      <c r="R32" s="113">
        <f t="shared" si="14"/>
        <v>0</v>
      </c>
      <c r="S32" s="113">
        <f t="shared" si="15"/>
        <v>0</v>
      </c>
      <c r="T32" s="113">
        <f t="shared" si="15"/>
        <v>0</v>
      </c>
      <c r="U32" s="113">
        <f t="shared" si="15"/>
        <v>0</v>
      </c>
      <c r="V32" s="113">
        <f t="shared" si="15"/>
        <v>0</v>
      </c>
      <c r="W32" s="113">
        <f t="shared" si="15"/>
        <v>0</v>
      </c>
      <c r="X32" s="113">
        <f t="shared" si="15"/>
        <v>0</v>
      </c>
      <c r="Y32" s="113">
        <f t="shared" si="15"/>
        <v>0</v>
      </c>
      <c r="Z32" s="113">
        <f t="shared" si="15"/>
        <v>0</v>
      </c>
      <c r="AA32" s="113">
        <f t="shared" si="15"/>
        <v>0</v>
      </c>
      <c r="AB32" s="117">
        <f t="shared" si="16"/>
        <v>0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0</v>
      </c>
      <c r="AD32" s="100">
        <f>VLOOKUP($D$7,ETo!$B$4:$P$88,MONTH(D32)+2,FALSE)/4</f>
        <v>25.152990420694501</v>
      </c>
      <c r="AE32" s="100">
        <f t="shared" si="7"/>
        <v>0</v>
      </c>
      <c r="AF32" s="101">
        <f t="shared" si="8"/>
        <v>0</v>
      </c>
      <c r="AG32" s="101">
        <f t="shared" si="9"/>
        <v>0</v>
      </c>
      <c r="AH32" s="101">
        <f t="shared" si="10"/>
        <v>0</v>
      </c>
      <c r="AI32" s="101">
        <f t="shared" si="11"/>
        <v>0</v>
      </c>
      <c r="AJ32" s="101">
        <f>VLOOKUP(MONTH(D32),[0]!rainforpaddy,4)/1000*AB32*1600*7</f>
        <v>0</v>
      </c>
    </row>
    <row r="33" spans="2:36" x14ac:dyDescent="0.15">
      <c r="B33" s="106">
        <f t="shared" si="12"/>
        <v>39795</v>
      </c>
      <c r="C33" s="107">
        <f t="shared" si="13"/>
        <v>39801</v>
      </c>
      <c r="D33" s="99">
        <f t="shared" si="3"/>
        <v>39801</v>
      </c>
      <c r="E33" s="91">
        <v>7</v>
      </c>
      <c r="F33" s="407">
        <f>IF(ISERROR(VLOOKUP(E33,Crop!$X$3:$Y$70,2,FALSE)),0,VLOOKUP(E33,Crop!$X$3:$Y$70,2,FALSE))</f>
        <v>0</v>
      </c>
      <c r="G33" s="100">
        <f>IF(ISERROR(HLOOKUP($D$5,Kc!$B$3:$AI$57,paddy_rain!F33+3,FALSE)),0,HLOOKUP($D$5,Kc!$B$3:$AI$57,paddy_rain!F33+3,FALSE))</f>
        <v>0</v>
      </c>
      <c r="H33" s="112">
        <f t="shared" si="4"/>
        <v>0</v>
      </c>
      <c r="I33" s="113">
        <f t="shared" si="14"/>
        <v>0</v>
      </c>
      <c r="J33" s="113">
        <f t="shared" si="14"/>
        <v>0</v>
      </c>
      <c r="K33" s="113">
        <f t="shared" si="14"/>
        <v>0</v>
      </c>
      <c r="L33" s="113">
        <f t="shared" si="14"/>
        <v>0</v>
      </c>
      <c r="M33" s="113">
        <f t="shared" si="14"/>
        <v>0</v>
      </c>
      <c r="N33" s="113">
        <f t="shared" si="14"/>
        <v>0</v>
      </c>
      <c r="O33" s="113">
        <f t="shared" si="14"/>
        <v>0</v>
      </c>
      <c r="P33" s="113">
        <f t="shared" si="14"/>
        <v>0</v>
      </c>
      <c r="Q33" s="113">
        <f t="shared" si="14"/>
        <v>0</v>
      </c>
      <c r="R33" s="113">
        <f t="shared" si="14"/>
        <v>0</v>
      </c>
      <c r="S33" s="113">
        <f t="shared" si="15"/>
        <v>0</v>
      </c>
      <c r="T33" s="113">
        <f t="shared" si="15"/>
        <v>0</v>
      </c>
      <c r="U33" s="113">
        <f t="shared" si="15"/>
        <v>0</v>
      </c>
      <c r="V33" s="113">
        <f t="shared" si="15"/>
        <v>0</v>
      </c>
      <c r="W33" s="113">
        <f t="shared" si="15"/>
        <v>0</v>
      </c>
      <c r="X33" s="113">
        <f t="shared" si="15"/>
        <v>0</v>
      </c>
      <c r="Y33" s="113">
        <f t="shared" si="15"/>
        <v>0</v>
      </c>
      <c r="Z33" s="113">
        <f t="shared" si="15"/>
        <v>0</v>
      </c>
      <c r="AA33" s="113">
        <f t="shared" si="15"/>
        <v>0</v>
      </c>
      <c r="AB33" s="117">
        <f t="shared" si="16"/>
        <v>0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0</v>
      </c>
      <c r="AD33" s="100">
        <f>VLOOKUP($D$7,ETo!$B$4:$P$88,MONTH(D33)+2,FALSE)/4</f>
        <v>25.152990420694501</v>
      </c>
      <c r="AE33" s="100">
        <f t="shared" si="7"/>
        <v>0</v>
      </c>
      <c r="AF33" s="101">
        <f t="shared" si="8"/>
        <v>0</v>
      </c>
      <c r="AG33" s="101">
        <f t="shared" si="9"/>
        <v>0</v>
      </c>
      <c r="AH33" s="101">
        <f t="shared" si="10"/>
        <v>0</v>
      </c>
      <c r="AI33" s="101">
        <f t="shared" si="11"/>
        <v>0</v>
      </c>
      <c r="AJ33" s="101">
        <f>VLOOKUP(MONTH(D33),[0]!rainforpaddy,4)/1000*AB33*1600*7</f>
        <v>0</v>
      </c>
    </row>
    <row r="34" spans="2:36" x14ac:dyDescent="0.15">
      <c r="B34" s="106">
        <f t="shared" si="12"/>
        <v>39802</v>
      </c>
      <c r="C34" s="107">
        <f t="shared" si="13"/>
        <v>39808</v>
      </c>
      <c r="D34" s="99">
        <f t="shared" si="3"/>
        <v>39808</v>
      </c>
      <c r="E34" s="91">
        <v>8</v>
      </c>
      <c r="F34" s="407">
        <f>IF(ISERROR(VLOOKUP(E34,Crop!$X$3:$Y$70,2,FALSE)),0,VLOOKUP(E34,Crop!$X$3:$Y$70,2,FALSE))</f>
        <v>0</v>
      </c>
      <c r="G34" s="100">
        <f>IF(ISERROR(HLOOKUP($D$5,Kc!$B$3:$AI$57,paddy_rain!F34+3,FALSE)),0,HLOOKUP($D$5,Kc!$B$3:$AI$57,paddy_rain!F34+3,FALSE))</f>
        <v>0</v>
      </c>
      <c r="H34" s="112">
        <f t="shared" si="4"/>
        <v>0</v>
      </c>
      <c r="I34" s="113">
        <f t="shared" si="14"/>
        <v>0</v>
      </c>
      <c r="J34" s="113">
        <f t="shared" si="14"/>
        <v>0</v>
      </c>
      <c r="K34" s="113">
        <f t="shared" si="14"/>
        <v>0</v>
      </c>
      <c r="L34" s="113">
        <f t="shared" si="14"/>
        <v>0</v>
      </c>
      <c r="M34" s="113">
        <f t="shared" si="14"/>
        <v>0</v>
      </c>
      <c r="N34" s="113">
        <f t="shared" si="14"/>
        <v>0</v>
      </c>
      <c r="O34" s="113">
        <f t="shared" si="14"/>
        <v>0</v>
      </c>
      <c r="P34" s="113">
        <f t="shared" si="14"/>
        <v>0</v>
      </c>
      <c r="Q34" s="113">
        <f t="shared" si="14"/>
        <v>0</v>
      </c>
      <c r="R34" s="113">
        <f t="shared" si="14"/>
        <v>0</v>
      </c>
      <c r="S34" s="113">
        <f t="shared" si="15"/>
        <v>0</v>
      </c>
      <c r="T34" s="113">
        <f t="shared" si="15"/>
        <v>0</v>
      </c>
      <c r="U34" s="113">
        <f t="shared" si="15"/>
        <v>0</v>
      </c>
      <c r="V34" s="113">
        <f t="shared" si="15"/>
        <v>0</v>
      </c>
      <c r="W34" s="113">
        <f t="shared" si="15"/>
        <v>0</v>
      </c>
      <c r="X34" s="113">
        <f t="shared" si="15"/>
        <v>0</v>
      </c>
      <c r="Y34" s="113">
        <f t="shared" si="15"/>
        <v>0</v>
      </c>
      <c r="Z34" s="113">
        <f t="shared" si="15"/>
        <v>0</v>
      </c>
      <c r="AA34" s="113">
        <f t="shared" si="15"/>
        <v>0</v>
      </c>
      <c r="AB34" s="117">
        <f t="shared" si="16"/>
        <v>0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0</v>
      </c>
      <c r="AD34" s="100">
        <f>VLOOKUP($D$7,ETo!$B$4:$P$88,MONTH(D34)+2,FALSE)/4</f>
        <v>25.152990420694501</v>
      </c>
      <c r="AE34" s="100">
        <f t="shared" si="7"/>
        <v>0</v>
      </c>
      <c r="AF34" s="101">
        <f t="shared" si="8"/>
        <v>0</v>
      </c>
      <c r="AG34" s="101">
        <f t="shared" si="9"/>
        <v>0</v>
      </c>
      <c r="AH34" s="101">
        <f t="shared" si="10"/>
        <v>0</v>
      </c>
      <c r="AI34" s="101">
        <f t="shared" si="11"/>
        <v>0</v>
      </c>
      <c r="AJ34" s="101">
        <f>VLOOKUP(MONTH(D34),[0]!rainforpaddy,4)/1000*AB34*1600*7</f>
        <v>0</v>
      </c>
    </row>
    <row r="35" spans="2:36" x14ac:dyDescent="0.15">
      <c r="B35" s="106">
        <f t="shared" si="12"/>
        <v>39809</v>
      </c>
      <c r="C35" s="107">
        <f t="shared" si="13"/>
        <v>39815</v>
      </c>
      <c r="D35" s="99">
        <f t="shared" si="3"/>
        <v>39815</v>
      </c>
      <c r="E35" s="91">
        <v>9</v>
      </c>
      <c r="F35" s="407">
        <f>IF(ISERROR(VLOOKUP(E35,Crop!$X$3:$Y$70,2,FALSE)),0,VLOOKUP(E35,Crop!$X$3:$Y$70,2,FALSE))</f>
        <v>0</v>
      </c>
      <c r="G35" s="100">
        <f>IF(ISERROR(HLOOKUP($D$5,Kc!$B$3:$AI$57,paddy_rain!F35+3,FALSE)),0,HLOOKUP($D$5,Kc!$B$3:$AI$57,paddy_rain!F35+3,FALSE))</f>
        <v>0</v>
      </c>
      <c r="H35" s="112">
        <f t="shared" si="4"/>
        <v>0</v>
      </c>
      <c r="I35" s="113">
        <f t="shared" si="14"/>
        <v>0</v>
      </c>
      <c r="J35" s="113">
        <f t="shared" si="14"/>
        <v>0</v>
      </c>
      <c r="K35" s="113">
        <f t="shared" si="14"/>
        <v>0</v>
      </c>
      <c r="L35" s="113">
        <f t="shared" si="14"/>
        <v>0</v>
      </c>
      <c r="M35" s="113">
        <f t="shared" si="14"/>
        <v>0</v>
      </c>
      <c r="N35" s="113">
        <f t="shared" si="14"/>
        <v>0</v>
      </c>
      <c r="O35" s="113">
        <f t="shared" si="14"/>
        <v>0</v>
      </c>
      <c r="P35" s="113">
        <f t="shared" si="14"/>
        <v>0</v>
      </c>
      <c r="Q35" s="113">
        <f t="shared" si="14"/>
        <v>0</v>
      </c>
      <c r="R35" s="113">
        <f t="shared" si="14"/>
        <v>0</v>
      </c>
      <c r="S35" s="113">
        <f t="shared" si="15"/>
        <v>0</v>
      </c>
      <c r="T35" s="113">
        <f t="shared" si="15"/>
        <v>0</v>
      </c>
      <c r="U35" s="113">
        <f t="shared" si="15"/>
        <v>0</v>
      </c>
      <c r="V35" s="113">
        <f t="shared" si="15"/>
        <v>0</v>
      </c>
      <c r="W35" s="113">
        <f t="shared" si="15"/>
        <v>0</v>
      </c>
      <c r="X35" s="113">
        <f t="shared" si="15"/>
        <v>0</v>
      </c>
      <c r="Y35" s="113">
        <f t="shared" si="15"/>
        <v>0</v>
      </c>
      <c r="Z35" s="113">
        <f t="shared" si="15"/>
        <v>0</v>
      </c>
      <c r="AA35" s="113">
        <f t="shared" si="15"/>
        <v>0</v>
      </c>
      <c r="AB35" s="117">
        <f t="shared" si="16"/>
        <v>0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0</v>
      </c>
      <c r="AD35" s="100">
        <f>VLOOKUP($D$7,ETo!$B$4:$P$88,MONTH(D35)+2,FALSE)/4</f>
        <v>26.227032335674728</v>
      </c>
      <c r="AE35" s="100">
        <f t="shared" si="7"/>
        <v>0</v>
      </c>
      <c r="AF35" s="101">
        <f t="shared" si="8"/>
        <v>0</v>
      </c>
      <c r="AG35" s="101">
        <f t="shared" si="9"/>
        <v>0</v>
      </c>
      <c r="AH35" s="101">
        <f t="shared" si="10"/>
        <v>0</v>
      </c>
      <c r="AI35" s="101">
        <f t="shared" si="11"/>
        <v>0</v>
      </c>
      <c r="AJ35" s="101">
        <f>VLOOKUP(MONTH(D35),[0]!rainforpaddy,4)/1000*AB35*1600*7</f>
        <v>0</v>
      </c>
    </row>
    <row r="36" spans="2:36" x14ac:dyDescent="0.15">
      <c r="B36" s="106">
        <f t="shared" si="12"/>
        <v>39816</v>
      </c>
      <c r="C36" s="107">
        <f t="shared" si="13"/>
        <v>39822</v>
      </c>
      <c r="D36" s="99">
        <f t="shared" si="3"/>
        <v>39822</v>
      </c>
      <c r="E36" s="91">
        <v>10</v>
      </c>
      <c r="F36" s="407">
        <f>IF(ISERROR(VLOOKUP(E36,Crop!$X$3:$Y$70,2,FALSE)),0,VLOOKUP(E36,Crop!$X$3:$Y$70,2,FALSE))</f>
        <v>0</v>
      </c>
      <c r="G36" s="100">
        <f>IF(ISERROR(HLOOKUP($D$5,Kc!$B$3:$AI$57,paddy_rain!F36+3,FALSE)),0,HLOOKUP($D$5,Kc!$B$3:$AI$57,paddy_rain!F36+3,FALSE))</f>
        <v>0</v>
      </c>
      <c r="H36" s="112">
        <f t="shared" ref="H36:H78" si="17">IF(G36&gt;0,IF(H$26&gt;$E$9,0,VLOOKUP(H$26,$F$3:$G$23,2,FALSE)),0)</f>
        <v>0</v>
      </c>
      <c r="I36" s="113">
        <f t="shared" si="14"/>
        <v>0</v>
      </c>
      <c r="J36" s="113">
        <f t="shared" si="14"/>
        <v>0</v>
      </c>
      <c r="K36" s="113">
        <f t="shared" si="14"/>
        <v>0</v>
      </c>
      <c r="L36" s="113">
        <f t="shared" si="14"/>
        <v>0</v>
      </c>
      <c r="M36" s="113">
        <f t="shared" si="14"/>
        <v>0</v>
      </c>
      <c r="N36" s="113">
        <f t="shared" si="14"/>
        <v>0</v>
      </c>
      <c r="O36" s="113">
        <f t="shared" si="14"/>
        <v>0</v>
      </c>
      <c r="P36" s="113">
        <f t="shared" si="14"/>
        <v>0</v>
      </c>
      <c r="Q36" s="113">
        <f t="shared" si="14"/>
        <v>0</v>
      </c>
      <c r="R36" s="113">
        <f t="shared" si="14"/>
        <v>0</v>
      </c>
      <c r="S36" s="113">
        <f t="shared" si="15"/>
        <v>0</v>
      </c>
      <c r="T36" s="113">
        <f t="shared" si="15"/>
        <v>0</v>
      </c>
      <c r="U36" s="113">
        <f t="shared" si="15"/>
        <v>0</v>
      </c>
      <c r="V36" s="113">
        <f t="shared" si="15"/>
        <v>0</v>
      </c>
      <c r="W36" s="113">
        <f t="shared" si="15"/>
        <v>0</v>
      </c>
      <c r="X36" s="113">
        <f t="shared" si="15"/>
        <v>0</v>
      </c>
      <c r="Y36" s="113">
        <f t="shared" si="15"/>
        <v>0</v>
      </c>
      <c r="Z36" s="113">
        <f t="shared" si="15"/>
        <v>0</v>
      </c>
      <c r="AA36" s="113">
        <f t="shared" si="15"/>
        <v>0</v>
      </c>
      <c r="AB36" s="117">
        <f t="shared" si="16"/>
        <v>0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0</v>
      </c>
      <c r="AD36" s="100">
        <f>VLOOKUP($D$7,ETo!$B$4:$P$88,MONTH(D36)+2,FALSE)/4</f>
        <v>26.227032335674728</v>
      </c>
      <c r="AE36" s="100">
        <f t="shared" si="7"/>
        <v>0</v>
      </c>
      <c r="AF36" s="101">
        <f t="shared" si="8"/>
        <v>0</v>
      </c>
      <c r="AG36" s="101">
        <f t="shared" si="9"/>
        <v>0</v>
      </c>
      <c r="AH36" s="101">
        <f t="shared" si="10"/>
        <v>0</v>
      </c>
      <c r="AI36" s="101">
        <f t="shared" si="11"/>
        <v>0</v>
      </c>
      <c r="AJ36" s="101">
        <f>VLOOKUP(MONTH(D36),[0]!rainforpaddy,4)/1000*AB36*1600*7</f>
        <v>0</v>
      </c>
    </row>
    <row r="37" spans="2:36" x14ac:dyDescent="0.15">
      <c r="B37" s="106">
        <f t="shared" si="12"/>
        <v>39823</v>
      </c>
      <c r="C37" s="107">
        <f t="shared" si="13"/>
        <v>39829</v>
      </c>
      <c r="D37" s="99">
        <f t="shared" si="3"/>
        <v>39829</v>
      </c>
      <c r="E37" s="91">
        <v>11</v>
      </c>
      <c r="F37" s="407">
        <f>IF(ISERROR(VLOOKUP(E37,Crop!$X$3:$Y$70,2,FALSE)),0,VLOOKUP(E37,Crop!$X$3:$Y$70,2,FALSE))</f>
        <v>0</v>
      </c>
      <c r="G37" s="100">
        <f>IF(ISERROR(HLOOKUP($D$5,Kc!$B$3:$AI$57,paddy_rain!F37+3,FALSE)),0,HLOOKUP($D$5,Kc!$B$3:$AI$57,paddy_rain!F37+3,FALSE))</f>
        <v>0</v>
      </c>
      <c r="H37" s="112">
        <f t="shared" si="17"/>
        <v>0</v>
      </c>
      <c r="I37" s="113">
        <f t="shared" ref="I37:I78" si="18">IF(H36&gt;0,IF(I$26&gt;$E$9,0,VLOOKUP(I$26,$F$3:$G$23,2,FALSE)),0)</f>
        <v>0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16"/>
        <v>0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0</v>
      </c>
      <c r="AD37" s="100">
        <f>VLOOKUP($D$7,ETo!$B$4:$P$88,MONTH(D37)+2,FALSE)/4</f>
        <v>26.227032335674728</v>
      </c>
      <c r="AE37" s="100">
        <f t="shared" si="7"/>
        <v>0</v>
      </c>
      <c r="AF37" s="101">
        <f t="shared" si="8"/>
        <v>0</v>
      </c>
      <c r="AG37" s="101">
        <f t="shared" si="9"/>
        <v>0</v>
      </c>
      <c r="AH37" s="101">
        <f t="shared" si="10"/>
        <v>0</v>
      </c>
      <c r="AI37" s="101">
        <f t="shared" si="11"/>
        <v>0</v>
      </c>
      <c r="AJ37" s="101">
        <f>VLOOKUP(MONTH(D37),[0]!rainforpaddy,4)/1000*AB37*1600*7</f>
        <v>0</v>
      </c>
    </row>
    <row r="38" spans="2:36" x14ac:dyDescent="0.15">
      <c r="B38" s="106">
        <f t="shared" si="12"/>
        <v>39830</v>
      </c>
      <c r="C38" s="107">
        <f t="shared" si="13"/>
        <v>39836</v>
      </c>
      <c r="D38" s="99">
        <f t="shared" si="3"/>
        <v>39836</v>
      </c>
      <c r="E38" s="91">
        <v>12</v>
      </c>
      <c r="F38" s="407">
        <f>IF(ISERROR(VLOOKUP(E38,Crop!$X$3:$Y$70,2,FALSE)),0,VLOOKUP(E38,Crop!$X$3:$Y$70,2,FALSE))</f>
        <v>0</v>
      </c>
      <c r="G38" s="100">
        <f>IF(ISERROR(HLOOKUP($D$5,Kc!$B$3:$AI$57,paddy_rain!F38+3,FALSE)),0,HLOOKUP($D$5,Kc!$B$3:$AI$57,paddy_rain!F38+3,FALSE))</f>
        <v>0</v>
      </c>
      <c r="H38" s="112">
        <f t="shared" si="17"/>
        <v>0</v>
      </c>
      <c r="I38" s="113">
        <f t="shared" si="18"/>
        <v>0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16"/>
        <v>0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0</v>
      </c>
      <c r="AD38" s="100">
        <f>VLOOKUP($D$7,ETo!$B$4:$P$88,MONTH(D38)+2,FALSE)/4</f>
        <v>26.227032335674728</v>
      </c>
      <c r="AE38" s="100">
        <f t="shared" si="7"/>
        <v>0</v>
      </c>
      <c r="AF38" s="101">
        <f t="shared" si="8"/>
        <v>0</v>
      </c>
      <c r="AG38" s="101">
        <f t="shared" si="9"/>
        <v>0</v>
      </c>
      <c r="AH38" s="101">
        <f t="shared" si="10"/>
        <v>0</v>
      </c>
      <c r="AI38" s="101">
        <f t="shared" si="11"/>
        <v>0</v>
      </c>
      <c r="AJ38" s="101">
        <f>VLOOKUP(MONTH(D38),[0]!rainforpaddy,4)/1000*AB38*1600*7</f>
        <v>0</v>
      </c>
    </row>
    <row r="39" spans="2:36" x14ac:dyDescent="0.15">
      <c r="B39" s="106">
        <f t="shared" si="12"/>
        <v>39837</v>
      </c>
      <c r="C39" s="107">
        <f t="shared" si="13"/>
        <v>39843</v>
      </c>
      <c r="D39" s="99">
        <f t="shared" si="3"/>
        <v>39843</v>
      </c>
      <c r="E39" s="91">
        <v>13</v>
      </c>
      <c r="F39" s="407">
        <f>IF(ISERROR(VLOOKUP(E39,Crop!$X$3:$Y$70,2,FALSE)),0,VLOOKUP(E39,Crop!$X$3:$Y$70,2,FALSE))</f>
        <v>0</v>
      </c>
      <c r="G39" s="100">
        <f>IF(ISERROR(HLOOKUP($D$5,Kc!$B$3:$AI$57,paddy_rain!F39+3,FALSE)),0,HLOOKUP($D$5,Kc!$B$3:$AI$57,paddy_rain!F39+3,FALSE))</f>
        <v>0</v>
      </c>
      <c r="H39" s="112">
        <f t="shared" si="17"/>
        <v>0</v>
      </c>
      <c r="I39" s="113">
        <f t="shared" si="18"/>
        <v>0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16"/>
        <v>0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0</v>
      </c>
      <c r="AD39" s="100">
        <f>VLOOKUP($D$7,ETo!$B$4:$P$88,MONTH(D39)+2,FALSE)/4</f>
        <v>26.227032335674728</v>
      </c>
      <c r="AE39" s="100">
        <f t="shared" si="7"/>
        <v>0</v>
      </c>
      <c r="AF39" s="101">
        <f t="shared" si="8"/>
        <v>0</v>
      </c>
      <c r="AG39" s="101">
        <f t="shared" si="9"/>
        <v>0</v>
      </c>
      <c r="AH39" s="101">
        <f t="shared" si="10"/>
        <v>0</v>
      </c>
      <c r="AI39" s="101">
        <f t="shared" si="11"/>
        <v>0</v>
      </c>
      <c r="AJ39" s="101">
        <f>VLOOKUP(MONTH(D39),[0]!rainforpaddy,4)/1000*AB39*1600*7</f>
        <v>0</v>
      </c>
    </row>
    <row r="40" spans="2:36" x14ac:dyDescent="0.15">
      <c r="B40" s="106">
        <f t="shared" si="12"/>
        <v>39844</v>
      </c>
      <c r="C40" s="107">
        <f t="shared" si="13"/>
        <v>39850</v>
      </c>
      <c r="D40" s="99">
        <f t="shared" si="3"/>
        <v>39850</v>
      </c>
      <c r="E40" s="91">
        <v>14</v>
      </c>
      <c r="F40" s="407">
        <f>IF(ISERROR(VLOOKUP(E40,Crop!$X$3:$Y$70,2,FALSE)),0,VLOOKUP(E40,Crop!$X$3:$Y$70,2,FALSE))</f>
        <v>0</v>
      </c>
      <c r="G40" s="100">
        <f>IF(ISERROR(HLOOKUP($D$5,Kc!$B$3:$AI$57,paddy_rain!F40+3,FALSE)),0,HLOOKUP($D$5,Kc!$B$3:$AI$57,paddy_rain!F40+3,FALSE))</f>
        <v>0</v>
      </c>
      <c r="H40" s="112">
        <f t="shared" si="17"/>
        <v>0</v>
      </c>
      <c r="I40" s="113">
        <f t="shared" si="18"/>
        <v>0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16"/>
        <v>0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0</v>
      </c>
      <c r="AD40" s="100">
        <f>VLOOKUP($D$7,ETo!$B$4:$P$88,MONTH(D40)+2,FALSE)/4</f>
        <v>28.598453964472196</v>
      </c>
      <c r="AE40" s="100">
        <f t="shared" si="7"/>
        <v>0</v>
      </c>
      <c r="AF40" s="101">
        <f t="shared" si="8"/>
        <v>0</v>
      </c>
      <c r="AG40" s="101">
        <f t="shared" si="9"/>
        <v>0</v>
      </c>
      <c r="AH40" s="101">
        <f t="shared" si="10"/>
        <v>0</v>
      </c>
      <c r="AI40" s="101">
        <f t="shared" si="11"/>
        <v>0</v>
      </c>
      <c r="AJ40" s="101">
        <f>VLOOKUP(MONTH(D40),[0]!rainforpaddy,4)/1000*AB40*1600*7</f>
        <v>0</v>
      </c>
    </row>
    <row r="41" spans="2:36" x14ac:dyDescent="0.15">
      <c r="B41" s="106">
        <f t="shared" si="12"/>
        <v>39851</v>
      </c>
      <c r="C41" s="107">
        <f t="shared" si="13"/>
        <v>39857</v>
      </c>
      <c r="D41" s="99">
        <f t="shared" si="3"/>
        <v>39857</v>
      </c>
      <c r="E41" s="91">
        <v>15</v>
      </c>
      <c r="F41" s="407">
        <f>IF(ISERROR(VLOOKUP(E41,Crop!$X$3:$Y$70,2,FALSE)),0,VLOOKUP(E41,Crop!$X$3:$Y$70,2,FALSE))</f>
        <v>0</v>
      </c>
      <c r="G41" s="100">
        <f>IF(ISERROR(HLOOKUP($D$5,Kc!$B$3:$AI$57,paddy_rain!F41+3,FALSE)),0,HLOOKUP($D$5,Kc!$B$3:$AI$57,paddy_rain!F41+3,FALSE))</f>
        <v>0</v>
      </c>
      <c r="H41" s="112">
        <f t="shared" si="17"/>
        <v>0</v>
      </c>
      <c r="I41" s="113">
        <f t="shared" si="18"/>
        <v>0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16"/>
        <v>0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0</v>
      </c>
      <c r="AD41" s="100">
        <f>VLOOKUP($D$7,ETo!$B$4:$P$88,MONTH(D41)+2,FALSE)/4</f>
        <v>28.598453964472196</v>
      </c>
      <c r="AE41" s="100">
        <f t="shared" si="7"/>
        <v>0</v>
      </c>
      <c r="AF41" s="101">
        <f t="shared" si="8"/>
        <v>0</v>
      </c>
      <c r="AG41" s="101">
        <f t="shared" si="9"/>
        <v>0</v>
      </c>
      <c r="AH41" s="101">
        <f t="shared" si="10"/>
        <v>0</v>
      </c>
      <c r="AI41" s="101">
        <f t="shared" si="11"/>
        <v>0</v>
      </c>
      <c r="AJ41" s="101">
        <f>VLOOKUP(MONTH(D41),[0]!rainforpaddy,4)/1000*AB41*1600*7</f>
        <v>0</v>
      </c>
    </row>
    <row r="42" spans="2:36" x14ac:dyDescent="0.15">
      <c r="B42" s="106">
        <f t="shared" si="12"/>
        <v>39858</v>
      </c>
      <c r="C42" s="107">
        <f t="shared" si="13"/>
        <v>39864</v>
      </c>
      <c r="D42" s="99">
        <f t="shared" si="3"/>
        <v>39864</v>
      </c>
      <c r="E42" s="91">
        <v>16</v>
      </c>
      <c r="F42" s="407">
        <f>IF(ISERROR(VLOOKUP(E42,Crop!$X$3:$Y$70,2,FALSE)),0,VLOOKUP(E42,Crop!$X$3:$Y$70,2,FALSE))</f>
        <v>0</v>
      </c>
      <c r="G42" s="100">
        <f>IF(ISERROR(HLOOKUP($D$5,Kc!$B$3:$AI$57,paddy_rain!F42+3,FALSE)),0,HLOOKUP($D$5,Kc!$B$3:$AI$57,paddy_rain!F42+3,FALSE))</f>
        <v>0</v>
      </c>
      <c r="H42" s="112">
        <f t="shared" si="17"/>
        <v>0</v>
      </c>
      <c r="I42" s="113">
        <f t="shared" si="18"/>
        <v>0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16"/>
        <v>0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</v>
      </c>
      <c r="AD42" s="100">
        <f>VLOOKUP($D$7,ETo!$B$4:$P$88,MONTH(D42)+2,FALSE)/4</f>
        <v>28.598453964472196</v>
      </c>
      <c r="AE42" s="100">
        <f t="shared" si="7"/>
        <v>0</v>
      </c>
      <c r="AF42" s="101">
        <f t="shared" si="8"/>
        <v>0</v>
      </c>
      <c r="AG42" s="101">
        <f t="shared" si="9"/>
        <v>0</v>
      </c>
      <c r="AH42" s="101">
        <f t="shared" si="10"/>
        <v>0</v>
      </c>
      <c r="AI42" s="101">
        <f t="shared" si="11"/>
        <v>0</v>
      </c>
      <c r="AJ42" s="101">
        <f>VLOOKUP(MONTH(D42),[0]!rainforpaddy,4)/1000*AB42*1600*7</f>
        <v>0</v>
      </c>
    </row>
    <row r="43" spans="2:36" x14ac:dyDescent="0.15">
      <c r="B43" s="106">
        <f t="shared" si="12"/>
        <v>39865</v>
      </c>
      <c r="C43" s="107">
        <f t="shared" si="13"/>
        <v>39871</v>
      </c>
      <c r="D43" s="99">
        <f t="shared" si="3"/>
        <v>39871</v>
      </c>
      <c r="E43" s="91">
        <v>17</v>
      </c>
      <c r="F43" s="407">
        <f>IF(ISERROR(VLOOKUP(E43,Crop!$X$3:$Y$70,2,FALSE)),0,VLOOKUP(E43,Crop!$X$3:$Y$70,2,FALSE))</f>
        <v>0</v>
      </c>
      <c r="G43" s="100">
        <f>IF(ISERROR(HLOOKUP($D$5,Kc!$B$3:$AI$57,paddy_rain!F43+3,FALSE)),0,HLOOKUP($D$5,Kc!$B$3:$AI$57,paddy_rain!F43+3,FALSE))</f>
        <v>0</v>
      </c>
      <c r="H43" s="112">
        <f t="shared" si="17"/>
        <v>0</v>
      </c>
      <c r="I43" s="113">
        <f t="shared" si="18"/>
        <v>0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16"/>
        <v>0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</v>
      </c>
      <c r="AD43" s="100">
        <f>VLOOKUP($D$7,ETo!$B$4:$P$88,MONTH(D43)+2,FALSE)/4</f>
        <v>28.598453964472196</v>
      </c>
      <c r="AE43" s="100">
        <f t="shared" si="7"/>
        <v>0</v>
      </c>
      <c r="AF43" s="101">
        <f t="shared" si="8"/>
        <v>0</v>
      </c>
      <c r="AG43" s="101">
        <f t="shared" si="9"/>
        <v>0</v>
      </c>
      <c r="AH43" s="101">
        <f t="shared" si="10"/>
        <v>0</v>
      </c>
      <c r="AI43" s="101">
        <f t="shared" si="11"/>
        <v>0</v>
      </c>
      <c r="AJ43" s="101">
        <f>VLOOKUP(MONTH(D43),[0]!rainforpaddy,4)/1000*AB43*1600*7</f>
        <v>0</v>
      </c>
    </row>
    <row r="44" spans="2:36" x14ac:dyDescent="0.15">
      <c r="B44" s="106">
        <f t="shared" si="12"/>
        <v>39872</v>
      </c>
      <c r="C44" s="107">
        <f t="shared" si="13"/>
        <v>39878</v>
      </c>
      <c r="D44" s="99">
        <f t="shared" si="3"/>
        <v>39878</v>
      </c>
      <c r="E44" s="91">
        <v>18</v>
      </c>
      <c r="F44" s="407">
        <f>IF(ISERROR(VLOOKUP(E44,Crop!$X$3:$Y$70,2,FALSE)),0,VLOOKUP(E44,Crop!$X$3:$Y$70,2,FALSE))</f>
        <v>0</v>
      </c>
      <c r="G44" s="100">
        <f>IF(ISERROR(HLOOKUP($D$5,Kc!$B$3:$AI$57,paddy_rain!F44+3,FALSE)),0,HLOOKUP($D$5,Kc!$B$3:$AI$57,paddy_rain!F44+3,FALSE))</f>
        <v>0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16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7"/>
        <v>0</v>
      </c>
      <c r="AF44" s="101">
        <f t="shared" si="8"/>
        <v>0</v>
      </c>
      <c r="AG44" s="101">
        <f t="shared" si="9"/>
        <v>0</v>
      </c>
      <c r="AH44" s="101">
        <f t="shared" si="10"/>
        <v>0</v>
      </c>
      <c r="AI44" s="101">
        <f t="shared" si="11"/>
        <v>0</v>
      </c>
      <c r="AJ44" s="101">
        <f>VLOOKUP(MONTH(D44),[0]!rainforpaddy,4)/1000*AB44*1600*7</f>
        <v>0</v>
      </c>
    </row>
    <row r="45" spans="2:36" x14ac:dyDescent="0.15">
      <c r="B45" s="106">
        <f t="shared" si="12"/>
        <v>39879</v>
      </c>
      <c r="C45" s="107">
        <f t="shared" si="13"/>
        <v>39885</v>
      </c>
      <c r="D45" s="99">
        <f t="shared" si="3"/>
        <v>39885</v>
      </c>
      <c r="E45" s="91">
        <v>19</v>
      </c>
      <c r="F45" s="407">
        <f>IF(ISERROR(VLOOKUP(E45,Crop!$X$3:$Y$70,2,FALSE)),0,VLOOKUP(E45,Crop!$X$3:$Y$70,2,FALSE))</f>
        <v>0</v>
      </c>
      <c r="G45" s="100">
        <f>IF(ISERROR(HLOOKUP($D$5,Kc!$B$3:$AI$57,paddy_rain!F45+3,FALSE)),0,HLOOKUP($D$5,Kc!$B$3:$AI$57,paddy_rain!F45+3,FALSE))</f>
        <v>0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16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7"/>
        <v>0</v>
      </c>
      <c r="AF45" s="101">
        <f t="shared" si="8"/>
        <v>0</v>
      </c>
      <c r="AG45" s="101">
        <f t="shared" si="9"/>
        <v>0</v>
      </c>
      <c r="AH45" s="101">
        <f t="shared" si="10"/>
        <v>0</v>
      </c>
      <c r="AI45" s="101">
        <f t="shared" si="11"/>
        <v>0</v>
      </c>
      <c r="AJ45" s="101">
        <f>VLOOKUP(MONTH(D45),[0]!rainforpaddy,4)/1000*AB45*1600*7</f>
        <v>0</v>
      </c>
    </row>
    <row r="46" spans="2:36" x14ac:dyDescent="0.15">
      <c r="B46" s="106">
        <f t="shared" si="12"/>
        <v>39886</v>
      </c>
      <c r="C46" s="107">
        <f t="shared" si="13"/>
        <v>39892</v>
      </c>
      <c r="D46" s="99">
        <f t="shared" si="3"/>
        <v>39892</v>
      </c>
      <c r="E46" s="91">
        <v>20</v>
      </c>
      <c r="F46" s="407">
        <f>IF(ISERROR(VLOOKUP(E46,Crop!$X$3:$Y$70,2,FALSE)),0,VLOOKUP(E46,Crop!$X$3:$Y$70,2,FALSE))</f>
        <v>0</v>
      </c>
      <c r="G46" s="100">
        <f>IF(ISERROR(HLOOKUP($D$5,Kc!$B$3:$AI$57,paddy_rain!F46+3,FALSE)),0,HLOOKUP($D$5,Kc!$B$3:$AI$57,paddy_rain!F46+3,FALSE))</f>
        <v>0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16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7"/>
        <v>0</v>
      </c>
      <c r="AF46" s="101">
        <f t="shared" si="8"/>
        <v>0</v>
      </c>
      <c r="AG46" s="101">
        <f t="shared" si="9"/>
        <v>0</v>
      </c>
      <c r="AH46" s="101">
        <f t="shared" si="10"/>
        <v>0</v>
      </c>
      <c r="AI46" s="101">
        <f t="shared" si="11"/>
        <v>0</v>
      </c>
      <c r="AJ46" s="101">
        <f>VLOOKUP(MONTH(D46),[0]!rainforpaddy,4)/1000*AB46*1600*7</f>
        <v>0</v>
      </c>
    </row>
    <row r="47" spans="2:36" x14ac:dyDescent="0.15">
      <c r="B47" s="106">
        <f t="shared" si="12"/>
        <v>39893</v>
      </c>
      <c r="C47" s="107">
        <f t="shared" si="13"/>
        <v>39899</v>
      </c>
      <c r="D47" s="99">
        <f t="shared" si="3"/>
        <v>39899</v>
      </c>
      <c r="E47" s="91">
        <v>21</v>
      </c>
      <c r="F47" s="407">
        <f>IF(ISERROR(VLOOKUP(E47,Crop!$X$3:$Y$70,2,FALSE)),0,VLOOKUP(E47,Crop!$X$3:$Y$70,2,FALSE))</f>
        <v>0</v>
      </c>
      <c r="G47" s="100">
        <f>IF(ISERROR(HLOOKUP($D$5,Kc!$B$3:$AI$57,paddy_rain!F47+3,FALSE)),0,HLOOKUP($D$5,Kc!$B$3:$AI$57,paddy_rain!F47+3,FALSE))</f>
        <v>0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16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7"/>
        <v>0</v>
      </c>
      <c r="AF47" s="101">
        <f t="shared" si="8"/>
        <v>0</v>
      </c>
      <c r="AG47" s="101">
        <f t="shared" si="9"/>
        <v>0</v>
      </c>
      <c r="AH47" s="101">
        <f t="shared" si="10"/>
        <v>0</v>
      </c>
      <c r="AI47" s="101">
        <f t="shared" si="11"/>
        <v>0</v>
      </c>
      <c r="AJ47" s="101">
        <f>VLOOKUP(MONTH(D47),[0]!rainforpaddy,4)/1000*AB47*1600*7</f>
        <v>0</v>
      </c>
    </row>
    <row r="48" spans="2:36" x14ac:dyDescent="0.15">
      <c r="B48" s="106">
        <f t="shared" si="12"/>
        <v>39900</v>
      </c>
      <c r="C48" s="107">
        <f t="shared" si="13"/>
        <v>39906</v>
      </c>
      <c r="D48" s="99">
        <f t="shared" si="3"/>
        <v>39906</v>
      </c>
      <c r="E48" s="91">
        <v>22</v>
      </c>
      <c r="F48" s="407">
        <f>IF(ISERROR(VLOOKUP(E48,Crop!$X$3:$Y$70,2,FALSE)),0,VLOOKUP(E48,Crop!$X$3:$Y$70,2,FALSE))</f>
        <v>0</v>
      </c>
      <c r="G48" s="100">
        <f>IF(ISERROR(HLOOKUP($D$5,Kc!$B$3:$AI$57,paddy_rain!F48+3,FALSE)),0,HLOOKUP($D$5,Kc!$B$3:$AI$57,paddy_rain!F48+3,FALSE))</f>
        <v>0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16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7"/>
        <v>0</v>
      </c>
      <c r="AF48" s="101">
        <f t="shared" si="8"/>
        <v>0</v>
      </c>
      <c r="AG48" s="101">
        <f t="shared" si="9"/>
        <v>0</v>
      </c>
      <c r="AH48" s="101">
        <f t="shared" si="10"/>
        <v>0</v>
      </c>
      <c r="AI48" s="101">
        <f t="shared" si="11"/>
        <v>0</v>
      </c>
      <c r="AJ48" s="101">
        <f>VLOOKUP(MONTH(D48),[0]!rainforpaddy,4)/1000*AB48*1600*7</f>
        <v>0</v>
      </c>
    </row>
    <row r="49" spans="2:36" x14ac:dyDescent="0.15">
      <c r="B49" s="106">
        <f t="shared" si="12"/>
        <v>39907</v>
      </c>
      <c r="C49" s="107">
        <f t="shared" si="13"/>
        <v>39913</v>
      </c>
      <c r="D49" s="99">
        <f t="shared" si="3"/>
        <v>39913</v>
      </c>
      <c r="E49" s="91">
        <v>23</v>
      </c>
      <c r="F49" s="407">
        <f>IF(ISERROR(VLOOKUP(E49,Crop!$X$3:$Y$70,2,FALSE)),0,VLOOKUP(E49,Crop!$X$3:$Y$70,2,FALSE))</f>
        <v>0</v>
      </c>
      <c r="G49" s="100">
        <f>IF(ISERROR(HLOOKUP($D$5,Kc!$B$3:$AI$57,paddy_rain!F49+3,FALSE)),0,HLOOKUP($D$5,Kc!$B$3:$AI$57,paddy_rain!F49+3,FALSE))</f>
        <v>0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16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7"/>
        <v>0</v>
      </c>
      <c r="AF49" s="101">
        <f t="shared" si="8"/>
        <v>0</v>
      </c>
      <c r="AG49" s="101">
        <f t="shared" si="9"/>
        <v>0</v>
      </c>
      <c r="AH49" s="101">
        <f t="shared" si="10"/>
        <v>0</v>
      </c>
      <c r="AI49" s="101">
        <f t="shared" si="11"/>
        <v>0</v>
      </c>
      <c r="AJ49" s="101">
        <f>VLOOKUP(MONTH(D49),[0]!rainforpaddy,4)/1000*AB49*1600*7</f>
        <v>0</v>
      </c>
    </row>
    <row r="50" spans="2:36" x14ac:dyDescent="0.15">
      <c r="B50" s="106">
        <f t="shared" si="12"/>
        <v>39914</v>
      </c>
      <c r="C50" s="107">
        <f t="shared" si="13"/>
        <v>39920</v>
      </c>
      <c r="D50" s="99">
        <f t="shared" si="3"/>
        <v>39920</v>
      </c>
      <c r="E50" s="91">
        <v>24</v>
      </c>
      <c r="F50" s="407">
        <f>IF(ISERROR(VLOOKUP(E50,Crop!$X$3:$Y$70,2,FALSE)),0,VLOOKUP(E50,Crop!$X$3:$Y$70,2,FALSE))</f>
        <v>0</v>
      </c>
      <c r="G50" s="100">
        <f>IF(ISERROR(HLOOKUP($D$5,Kc!$B$3:$AI$57,paddy_rain!F50+3,FALSE)),0,HLOOKUP($D$5,Kc!$B$3:$AI$57,paddy_rain!F50+3,FALSE))</f>
        <v>0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16"/>
        <v>0</v>
      </c>
      <c r="AC50" s="405">
        <f t="shared" si="24"/>
        <v>0</v>
      </c>
      <c r="AD50" s="100">
        <f>VLOOKUP($D$7,ETo!$B$4:$P$88,MONTH(D50)+2,FALSE)/4</f>
        <v>38.112530722170547</v>
      </c>
      <c r="AE50" s="100">
        <f t="shared" si="7"/>
        <v>0</v>
      </c>
      <c r="AF50" s="101">
        <f t="shared" si="8"/>
        <v>0</v>
      </c>
      <c r="AG50" s="101">
        <f t="shared" si="9"/>
        <v>0</v>
      </c>
      <c r="AH50" s="101">
        <f t="shared" si="10"/>
        <v>0</v>
      </c>
      <c r="AI50" s="101">
        <f t="shared" si="11"/>
        <v>0</v>
      </c>
      <c r="AJ50" s="101">
        <f>VLOOKUP(MONTH(D50),[0]!rainforpaddy,4)/1000*AB50*1600*7</f>
        <v>0</v>
      </c>
    </row>
    <row r="51" spans="2:36" x14ac:dyDescent="0.15">
      <c r="B51" s="106">
        <f t="shared" si="12"/>
        <v>39921</v>
      </c>
      <c r="C51" s="107">
        <f t="shared" si="13"/>
        <v>39927</v>
      </c>
      <c r="D51" s="99">
        <f t="shared" si="3"/>
        <v>39927</v>
      </c>
      <c r="E51" s="91">
        <v>25</v>
      </c>
      <c r="F51" s="407">
        <f>IF(ISERROR(VLOOKUP(E51,Crop!$X$3:$Y$70,2,FALSE)),0,VLOOKUP(E51,Crop!$X$3:$Y$70,2,FALSE))</f>
        <v>0</v>
      </c>
      <c r="G51" s="100">
        <f>IF(ISERROR(HLOOKUP($D$5,Kc!$B$3:$AI$57,paddy_rain!F51+3,FALSE)),0,HLOOKUP($D$5,Kc!$B$3:$AI$57,paddy_rain!F51+3,FALSE))</f>
        <v>0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16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7"/>
        <v>0</v>
      </c>
      <c r="AF51" s="101">
        <f t="shared" si="8"/>
        <v>0</v>
      </c>
      <c r="AG51" s="101">
        <f t="shared" si="9"/>
        <v>0</v>
      </c>
      <c r="AH51" s="101">
        <f t="shared" si="10"/>
        <v>0</v>
      </c>
      <c r="AI51" s="101">
        <f t="shared" si="11"/>
        <v>0</v>
      </c>
      <c r="AJ51" s="101">
        <f>VLOOKUP(MONTH(D51),[0]!rainforpaddy,4)/1000*AB51*1600*7</f>
        <v>0</v>
      </c>
    </row>
    <row r="52" spans="2:36" x14ac:dyDescent="0.15">
      <c r="B52" s="106">
        <f t="shared" si="12"/>
        <v>39928</v>
      </c>
      <c r="C52" s="107">
        <f t="shared" si="13"/>
        <v>39934</v>
      </c>
      <c r="D52" s="99">
        <f t="shared" si="3"/>
        <v>39934</v>
      </c>
      <c r="E52" s="91">
        <v>26</v>
      </c>
      <c r="F52" s="407">
        <f>IF(ISERROR(VLOOKUP(E52,Crop!$X$3:$Y$70,2,FALSE)),0,VLOOKUP(E52,Crop!$X$3:$Y$70,2,FALSE))</f>
        <v>0</v>
      </c>
      <c r="G52" s="100">
        <f>IF(ISERROR(HLOOKUP($D$5,Kc!$B$3:$AI$57,paddy_rain!F52+3,FALSE)),0,HLOOKUP($D$5,Kc!$B$3:$AI$57,paddy_rain!F52+3,FALSE))</f>
        <v>0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16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7"/>
        <v>0</v>
      </c>
      <c r="AF52" s="101">
        <f t="shared" si="8"/>
        <v>0</v>
      </c>
      <c r="AG52" s="101">
        <f t="shared" si="9"/>
        <v>0</v>
      </c>
      <c r="AH52" s="101">
        <f t="shared" si="10"/>
        <v>0</v>
      </c>
      <c r="AI52" s="101">
        <f t="shared" si="11"/>
        <v>0</v>
      </c>
      <c r="AJ52" s="101">
        <f>VLOOKUP(MONTH(D52),[0]!rainforpaddy,4)/1000*AB52*1600*7</f>
        <v>0</v>
      </c>
    </row>
    <row r="53" spans="2:36" x14ac:dyDescent="0.15">
      <c r="B53" s="106">
        <f t="shared" si="12"/>
        <v>39935</v>
      </c>
      <c r="C53" s="107">
        <f t="shared" si="13"/>
        <v>39941</v>
      </c>
      <c r="D53" s="99">
        <f t="shared" si="3"/>
        <v>39941</v>
      </c>
      <c r="E53" s="91">
        <v>27</v>
      </c>
      <c r="F53" s="407">
        <f>IF(ISERROR(VLOOKUP(E53,Crop!$X$3:$Y$70,2,FALSE)),0,VLOOKUP(E53,Crop!$X$3:$Y$70,2,FALSE))</f>
        <v>0</v>
      </c>
      <c r="G53" s="100">
        <f>IF(ISERROR(HLOOKUP($D$5,Kc!$B$3:$AI$57,paddy_rain!F53+3,FALSE)),0,HLOOKUP($D$5,Kc!$B$3:$AI$57,paddy_rain!F53+3,FALSE))</f>
        <v>0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16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7"/>
        <v>0</v>
      </c>
      <c r="AF53" s="101">
        <f t="shared" si="8"/>
        <v>0</v>
      </c>
      <c r="AG53" s="101">
        <f t="shared" si="9"/>
        <v>0</v>
      </c>
      <c r="AH53" s="101">
        <f t="shared" si="10"/>
        <v>0</v>
      </c>
      <c r="AI53" s="101">
        <f t="shared" si="11"/>
        <v>0</v>
      </c>
      <c r="AJ53" s="101">
        <f>VLOOKUP(MONTH(D53),[0]!rainforpaddy,4)/1000*AB53*1600*7</f>
        <v>0</v>
      </c>
    </row>
    <row r="54" spans="2:36" x14ac:dyDescent="0.15">
      <c r="B54" s="106">
        <f t="shared" si="12"/>
        <v>39942</v>
      </c>
      <c r="C54" s="107">
        <f t="shared" si="13"/>
        <v>39948</v>
      </c>
      <c r="D54" s="99">
        <f t="shared" si="3"/>
        <v>39948</v>
      </c>
      <c r="E54" s="91">
        <v>28</v>
      </c>
      <c r="F54" s="407">
        <f>IF(ISERROR(VLOOKUP(E54,Crop!$X$3:$Y$70,2,FALSE)),0,VLOOKUP(E54,Crop!$X$3:$Y$70,2,FALSE))</f>
        <v>0</v>
      </c>
      <c r="G54" s="100">
        <f>IF(ISERROR(HLOOKUP($D$5,Kc!$B$3:$AI$57,paddy_rain!F54+3,FALSE)),0,HLOOKUP($D$5,Kc!$B$3:$AI$57,paddy_rain!F54+3,FALSE))</f>
        <v>0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16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7"/>
        <v>0</v>
      </c>
      <c r="AF54" s="101">
        <f t="shared" si="8"/>
        <v>0</v>
      </c>
      <c r="AG54" s="101">
        <f t="shared" si="9"/>
        <v>0</v>
      </c>
      <c r="AH54" s="101">
        <f t="shared" si="10"/>
        <v>0</v>
      </c>
      <c r="AI54" s="101">
        <f t="shared" si="11"/>
        <v>0</v>
      </c>
      <c r="AJ54" s="101">
        <f>VLOOKUP(MONTH(D54),[0]!rainforpaddy,4)/1000*AB54*1600*7</f>
        <v>0</v>
      </c>
    </row>
    <row r="55" spans="2:36" x14ac:dyDescent="0.15">
      <c r="B55" s="106">
        <f t="shared" si="12"/>
        <v>39949</v>
      </c>
      <c r="C55" s="107">
        <f t="shared" si="13"/>
        <v>39955</v>
      </c>
      <c r="D55" s="99">
        <f t="shared" si="3"/>
        <v>39955</v>
      </c>
      <c r="E55" s="91">
        <v>29</v>
      </c>
      <c r="F55" s="407">
        <f>IF(ISERROR(VLOOKUP(E55,Crop!$X$3:$Y$70,2,FALSE)),0,VLOOKUP(E55,Crop!$X$3:$Y$70,2,FALSE))</f>
        <v>0</v>
      </c>
      <c r="G55" s="100">
        <f>IF(ISERROR(HLOOKUP($D$5,Kc!$B$3:$AI$57,paddy_rain!F55+3,FALSE)),0,HLOOKUP($D$5,Kc!$B$3:$AI$57,paddy_rain!F55+3,FALSE))</f>
        <v>0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16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7"/>
        <v>0</v>
      </c>
      <c r="AF55" s="101">
        <f t="shared" si="8"/>
        <v>0</v>
      </c>
      <c r="AG55" s="101">
        <f t="shared" si="9"/>
        <v>0</v>
      </c>
      <c r="AH55" s="101">
        <f t="shared" si="10"/>
        <v>0</v>
      </c>
      <c r="AI55" s="101">
        <f t="shared" si="11"/>
        <v>0</v>
      </c>
      <c r="AJ55" s="101">
        <f>VLOOKUP(MONTH(D55),[0]!rainforpaddy,4)/1000*AB55*1600*7</f>
        <v>0</v>
      </c>
    </row>
    <row r="56" spans="2:36" x14ac:dyDescent="0.15">
      <c r="B56" s="106">
        <f t="shared" si="12"/>
        <v>39956</v>
      </c>
      <c r="C56" s="107">
        <f t="shared" si="13"/>
        <v>39962</v>
      </c>
      <c r="D56" s="99">
        <f t="shared" si="3"/>
        <v>39962</v>
      </c>
      <c r="E56" s="91">
        <v>30</v>
      </c>
      <c r="F56" s="407">
        <f>IF(ISERROR(VLOOKUP(E56,Crop!$X$3:$Y$70,2,FALSE)),0,VLOOKUP(E56,Crop!$X$3:$Y$70,2,FALSE))</f>
        <v>0</v>
      </c>
      <c r="G56" s="100">
        <f>IF(ISERROR(HLOOKUP($D$5,Kc!$B$3:$AI$57,paddy_rain!F56+3,FALSE)),0,HLOOKUP($D$5,Kc!$B$3:$AI$57,paddy_rain!F56+3,FALSE))</f>
        <v>0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16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7"/>
        <v>0</v>
      </c>
      <c r="AF56" s="101">
        <f t="shared" si="8"/>
        <v>0</v>
      </c>
      <c r="AG56" s="101">
        <f t="shared" si="9"/>
        <v>0</v>
      </c>
      <c r="AH56" s="101">
        <f t="shared" si="10"/>
        <v>0</v>
      </c>
      <c r="AI56" s="101">
        <f t="shared" si="11"/>
        <v>0</v>
      </c>
      <c r="AJ56" s="101">
        <f>VLOOKUP(MONTH(D56),[0]!rainforpaddy,4)/1000*AB56*1600*7</f>
        <v>0</v>
      </c>
    </row>
    <row r="57" spans="2:36" x14ac:dyDescent="0.15">
      <c r="B57" s="106">
        <f t="shared" si="12"/>
        <v>39963</v>
      </c>
      <c r="C57" s="107">
        <f t="shared" si="13"/>
        <v>39969</v>
      </c>
      <c r="D57" s="99">
        <f t="shared" si="3"/>
        <v>39969</v>
      </c>
      <c r="E57" s="91">
        <v>31</v>
      </c>
      <c r="F57" s="407">
        <f>IF(ISERROR(VLOOKUP(E57,Crop!$X$3:$Y$70,2,FALSE)),0,VLOOKUP(E57,Crop!$X$3:$Y$70,2,FALSE))</f>
        <v>0</v>
      </c>
      <c r="G57" s="100">
        <f>IF(ISERROR(HLOOKUP($D$5,Kc!$B$3:$AI$57,paddy_rain!F57+3,FALSE)),0,HLOOKUP($D$5,Kc!$B$3:$AI$57,paddy_rain!F57+3,FALSE))</f>
        <v>0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16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7"/>
        <v>0</v>
      </c>
      <c r="AF57" s="101">
        <f t="shared" si="8"/>
        <v>0</v>
      </c>
      <c r="AG57" s="101">
        <f t="shared" si="9"/>
        <v>0</v>
      </c>
      <c r="AH57" s="101">
        <f t="shared" si="10"/>
        <v>0</v>
      </c>
      <c r="AI57" s="101">
        <f t="shared" si="11"/>
        <v>0</v>
      </c>
      <c r="AJ57" s="101">
        <f>VLOOKUP(MONTH(D57),[0]!rainforpaddy,4)/1000*AB57*1600*7</f>
        <v>0</v>
      </c>
    </row>
    <row r="58" spans="2:36" x14ac:dyDescent="0.15">
      <c r="B58" s="106">
        <f t="shared" si="12"/>
        <v>39970</v>
      </c>
      <c r="C58" s="107">
        <f t="shared" si="13"/>
        <v>39976</v>
      </c>
      <c r="D58" s="99">
        <f t="shared" si="3"/>
        <v>39976</v>
      </c>
      <c r="E58" s="91">
        <v>32</v>
      </c>
      <c r="F58" s="407">
        <f>IF(ISERROR(VLOOKUP(E58,Crop!$X$3:$Y$70,2,FALSE)),0,VLOOKUP(E58,Crop!$X$3:$Y$70,2,FALSE))</f>
        <v>0</v>
      </c>
      <c r="G58" s="100">
        <f>IF(ISERROR(HLOOKUP($D$5,Kc!$B$3:$AI$57,paddy_rain!F58+3,FALSE)),0,HLOOKUP($D$5,Kc!$B$3:$AI$57,paddy_rain!F58+3,FALSE))</f>
        <v>0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16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7"/>
        <v>0</v>
      </c>
      <c r="AF58" s="101">
        <f t="shared" si="8"/>
        <v>0</v>
      </c>
      <c r="AG58" s="101">
        <f t="shared" si="9"/>
        <v>0</v>
      </c>
      <c r="AH58" s="101">
        <f t="shared" si="10"/>
        <v>0</v>
      </c>
      <c r="AI58" s="101">
        <f t="shared" si="11"/>
        <v>0</v>
      </c>
      <c r="AJ58" s="101">
        <f>VLOOKUP(MONTH(D58),[0]!rainforpaddy,4)/1000*AB58*1600*7</f>
        <v>0</v>
      </c>
    </row>
    <row r="59" spans="2:36" x14ac:dyDescent="0.15">
      <c r="B59" s="106">
        <f t="shared" si="12"/>
        <v>39977</v>
      </c>
      <c r="C59" s="107">
        <f t="shared" si="13"/>
        <v>39983</v>
      </c>
      <c r="D59" s="99">
        <f t="shared" ref="D59:D78" si="27">+C59</f>
        <v>39983</v>
      </c>
      <c r="E59" s="91">
        <v>33</v>
      </c>
      <c r="F59" s="407">
        <f>IF(ISERROR(VLOOKUP(E59,Crop!$X$3:$Y$70,2,FALSE)),0,VLOOKUP(E59,Crop!$X$3:$Y$70,2,FALSE))</f>
        <v>0</v>
      </c>
      <c r="G59" s="100">
        <f>IF(ISERROR(HLOOKUP($D$5,Kc!$B$3:$AI$57,paddy_rain!F59+3,FALSE)),0,HLOOKUP($D$5,Kc!$B$3:$AI$57,paddy_rain!F59+3,FALSE))</f>
        <v>0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16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ref="AE59:AE78" si="28">IF(AC59*AD59=0,0,(AC59*AD59)+$E$10)</f>
        <v>0</v>
      </c>
      <c r="AF59" s="101">
        <f t="shared" ref="AF59:AF78" si="29">AE59*AB59*1.6</f>
        <v>0</v>
      </c>
      <c r="AG59" s="101">
        <f t="shared" ref="AG59:AG78" si="30">IF(ISERROR(INDEX(H59:L59,1,F59)),0,INDEX(H59:L59,1,F59))</f>
        <v>0</v>
      </c>
      <c r="AH59" s="101">
        <f t="shared" ref="AH59:AH78" si="31">AG59*$E$11*1.6</f>
        <v>0</v>
      </c>
      <c r="AI59" s="101">
        <f t="shared" ref="AI59:AI78" si="32">AF59+AH59</f>
        <v>0</v>
      </c>
      <c r="AJ59" s="101">
        <f>VLOOKUP(MONTH(D59),[0]!rainforpaddy,4)/1000*AB59*1600*7</f>
        <v>0</v>
      </c>
    </row>
    <row r="60" spans="2:36" x14ac:dyDescent="0.15">
      <c r="B60" s="106">
        <f t="shared" ref="B60:B78" si="33">C59+1</f>
        <v>39984</v>
      </c>
      <c r="C60" s="107">
        <f t="shared" ref="C60:C78" si="34">B60+6</f>
        <v>39990</v>
      </c>
      <c r="D60" s="99">
        <f t="shared" si="27"/>
        <v>39990</v>
      </c>
      <c r="E60" s="91">
        <v>34</v>
      </c>
      <c r="F60" s="407">
        <f>IF(ISERROR(VLOOKUP(E60,Crop!$X$3:$Y$70,2,FALSE)),0,VLOOKUP(E60,Crop!$X$3:$Y$70,2,FALSE))</f>
        <v>0</v>
      </c>
      <c r="G60" s="100">
        <f>IF(ISERROR(HLOOKUP($D$5,Kc!$B$3:$AI$57,paddy_rain!F60+3,FALSE)),0,HLOOKUP($D$5,Kc!$B$3:$AI$57,paddy_rain!F60+3,FALSE))</f>
        <v>0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16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28"/>
        <v>0</v>
      </c>
      <c r="AF60" s="101">
        <f t="shared" si="29"/>
        <v>0</v>
      </c>
      <c r="AG60" s="101">
        <f t="shared" si="30"/>
        <v>0</v>
      </c>
      <c r="AH60" s="101">
        <f t="shared" si="31"/>
        <v>0</v>
      </c>
      <c r="AI60" s="101">
        <f t="shared" si="32"/>
        <v>0</v>
      </c>
      <c r="AJ60" s="101">
        <f>VLOOKUP(MONTH(D60),[0]!rainforpaddy,4)/1000*AB60*1600*7</f>
        <v>0</v>
      </c>
    </row>
    <row r="61" spans="2:36" x14ac:dyDescent="0.15">
      <c r="B61" s="106">
        <f t="shared" si="33"/>
        <v>39991</v>
      </c>
      <c r="C61" s="107">
        <f t="shared" si="34"/>
        <v>39997</v>
      </c>
      <c r="D61" s="99">
        <f t="shared" si="27"/>
        <v>39997</v>
      </c>
      <c r="E61" s="91">
        <v>35</v>
      </c>
      <c r="F61" s="407">
        <f>IF(ISERROR(VLOOKUP(E61,Crop!$X$3:$Y$70,2,FALSE)),0,VLOOKUP(E61,Crop!$X$3:$Y$70,2,FALSE))</f>
        <v>0</v>
      </c>
      <c r="G61" s="100">
        <f>IF(ISERROR(HLOOKUP($D$5,Kc!$B$3:$AI$57,paddy_rain!F61+3,FALSE)),0,HLOOKUP($D$5,Kc!$B$3:$AI$57,paddy_rain!F61+3,FALSE))</f>
        <v>0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16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28"/>
        <v>0</v>
      </c>
      <c r="AF61" s="101">
        <f t="shared" si="29"/>
        <v>0</v>
      </c>
      <c r="AG61" s="101">
        <f t="shared" si="30"/>
        <v>0</v>
      </c>
      <c r="AH61" s="101">
        <f t="shared" si="31"/>
        <v>0</v>
      </c>
      <c r="AI61" s="101">
        <f t="shared" si="32"/>
        <v>0</v>
      </c>
      <c r="AJ61" s="101">
        <f>VLOOKUP(MONTH(D61),[0]!rainforpaddy,4)/1000*AB61*1600*7</f>
        <v>0</v>
      </c>
    </row>
    <row r="62" spans="2:36" x14ac:dyDescent="0.15">
      <c r="B62" s="106">
        <f t="shared" si="33"/>
        <v>39998</v>
      </c>
      <c r="C62" s="107">
        <f t="shared" si="34"/>
        <v>40004</v>
      </c>
      <c r="D62" s="99">
        <f t="shared" si="27"/>
        <v>40004</v>
      </c>
      <c r="E62" s="91">
        <v>36</v>
      </c>
      <c r="F62" s="407">
        <f>IF(ISERROR(VLOOKUP(E62,Crop!$X$3:$Y$70,2,FALSE)),0,VLOOKUP(E62,Crop!$X$3:$Y$70,2,FALSE))</f>
        <v>1</v>
      </c>
      <c r="G62" s="100">
        <f>IF(ISERROR(HLOOKUP($D$5,Kc!$B$3:$AI$57,paddy_rain!F62+3,FALSE)),0,HLOOKUP($D$5,Kc!$B$3:$AI$57,paddy_rain!F62+3,FALSE))</f>
        <v>1.03</v>
      </c>
      <c r="H62" s="112">
        <f>IF(G62&gt;0,IF(H$26&gt;$E$9,0,VLOOKUP(H$26,$F$3:$G$23,2,FALSE)),0)</f>
        <v>9820</v>
      </c>
      <c r="I62" s="113">
        <f>IF(H61&gt;0,IF(I$26&gt;$E$9,0,VLOOKUP(I$26,$F$3:$G$23,2,FALSE)),0)</f>
        <v>0</v>
      </c>
      <c r="J62" s="113">
        <f>IF(I61&gt;0,IF(J$26&gt;$E$9,0,VLOOKUP(J$26,$F$3:$G$12,2,FALSE)),0)</f>
        <v>0</v>
      </c>
      <c r="K62" s="113">
        <f>IF(J61&gt;0,IF(K$26&gt;$E$9,0,VLOOKUP(K$26,$F$3:$G$23,2,FALSE)),0)</f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>SUM(H62:AA62)</f>
        <v>9820</v>
      </c>
      <c r="AC62" s="405">
        <f>IF(ISERROR((H62*G62+I62*G61+J62*G60+K62*G59+L62*G58+M62*G57+N62*G56+O62*G55+P62*G54+Q62*G53+R62*G52+S62*G51+T62*G50+U62*G49+V62*G48+W62*G47+X62*G46+Y62*G45+Z62*G44+AA62*G43)/AB62),0,(H62*G62+I62*G61+J62*G60+K62*G59+L62*G58+M62*G57+N62*G56+O62*G55+P62*G54+Q62*G53+R62*G52+S62*G51+T62*G50+U62*G49+V62*G48+W62*G47+X62*G46+Y62*G45+Z62*G44+AA62*G43)/AB62)</f>
        <v>1.03</v>
      </c>
      <c r="AD62" s="100">
        <f>VLOOKUP($D$7,ETo!$B$4:$P$88,MONTH(D62)+2,FALSE)/4</f>
        <v>33.131638852547908</v>
      </c>
      <c r="AE62" s="100">
        <f>IF(AC62*AD62=0,0,(AC62*AD62)+$E$10)</f>
        <v>48.125588018124347</v>
      </c>
      <c r="AF62" s="101">
        <f t="shared" si="29"/>
        <v>756149.23894076981</v>
      </c>
      <c r="AG62" s="101">
        <f>IF(ISERROR(INDEX(H62:L62,1,F62)),0,INDEX(H62:L62,1,F62))</f>
        <v>9820</v>
      </c>
      <c r="AH62" s="101">
        <f t="shared" si="31"/>
        <v>1571200</v>
      </c>
      <c r="AI62" s="101">
        <f>AF62+AH62</f>
        <v>2327349.2389407698</v>
      </c>
      <c r="AJ62" s="101">
        <f>VLOOKUP(MONTH(D62),[0]!rainforpaddy,4)/1000*AB62*1600*7</f>
        <v>434614.19354838715</v>
      </c>
    </row>
    <row r="63" spans="2:36" x14ac:dyDescent="0.15">
      <c r="B63" s="106">
        <f t="shared" si="33"/>
        <v>40005</v>
      </c>
      <c r="C63" s="107">
        <f t="shared" si="34"/>
        <v>40011</v>
      </c>
      <c r="D63" s="99">
        <f t="shared" si="27"/>
        <v>40011</v>
      </c>
      <c r="E63" s="91">
        <v>37</v>
      </c>
      <c r="F63" s="407">
        <f>IF(ISERROR(VLOOKUP(E63,Crop!$X$3:$Y$70,2,FALSE)),0,VLOOKUP(E63,Crop!$X$3:$Y$70,2,FALSE))</f>
        <v>2</v>
      </c>
      <c r="G63" s="100">
        <f>IF(ISERROR(HLOOKUP($D$5,Kc!$B$3:$AI$57,paddy_rain!F63+3,FALSE)),0,HLOOKUP($D$5,Kc!$B$3:$AI$57,paddy_rain!F63+3,FALSE))</f>
        <v>1.07</v>
      </c>
      <c r="H63" s="112">
        <f t="shared" si="17"/>
        <v>9820</v>
      </c>
      <c r="I63" s="113">
        <f t="shared" si="18"/>
        <v>10432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16"/>
        <v>20252</v>
      </c>
      <c r="AC63" s="405">
        <f t="shared" si="24"/>
        <v>1.0493956152478767</v>
      </c>
      <c r="AD63" s="100">
        <f>VLOOKUP($D$7,ETo!$B$4:$P$88,MONTH(D63)+2,FALSE)/4</f>
        <v>33.131638852547908</v>
      </c>
      <c r="AE63" s="100">
        <f t="shared" si="28"/>
        <v>48.76819653783997</v>
      </c>
      <c r="AF63" s="101">
        <f t="shared" si="29"/>
        <v>1580245.6260549361</v>
      </c>
      <c r="AG63" s="101">
        <f t="shared" si="30"/>
        <v>10432</v>
      </c>
      <c r="AH63" s="101">
        <f t="shared" si="31"/>
        <v>1669120</v>
      </c>
      <c r="AI63" s="101">
        <f t="shared" si="32"/>
        <v>3249365.6260549361</v>
      </c>
      <c r="AJ63" s="101">
        <f>VLOOKUP(MONTH(D63),[0]!rainforpaddy,4)/1000*AB63*1600*7</f>
        <v>896314.32258064521</v>
      </c>
    </row>
    <row r="64" spans="2:36" x14ac:dyDescent="0.15">
      <c r="B64" s="106">
        <f t="shared" si="33"/>
        <v>40012</v>
      </c>
      <c r="C64" s="107">
        <f t="shared" si="34"/>
        <v>40018</v>
      </c>
      <c r="D64" s="99">
        <f t="shared" si="27"/>
        <v>40018</v>
      </c>
      <c r="E64" s="91">
        <v>38</v>
      </c>
      <c r="F64" s="407">
        <f>IF(ISERROR(VLOOKUP(E64,Crop!$X$3:$Y$70,2,FALSE)),0,VLOOKUP(E64,Crop!$X$3:$Y$70,2,FALSE))</f>
        <v>3</v>
      </c>
      <c r="G64" s="100">
        <f>IF(ISERROR(HLOOKUP($D$5,Kc!$B$3:$AI$57,paddy_rain!F64+3,FALSE)),0,HLOOKUP($D$5,Kc!$B$3:$AI$57,paddy_rain!F64+3,FALSE))</f>
        <v>1.1200000000000001</v>
      </c>
      <c r="H64" s="112">
        <f t="shared" si="17"/>
        <v>9820</v>
      </c>
      <c r="I64" s="113">
        <f t="shared" si="18"/>
        <v>10432</v>
      </c>
      <c r="J64" s="113">
        <f t="shared" si="19"/>
        <v>12500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16"/>
        <v>32752</v>
      </c>
      <c r="AC64" s="405">
        <f t="shared" si="24"/>
        <v>1.0697252076209087</v>
      </c>
      <c r="AD64" s="100">
        <f>VLOOKUP($D$7,ETo!$B$4:$P$88,MONTH(D64)+2,FALSE)/4</f>
        <v>33.131638852547908</v>
      </c>
      <c r="AE64" s="100">
        <f t="shared" si="28"/>
        <v>49.441749250362776</v>
      </c>
      <c r="AF64" s="101">
        <f t="shared" si="29"/>
        <v>2590905.8743166109</v>
      </c>
      <c r="AG64" s="101">
        <f t="shared" si="30"/>
        <v>12500</v>
      </c>
      <c r="AH64" s="101">
        <f t="shared" si="31"/>
        <v>2000000</v>
      </c>
      <c r="AI64" s="101">
        <f t="shared" si="32"/>
        <v>4590905.8743166104</v>
      </c>
      <c r="AJ64" s="101">
        <f>VLOOKUP(MONTH(D64),[0]!rainforpaddy,4)/1000*AB64*1600*7</f>
        <v>1449540.1290322582</v>
      </c>
    </row>
    <row r="65" spans="2:36" x14ac:dyDescent="0.15">
      <c r="B65" s="106">
        <f t="shared" si="33"/>
        <v>40019</v>
      </c>
      <c r="C65" s="107">
        <f t="shared" si="34"/>
        <v>40025</v>
      </c>
      <c r="D65" s="99">
        <f t="shared" si="27"/>
        <v>40025</v>
      </c>
      <c r="E65" s="91">
        <v>39</v>
      </c>
      <c r="F65" s="407">
        <f>IF(ISERROR(VLOOKUP(E65,Crop!$X$3:$Y$70,2,FALSE)),0,VLOOKUP(E65,Crop!$X$3:$Y$70,2,FALSE))</f>
        <v>4</v>
      </c>
      <c r="G65" s="100">
        <f>IF(ISERROR(HLOOKUP($D$5,Kc!$B$3:$AI$57,paddy_rain!F65+3,FALSE)),0,HLOOKUP($D$5,Kc!$B$3:$AI$57,paddy_rain!F65+3,FALSE))</f>
        <v>1.29</v>
      </c>
      <c r="H65" s="112">
        <f t="shared" si="17"/>
        <v>9820</v>
      </c>
      <c r="I65" s="113">
        <f t="shared" si="18"/>
        <v>10432</v>
      </c>
      <c r="J65" s="113">
        <f t="shared" si="19"/>
        <v>12500</v>
      </c>
      <c r="K65" s="113">
        <f t="shared" si="25"/>
        <v>12979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16"/>
        <v>45731</v>
      </c>
      <c r="AC65" s="405">
        <f t="shared" si="24"/>
        <v>1.1172948328267478</v>
      </c>
      <c r="AD65" s="100">
        <f>VLOOKUP($D$7,ETo!$B$4:$P$88,MONTH(D65)+2,FALSE)/4</f>
        <v>33.131638852547908</v>
      </c>
      <c r="AE65" s="100">
        <f t="shared" si="28"/>
        <v>51.017808893033695</v>
      </c>
      <c r="AF65" s="101">
        <f t="shared" si="29"/>
        <v>3732952.6695797183</v>
      </c>
      <c r="AG65" s="101">
        <f t="shared" si="30"/>
        <v>12979</v>
      </c>
      <c r="AH65" s="101">
        <f t="shared" si="31"/>
        <v>2076640</v>
      </c>
      <c r="AI65" s="101">
        <f t="shared" si="32"/>
        <v>5809592.6695797183</v>
      </c>
      <c r="AJ65" s="101">
        <f>VLOOKUP(MONTH(D65),[0]!rainforpaddy,4)/1000*AB65*1600*7</f>
        <v>2023965.5483870967</v>
      </c>
    </row>
    <row r="66" spans="2:36" x14ac:dyDescent="0.15">
      <c r="B66" s="106">
        <f t="shared" si="33"/>
        <v>40026</v>
      </c>
      <c r="C66" s="107">
        <f t="shared" si="34"/>
        <v>40032</v>
      </c>
      <c r="D66" s="99">
        <f t="shared" si="27"/>
        <v>40032</v>
      </c>
      <c r="E66" s="91">
        <v>40</v>
      </c>
      <c r="F66" s="407">
        <f>IF(ISERROR(VLOOKUP(E66,Crop!$X$3:$Y$70,2,FALSE)),0,VLOOKUP(E66,Crop!$X$3:$Y$70,2,FALSE))</f>
        <v>5</v>
      </c>
      <c r="G66" s="100">
        <f>IF(ISERROR(HLOOKUP($D$5,Kc!$B$3:$AI$57,paddy_rain!F66+3,FALSE)),0,HLOOKUP($D$5,Kc!$B$3:$AI$57,paddy_rain!F66+3,FALSE))</f>
        <v>1.38</v>
      </c>
      <c r="H66" s="112">
        <f t="shared" si="17"/>
        <v>9820</v>
      </c>
      <c r="I66" s="113">
        <f t="shared" si="18"/>
        <v>10432</v>
      </c>
      <c r="J66" s="113">
        <f t="shared" si="19"/>
        <v>12500</v>
      </c>
      <c r="K66" s="113">
        <f t="shared" si="25"/>
        <v>12979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16"/>
        <v>45731</v>
      </c>
      <c r="AC66" s="405">
        <f t="shared" si="24"/>
        <v>1.2004200651636745</v>
      </c>
      <c r="AD66" s="100">
        <f>VLOOKUP($D$7,ETo!$B$4:$P$88,MONTH(D66)+2,FALSE)/4</f>
        <v>31.040695886359554</v>
      </c>
      <c r="AE66" s="100">
        <f t="shared" si="28"/>
        <v>51.26187417862954</v>
      </c>
      <c r="AF66" s="101">
        <f t="shared" si="29"/>
        <v>3750810.828900652</v>
      </c>
      <c r="AG66" s="101">
        <f t="shared" si="30"/>
        <v>0</v>
      </c>
      <c r="AH66" s="101">
        <f t="shared" si="31"/>
        <v>0</v>
      </c>
      <c r="AI66" s="101">
        <f t="shared" si="32"/>
        <v>3750810.828900652</v>
      </c>
      <c r="AJ66" s="101">
        <f>VLOOKUP(MONTH(D66),[0]!rainforpaddy,4)/1000*AB66*1600*7</f>
        <v>2114837.4709677421</v>
      </c>
    </row>
    <row r="67" spans="2:36" x14ac:dyDescent="0.15">
      <c r="B67" s="106">
        <f t="shared" si="33"/>
        <v>40033</v>
      </c>
      <c r="C67" s="107">
        <f t="shared" si="34"/>
        <v>40039</v>
      </c>
      <c r="D67" s="99">
        <f t="shared" si="27"/>
        <v>40039</v>
      </c>
      <c r="E67" s="91">
        <v>41</v>
      </c>
      <c r="F67" s="407">
        <f>IF(ISERROR(VLOOKUP(E67,Crop!$X$3:$Y$70,2,FALSE)),0,VLOOKUP(E67,Crop!$X$3:$Y$70,2,FALSE))</f>
        <v>6</v>
      </c>
      <c r="G67" s="100">
        <f>IF(ISERROR(HLOOKUP($D$5,Kc!$B$3:$AI$57,paddy_rain!F67+3,FALSE)),0,HLOOKUP($D$5,Kc!$B$3:$AI$57,paddy_rain!F67+3,FALSE))</f>
        <v>1.45</v>
      </c>
      <c r="H67" s="112">
        <f t="shared" si="17"/>
        <v>9820</v>
      </c>
      <c r="I67" s="113">
        <f t="shared" si="18"/>
        <v>10432</v>
      </c>
      <c r="J67" s="113">
        <f t="shared" si="19"/>
        <v>12500</v>
      </c>
      <c r="K67" s="113">
        <f t="shared" ref="K67:T78" si="35">IF(J66&gt;0,IF(K$26&gt;$E$9,0,VLOOKUP(K$26,$F$3:$G$23,2,FALSE)),0)</f>
        <v>12979</v>
      </c>
      <c r="L67" s="113">
        <f t="shared" si="35"/>
        <v>0</v>
      </c>
      <c r="M67" s="113">
        <f t="shared" si="35"/>
        <v>0</v>
      </c>
      <c r="N67" s="113">
        <f t="shared" si="35"/>
        <v>0</v>
      </c>
      <c r="O67" s="113">
        <f t="shared" si="35"/>
        <v>0</v>
      </c>
      <c r="P67" s="113">
        <f t="shared" si="35"/>
        <v>0</v>
      </c>
      <c r="Q67" s="113">
        <f t="shared" si="35"/>
        <v>0</v>
      </c>
      <c r="R67" s="113">
        <f t="shared" si="35"/>
        <v>0</v>
      </c>
      <c r="S67" s="113">
        <f t="shared" si="35"/>
        <v>0</v>
      </c>
      <c r="T67" s="113">
        <f t="shared" si="35"/>
        <v>0</v>
      </c>
      <c r="U67" s="113">
        <f t="shared" ref="U67:AA78" si="36">IF(T66&gt;0,IF(U$26&gt;$E$9,0,VLOOKUP(U$26,$F$3:$G$23,2,FALSE)),0)</f>
        <v>0</v>
      </c>
      <c r="V67" s="113">
        <f t="shared" si="36"/>
        <v>0</v>
      </c>
      <c r="W67" s="113">
        <f t="shared" si="36"/>
        <v>0</v>
      </c>
      <c r="X67" s="113">
        <f t="shared" si="36"/>
        <v>0</v>
      </c>
      <c r="Y67" s="113">
        <f t="shared" si="36"/>
        <v>0</v>
      </c>
      <c r="Z67" s="113">
        <f t="shared" si="36"/>
        <v>0</v>
      </c>
      <c r="AA67" s="113">
        <f t="shared" si="36"/>
        <v>0</v>
      </c>
      <c r="AB67" s="117">
        <f t="shared" si="16"/>
        <v>45731</v>
      </c>
      <c r="AC67" s="405">
        <f t="shared" si="24"/>
        <v>1.2966399160307012</v>
      </c>
      <c r="AD67" s="100">
        <f>VLOOKUP($D$7,ETo!$B$4:$P$88,MONTH(D67)+2,FALSE)/4</f>
        <v>31.040695886359554</v>
      </c>
      <c r="AE67" s="100">
        <f t="shared" si="28"/>
        <v>54.248605307623784</v>
      </c>
      <c r="AF67" s="101">
        <f t="shared" si="29"/>
        <v>3969348.7509167092</v>
      </c>
      <c r="AG67" s="101">
        <f t="shared" si="30"/>
        <v>0</v>
      </c>
      <c r="AH67" s="101">
        <f t="shared" si="31"/>
        <v>0</v>
      </c>
      <c r="AI67" s="101">
        <f t="shared" si="32"/>
        <v>3969348.7509167092</v>
      </c>
      <c r="AJ67" s="101">
        <f>VLOOKUP(MONTH(D67),[0]!rainforpaddy,4)/1000*AB67*1600*7</f>
        <v>2114837.4709677421</v>
      </c>
    </row>
    <row r="68" spans="2:36" x14ac:dyDescent="0.15">
      <c r="B68" s="106">
        <f t="shared" si="33"/>
        <v>40040</v>
      </c>
      <c r="C68" s="107">
        <f t="shared" si="34"/>
        <v>40046</v>
      </c>
      <c r="D68" s="99">
        <f t="shared" si="27"/>
        <v>40046</v>
      </c>
      <c r="E68" s="91">
        <v>42</v>
      </c>
      <c r="F68" s="407">
        <f>IF(ISERROR(VLOOKUP(E68,Crop!$X$3:$Y$70,2,FALSE)),0,VLOOKUP(E68,Crop!$X$3:$Y$70,2,FALSE))</f>
        <v>7</v>
      </c>
      <c r="G68" s="100">
        <f>IF(ISERROR(HLOOKUP($D$5,Kc!$B$3:$AI$57,paddy_rain!F68+3,FALSE)),0,HLOOKUP($D$5,Kc!$B$3:$AI$57,paddy_rain!F68+3,FALSE))</f>
        <v>1.5</v>
      </c>
      <c r="H68" s="112">
        <f t="shared" si="17"/>
        <v>9820</v>
      </c>
      <c r="I68" s="113">
        <f t="shared" si="18"/>
        <v>10432</v>
      </c>
      <c r="J68" s="113">
        <f t="shared" si="19"/>
        <v>12500</v>
      </c>
      <c r="K68" s="113">
        <f t="shared" si="35"/>
        <v>12979</v>
      </c>
      <c r="L68" s="113">
        <f t="shared" si="35"/>
        <v>0</v>
      </c>
      <c r="M68" s="113">
        <f t="shared" si="35"/>
        <v>0</v>
      </c>
      <c r="N68" s="113">
        <f t="shared" si="35"/>
        <v>0</v>
      </c>
      <c r="O68" s="113">
        <f t="shared" si="35"/>
        <v>0</v>
      </c>
      <c r="P68" s="113">
        <f t="shared" si="35"/>
        <v>0</v>
      </c>
      <c r="Q68" s="113">
        <f t="shared" si="35"/>
        <v>0</v>
      </c>
      <c r="R68" s="113">
        <f t="shared" si="35"/>
        <v>0</v>
      </c>
      <c r="S68" s="113">
        <f t="shared" si="35"/>
        <v>0</v>
      </c>
      <c r="T68" s="113">
        <f t="shared" si="35"/>
        <v>0</v>
      </c>
      <c r="U68" s="113">
        <f t="shared" si="36"/>
        <v>0</v>
      </c>
      <c r="V68" s="113">
        <f t="shared" si="36"/>
        <v>0</v>
      </c>
      <c r="W68" s="113">
        <f t="shared" si="36"/>
        <v>0</v>
      </c>
      <c r="X68" s="113">
        <f t="shared" si="36"/>
        <v>0</v>
      </c>
      <c r="Y68" s="113">
        <f t="shared" si="36"/>
        <v>0</v>
      </c>
      <c r="Z68" s="113">
        <f t="shared" si="36"/>
        <v>0</v>
      </c>
      <c r="AA68" s="113">
        <f t="shared" si="36"/>
        <v>0</v>
      </c>
      <c r="AB68" s="117">
        <f t="shared" si="16"/>
        <v>45731</v>
      </c>
      <c r="AC68" s="405">
        <f t="shared" si="24"/>
        <v>1.3961931731210775</v>
      </c>
      <c r="AD68" s="100">
        <f>VLOOKUP($D$7,ETo!$B$4:$P$88,MONTH(D68)+2,FALSE)/4</f>
        <v>31.040695886359554</v>
      </c>
      <c r="AE68" s="100">
        <f t="shared" si="28"/>
        <v>57.338807685462726</v>
      </c>
      <c r="AF68" s="101">
        <f t="shared" si="29"/>
        <v>4195457.6228222335</v>
      </c>
      <c r="AG68" s="101">
        <f t="shared" si="30"/>
        <v>0</v>
      </c>
      <c r="AH68" s="101">
        <f t="shared" si="31"/>
        <v>0</v>
      </c>
      <c r="AI68" s="101">
        <f t="shared" si="32"/>
        <v>4195457.6228222335</v>
      </c>
      <c r="AJ68" s="101">
        <f>VLOOKUP(MONTH(D68),[0]!rainforpaddy,4)/1000*AB68*1600*7</f>
        <v>2114837.4709677421</v>
      </c>
    </row>
    <row r="69" spans="2:36" x14ac:dyDescent="0.15">
      <c r="B69" s="106">
        <f t="shared" si="33"/>
        <v>40047</v>
      </c>
      <c r="C69" s="107">
        <f t="shared" si="34"/>
        <v>40053</v>
      </c>
      <c r="D69" s="99">
        <f t="shared" si="27"/>
        <v>40053</v>
      </c>
      <c r="E69" s="91">
        <v>43</v>
      </c>
      <c r="F69" s="407">
        <f>IF(ISERROR(VLOOKUP(E69,Crop!$X$3:$Y$70,2,FALSE)),0,VLOOKUP(E69,Crop!$X$3:$Y$70,2,FALSE))</f>
        <v>8</v>
      </c>
      <c r="G69" s="100">
        <f>IF(ISERROR(HLOOKUP($D$5,Kc!$B$3:$AI$57,paddy_rain!F69+3,FALSE)),0,HLOOKUP($D$5,Kc!$B$3:$AI$57,paddy_rain!F69+3,FALSE))</f>
        <v>1.48</v>
      </c>
      <c r="H69" s="112">
        <f t="shared" si="17"/>
        <v>9820</v>
      </c>
      <c r="I69" s="113">
        <f t="shared" si="18"/>
        <v>10432</v>
      </c>
      <c r="J69" s="113">
        <f t="shared" si="19"/>
        <v>12500</v>
      </c>
      <c r="K69" s="113">
        <f t="shared" si="35"/>
        <v>12979</v>
      </c>
      <c r="L69" s="113">
        <f t="shared" si="35"/>
        <v>0</v>
      </c>
      <c r="M69" s="113">
        <f t="shared" si="35"/>
        <v>0</v>
      </c>
      <c r="N69" s="113">
        <f t="shared" si="35"/>
        <v>0</v>
      </c>
      <c r="O69" s="113">
        <f t="shared" si="35"/>
        <v>0</v>
      </c>
      <c r="P69" s="113">
        <f t="shared" si="35"/>
        <v>0</v>
      </c>
      <c r="Q69" s="113">
        <f t="shared" si="35"/>
        <v>0</v>
      </c>
      <c r="R69" s="113">
        <f t="shared" si="35"/>
        <v>0</v>
      </c>
      <c r="S69" s="113">
        <f t="shared" si="35"/>
        <v>0</v>
      </c>
      <c r="T69" s="113">
        <f t="shared" si="35"/>
        <v>0</v>
      </c>
      <c r="U69" s="113">
        <f t="shared" si="36"/>
        <v>0</v>
      </c>
      <c r="V69" s="113">
        <f t="shared" si="36"/>
        <v>0</v>
      </c>
      <c r="W69" s="113">
        <f t="shared" si="36"/>
        <v>0</v>
      </c>
      <c r="X69" s="113">
        <f t="shared" si="36"/>
        <v>0</v>
      </c>
      <c r="Y69" s="113">
        <f t="shared" si="36"/>
        <v>0</v>
      </c>
      <c r="Z69" s="113">
        <f t="shared" si="36"/>
        <v>0</v>
      </c>
      <c r="AA69" s="113">
        <f t="shared" si="36"/>
        <v>0</v>
      </c>
      <c r="AB69" s="117">
        <f t="shared" si="16"/>
        <v>45731</v>
      </c>
      <c r="AC69" s="405">
        <f t="shared" si="24"/>
        <v>1.4479810194397673</v>
      </c>
      <c r="AD69" s="100">
        <f>VLOOKUP($D$7,ETo!$B$4:$P$88,MONTH(D69)+2,FALSE)/4</f>
        <v>31.040695886359554</v>
      </c>
      <c r="AE69" s="100">
        <f t="shared" si="28"/>
        <v>58.946338473650698</v>
      </c>
      <c r="AF69" s="101">
        <f t="shared" si="29"/>
        <v>4313080.0075816317</v>
      </c>
      <c r="AG69" s="101">
        <f t="shared" si="30"/>
        <v>0</v>
      </c>
      <c r="AH69" s="101">
        <f t="shared" si="31"/>
        <v>0</v>
      </c>
      <c r="AI69" s="101">
        <f t="shared" si="32"/>
        <v>4313080.0075816317</v>
      </c>
      <c r="AJ69" s="101">
        <f>VLOOKUP(MONTH(D69),[0]!rainforpaddy,4)/1000*AB69*1600*7</f>
        <v>2114837.4709677421</v>
      </c>
    </row>
    <row r="70" spans="2:36" x14ac:dyDescent="0.15">
      <c r="B70" s="106">
        <f t="shared" si="33"/>
        <v>40054</v>
      </c>
      <c r="C70" s="107">
        <f t="shared" si="34"/>
        <v>40060</v>
      </c>
      <c r="D70" s="99">
        <f t="shared" si="27"/>
        <v>40060</v>
      </c>
      <c r="E70" s="91">
        <v>44</v>
      </c>
      <c r="F70" s="407">
        <f>IF(ISERROR(VLOOKUP(E70,Crop!$X$3:$Y$70,2,FALSE)),0,VLOOKUP(E70,Crop!$X$3:$Y$70,2,FALSE))</f>
        <v>9</v>
      </c>
      <c r="G70" s="100">
        <f>IF(ISERROR(HLOOKUP($D$5,Kc!$B$3:$AI$57,paddy_rain!F70+3,FALSE)),0,HLOOKUP($D$5,Kc!$B$3:$AI$57,paddy_rain!F70+3,FALSE))</f>
        <v>1.42</v>
      </c>
      <c r="H70" s="112">
        <f t="shared" si="17"/>
        <v>9820</v>
      </c>
      <c r="I70" s="113">
        <f t="shared" si="18"/>
        <v>10432</v>
      </c>
      <c r="J70" s="113">
        <f t="shared" si="19"/>
        <v>12500</v>
      </c>
      <c r="K70" s="113">
        <f t="shared" si="35"/>
        <v>12979</v>
      </c>
      <c r="L70" s="113">
        <f t="shared" si="35"/>
        <v>0</v>
      </c>
      <c r="M70" s="113">
        <f t="shared" si="35"/>
        <v>0</v>
      </c>
      <c r="N70" s="113">
        <f t="shared" si="35"/>
        <v>0</v>
      </c>
      <c r="O70" s="113">
        <f t="shared" si="35"/>
        <v>0</v>
      </c>
      <c r="P70" s="113">
        <f t="shared" si="35"/>
        <v>0</v>
      </c>
      <c r="Q70" s="113">
        <f t="shared" si="35"/>
        <v>0</v>
      </c>
      <c r="R70" s="113">
        <f t="shared" si="35"/>
        <v>0</v>
      </c>
      <c r="S70" s="113">
        <f t="shared" si="35"/>
        <v>0</v>
      </c>
      <c r="T70" s="113">
        <f t="shared" si="35"/>
        <v>0</v>
      </c>
      <c r="U70" s="113">
        <f t="shared" si="36"/>
        <v>0</v>
      </c>
      <c r="V70" s="113">
        <f t="shared" si="36"/>
        <v>0</v>
      </c>
      <c r="W70" s="113">
        <f t="shared" si="36"/>
        <v>0</v>
      </c>
      <c r="X70" s="113">
        <f t="shared" si="36"/>
        <v>0</v>
      </c>
      <c r="Y70" s="113">
        <f t="shared" si="36"/>
        <v>0</v>
      </c>
      <c r="Z70" s="113">
        <f t="shared" si="36"/>
        <v>0</v>
      </c>
      <c r="AA70" s="113">
        <f t="shared" si="36"/>
        <v>0</v>
      </c>
      <c r="AB70" s="117">
        <f t="shared" si="16"/>
        <v>45731</v>
      </c>
      <c r="AC70" s="405">
        <f t="shared" si="24"/>
        <v>1.4640683562572434</v>
      </c>
      <c r="AD70" s="100">
        <f>VLOOKUP($D$7,ETo!$B$4:$P$88,MONTH(D70)+2,FALSE)/4</f>
        <v>28.50368641826438</v>
      </c>
      <c r="AE70" s="100">
        <f t="shared" si="28"/>
        <v>55.731345321660243</v>
      </c>
      <c r="AF70" s="101">
        <f t="shared" si="29"/>
        <v>4077840.2446477511</v>
      </c>
      <c r="AG70" s="101">
        <f t="shared" si="30"/>
        <v>0</v>
      </c>
      <c r="AH70" s="101">
        <f t="shared" si="31"/>
        <v>0</v>
      </c>
      <c r="AI70" s="101">
        <f t="shared" si="32"/>
        <v>4077840.2446477511</v>
      </c>
      <c r="AJ70" s="101">
        <f>VLOOKUP(MONTH(D70),[0]!rainforpaddy,4)/1000*AB70*1600*7</f>
        <v>3981401.8346666661</v>
      </c>
    </row>
    <row r="71" spans="2:36" x14ac:dyDescent="0.15">
      <c r="B71" s="106">
        <f t="shared" si="33"/>
        <v>40061</v>
      </c>
      <c r="C71" s="107">
        <f t="shared" si="34"/>
        <v>40067</v>
      </c>
      <c r="D71" s="99">
        <f t="shared" si="27"/>
        <v>40067</v>
      </c>
      <c r="E71" s="91">
        <v>45</v>
      </c>
      <c r="F71" s="407">
        <f>IF(ISERROR(VLOOKUP(E71,Crop!$X$3:$Y$70,2,FALSE)),0,VLOOKUP(E71,Crop!$X$3:$Y$70,2,FALSE))</f>
        <v>10</v>
      </c>
      <c r="G71" s="100">
        <f>IF(ISERROR(HLOOKUP($D$5,Kc!$B$3:$AI$57,paddy_rain!F71+3,FALSE)),0,HLOOKUP($D$5,Kc!$B$3:$AI$57,paddy_rain!F71+3,FALSE))</f>
        <v>1.34</v>
      </c>
      <c r="H71" s="112">
        <f t="shared" si="17"/>
        <v>9820</v>
      </c>
      <c r="I71" s="113">
        <f t="shared" si="18"/>
        <v>10432</v>
      </c>
      <c r="J71" s="113">
        <f t="shared" si="19"/>
        <v>12500</v>
      </c>
      <c r="K71" s="113">
        <f t="shared" si="35"/>
        <v>12979</v>
      </c>
      <c r="L71" s="113">
        <f t="shared" si="35"/>
        <v>0</v>
      </c>
      <c r="M71" s="113">
        <f t="shared" si="35"/>
        <v>0</v>
      </c>
      <c r="N71" s="113">
        <f t="shared" si="35"/>
        <v>0</v>
      </c>
      <c r="O71" s="113">
        <f t="shared" si="35"/>
        <v>0</v>
      </c>
      <c r="P71" s="113">
        <f t="shared" si="35"/>
        <v>0</v>
      </c>
      <c r="Q71" s="113">
        <f t="shared" si="35"/>
        <v>0</v>
      </c>
      <c r="R71" s="113">
        <f t="shared" si="35"/>
        <v>0</v>
      </c>
      <c r="S71" s="113">
        <f t="shared" si="35"/>
        <v>0</v>
      </c>
      <c r="T71" s="113">
        <f t="shared" si="35"/>
        <v>0</v>
      </c>
      <c r="U71" s="113">
        <f t="shared" si="36"/>
        <v>0</v>
      </c>
      <c r="V71" s="113">
        <f t="shared" si="36"/>
        <v>0</v>
      </c>
      <c r="W71" s="113">
        <f t="shared" si="36"/>
        <v>0</v>
      </c>
      <c r="X71" s="113">
        <f t="shared" si="36"/>
        <v>0</v>
      </c>
      <c r="Y71" s="113">
        <f t="shared" si="36"/>
        <v>0</v>
      </c>
      <c r="Z71" s="113">
        <f t="shared" si="36"/>
        <v>0</v>
      </c>
      <c r="AA71" s="113">
        <f t="shared" si="36"/>
        <v>0</v>
      </c>
      <c r="AB71" s="117">
        <f t="shared" si="16"/>
        <v>45731</v>
      </c>
      <c r="AC71" s="405">
        <f t="shared" si="24"/>
        <v>1.4419264831296055</v>
      </c>
      <c r="AD71" s="100">
        <f>VLOOKUP($D$7,ETo!$B$4:$P$88,MONTH(D71)+2,FALSE)/4</f>
        <v>28.50368641826438</v>
      </c>
      <c r="AE71" s="100">
        <f t="shared" si="28"/>
        <v>55.10022031331706</v>
      </c>
      <c r="AF71" s="101">
        <f t="shared" si="29"/>
        <v>4031661.0802372838</v>
      </c>
      <c r="AG71" s="101">
        <f t="shared" si="30"/>
        <v>0</v>
      </c>
      <c r="AH71" s="101">
        <f t="shared" si="31"/>
        <v>0</v>
      </c>
      <c r="AI71" s="101">
        <f t="shared" si="32"/>
        <v>4031661.0802372838</v>
      </c>
      <c r="AJ71" s="101">
        <f>VLOOKUP(MONTH(D71),[0]!rainforpaddy,4)/1000*AB71*1600*7</f>
        <v>3981401.8346666661</v>
      </c>
    </row>
    <row r="72" spans="2:36" x14ac:dyDescent="0.15">
      <c r="B72" s="106">
        <f t="shared" si="33"/>
        <v>40068</v>
      </c>
      <c r="C72" s="107">
        <f t="shared" si="34"/>
        <v>40074</v>
      </c>
      <c r="D72" s="99">
        <f t="shared" si="27"/>
        <v>40074</v>
      </c>
      <c r="E72" s="91">
        <v>46</v>
      </c>
      <c r="F72" s="407">
        <f>IF(ISERROR(VLOOKUP(E72,Crop!$X$3:$Y$70,2,FALSE)),0,VLOOKUP(E72,Crop!$X$3:$Y$70,2,FALSE))</f>
        <v>11</v>
      </c>
      <c r="G72" s="100">
        <f>IF(ISERROR(HLOOKUP($D$5,Kc!$B$3:$AI$57,paddy_rain!F72+3,FALSE)),0,HLOOKUP($D$5,Kc!$B$3:$AI$57,paddy_rain!F72+3,FALSE))</f>
        <v>1.23</v>
      </c>
      <c r="H72" s="112">
        <f t="shared" si="17"/>
        <v>9820</v>
      </c>
      <c r="I72" s="113">
        <f t="shared" si="18"/>
        <v>10432</v>
      </c>
      <c r="J72" s="113">
        <f t="shared" si="19"/>
        <v>12500</v>
      </c>
      <c r="K72" s="113">
        <f t="shared" si="35"/>
        <v>12979</v>
      </c>
      <c r="L72" s="113">
        <f t="shared" si="35"/>
        <v>0</v>
      </c>
      <c r="M72" s="113">
        <f t="shared" si="35"/>
        <v>0</v>
      </c>
      <c r="N72" s="113">
        <f t="shared" si="35"/>
        <v>0</v>
      </c>
      <c r="O72" s="113">
        <f t="shared" si="35"/>
        <v>0</v>
      </c>
      <c r="P72" s="113">
        <f t="shared" si="35"/>
        <v>0</v>
      </c>
      <c r="Q72" s="113">
        <f t="shared" si="35"/>
        <v>0</v>
      </c>
      <c r="R72" s="113">
        <f t="shared" si="35"/>
        <v>0</v>
      </c>
      <c r="S72" s="113">
        <f t="shared" si="35"/>
        <v>0</v>
      </c>
      <c r="T72" s="113">
        <f t="shared" si="35"/>
        <v>0</v>
      </c>
      <c r="U72" s="113">
        <f t="shared" si="36"/>
        <v>0</v>
      </c>
      <c r="V72" s="113">
        <f t="shared" si="36"/>
        <v>0</v>
      </c>
      <c r="W72" s="113">
        <f t="shared" si="36"/>
        <v>0</v>
      </c>
      <c r="X72" s="113">
        <f t="shared" si="36"/>
        <v>0</v>
      </c>
      <c r="Y72" s="113">
        <f t="shared" si="36"/>
        <v>0</v>
      </c>
      <c r="Z72" s="113">
        <f t="shared" si="36"/>
        <v>0</v>
      </c>
      <c r="AA72" s="113">
        <f t="shared" si="36"/>
        <v>0</v>
      </c>
      <c r="AB72" s="117">
        <f t="shared" si="16"/>
        <v>45731</v>
      </c>
      <c r="AC72" s="405">
        <f t="shared" si="24"/>
        <v>1.3779799260895236</v>
      </c>
      <c r="AD72" s="100">
        <f>VLOOKUP($D$7,ETo!$B$4:$P$88,MONTH(D72)+2,FALSE)/4</f>
        <v>28.50368641826438</v>
      </c>
      <c r="AE72" s="100">
        <f t="shared" si="28"/>
        <v>53.277507703918907</v>
      </c>
      <c r="AF72" s="101">
        <f t="shared" si="29"/>
        <v>3898293.9276926653</v>
      </c>
      <c r="AG72" s="101">
        <f t="shared" si="30"/>
        <v>0</v>
      </c>
      <c r="AH72" s="101">
        <f t="shared" si="31"/>
        <v>0</v>
      </c>
      <c r="AI72" s="101">
        <f t="shared" si="32"/>
        <v>3898293.9276926653</v>
      </c>
      <c r="AJ72" s="101">
        <f>VLOOKUP(MONTH(D72),[0]!rainforpaddy,4)/1000*AB72*1600*7</f>
        <v>3981401.8346666661</v>
      </c>
    </row>
    <row r="73" spans="2:36" x14ac:dyDescent="0.15">
      <c r="B73" s="106">
        <f t="shared" si="33"/>
        <v>40075</v>
      </c>
      <c r="C73" s="107">
        <f t="shared" si="34"/>
        <v>40081</v>
      </c>
      <c r="D73" s="99">
        <f t="shared" si="27"/>
        <v>40081</v>
      </c>
      <c r="E73" s="91">
        <v>47</v>
      </c>
      <c r="F73" s="407">
        <f>IF(ISERROR(VLOOKUP(E73,Crop!$X$3:$Y$70,2,FALSE)),0,VLOOKUP(E73,Crop!$X$3:$Y$70,2,FALSE))</f>
        <v>12</v>
      </c>
      <c r="G73" s="100">
        <f>IF(ISERROR(HLOOKUP($D$5,Kc!$B$3:$AI$57,paddy_rain!F73+3,FALSE)),0,HLOOKUP($D$5,Kc!$B$3:$AI$57,paddy_rain!F73+3,FALSE))</f>
        <v>0.94</v>
      </c>
      <c r="H73" s="112">
        <f t="shared" si="17"/>
        <v>9820</v>
      </c>
      <c r="I73" s="113">
        <f t="shared" si="18"/>
        <v>10432</v>
      </c>
      <c r="J73" s="113">
        <f t="shared" si="19"/>
        <v>12500</v>
      </c>
      <c r="K73" s="113">
        <f t="shared" si="35"/>
        <v>12979</v>
      </c>
      <c r="L73" s="113">
        <f t="shared" si="35"/>
        <v>0</v>
      </c>
      <c r="M73" s="113">
        <f t="shared" si="35"/>
        <v>0</v>
      </c>
      <c r="N73" s="113">
        <f t="shared" si="35"/>
        <v>0</v>
      </c>
      <c r="O73" s="113">
        <f t="shared" si="35"/>
        <v>0</v>
      </c>
      <c r="P73" s="113">
        <f t="shared" si="35"/>
        <v>0</v>
      </c>
      <c r="Q73" s="113">
        <f t="shared" si="35"/>
        <v>0</v>
      </c>
      <c r="R73" s="113">
        <f t="shared" si="35"/>
        <v>0</v>
      </c>
      <c r="S73" s="113">
        <f t="shared" si="35"/>
        <v>0</v>
      </c>
      <c r="T73" s="113">
        <f t="shared" si="35"/>
        <v>0</v>
      </c>
      <c r="U73" s="113">
        <f t="shared" si="36"/>
        <v>0</v>
      </c>
      <c r="V73" s="113">
        <f t="shared" si="36"/>
        <v>0</v>
      </c>
      <c r="W73" s="113">
        <f t="shared" si="36"/>
        <v>0</v>
      </c>
      <c r="X73" s="113">
        <f t="shared" si="36"/>
        <v>0</v>
      </c>
      <c r="Y73" s="113">
        <f t="shared" si="36"/>
        <v>0</v>
      </c>
      <c r="Z73" s="113">
        <f t="shared" si="36"/>
        <v>0</v>
      </c>
      <c r="AA73" s="113">
        <f t="shared" si="36"/>
        <v>0</v>
      </c>
      <c r="AB73" s="117">
        <f t="shared" si="16"/>
        <v>45731</v>
      </c>
      <c r="AC73" s="405">
        <f t="shared" si="24"/>
        <v>1.2517185279132319</v>
      </c>
      <c r="AD73" s="100">
        <f>VLOOKUP($D$7,ETo!$B$4:$P$88,MONTH(D73)+2,FALSE)/4</f>
        <v>28.50368641826438</v>
      </c>
      <c r="AE73" s="100">
        <f t="shared" si="28"/>
        <v>49.678592403570271</v>
      </c>
      <c r="AF73" s="101">
        <f t="shared" si="29"/>
        <v>3634962.7347322758</v>
      </c>
      <c r="AG73" s="101">
        <f t="shared" si="30"/>
        <v>0</v>
      </c>
      <c r="AH73" s="101">
        <f t="shared" si="31"/>
        <v>0</v>
      </c>
      <c r="AI73" s="101">
        <f t="shared" si="32"/>
        <v>3634962.7347322758</v>
      </c>
      <c r="AJ73" s="101">
        <f>VLOOKUP(MONTH(D73),[0]!rainforpaddy,4)/1000*AB73*1600*7</f>
        <v>3981401.8346666661</v>
      </c>
    </row>
    <row r="74" spans="2:36" x14ac:dyDescent="0.15">
      <c r="B74" s="106">
        <f t="shared" si="33"/>
        <v>40082</v>
      </c>
      <c r="C74" s="107">
        <f t="shared" si="34"/>
        <v>40088</v>
      </c>
      <c r="D74" s="99">
        <f t="shared" si="27"/>
        <v>40088</v>
      </c>
      <c r="E74" s="91">
        <v>48</v>
      </c>
      <c r="F74" s="407">
        <f>IF(ISERROR(VLOOKUP(E74,Crop!$X$3:$Y$70,2,FALSE)),0,VLOOKUP(E74,Crop!$X$3:$Y$70,2,FALSE))</f>
        <v>13</v>
      </c>
      <c r="G74" s="100">
        <f>IF(ISERROR(HLOOKUP($D$5,Kc!$B$3:$AI$57,paddy_rain!F74+3,FALSE)),0,HLOOKUP($D$5,Kc!$B$3:$AI$57,paddy_rain!F74+3,FALSE))</f>
        <v>0.86</v>
      </c>
      <c r="H74" s="112">
        <f t="shared" si="17"/>
        <v>9820</v>
      </c>
      <c r="I74" s="113">
        <f t="shared" si="18"/>
        <v>10432</v>
      </c>
      <c r="J74" s="113">
        <f t="shared" si="19"/>
        <v>12500</v>
      </c>
      <c r="K74" s="113">
        <f t="shared" si="35"/>
        <v>12979</v>
      </c>
      <c r="L74" s="113">
        <f t="shared" si="35"/>
        <v>0</v>
      </c>
      <c r="M74" s="113">
        <f t="shared" si="35"/>
        <v>0</v>
      </c>
      <c r="N74" s="113">
        <f t="shared" si="35"/>
        <v>0</v>
      </c>
      <c r="O74" s="113">
        <f t="shared" si="35"/>
        <v>0</v>
      </c>
      <c r="P74" s="113">
        <f t="shared" si="35"/>
        <v>0</v>
      </c>
      <c r="Q74" s="113">
        <f t="shared" si="35"/>
        <v>0</v>
      </c>
      <c r="R74" s="113">
        <f t="shared" si="35"/>
        <v>0</v>
      </c>
      <c r="S74" s="113">
        <f t="shared" si="35"/>
        <v>0</v>
      </c>
      <c r="T74" s="113">
        <f t="shared" si="35"/>
        <v>0</v>
      </c>
      <c r="U74" s="113">
        <f t="shared" si="36"/>
        <v>0</v>
      </c>
      <c r="V74" s="113">
        <f t="shared" si="36"/>
        <v>0</v>
      </c>
      <c r="W74" s="113">
        <f t="shared" si="36"/>
        <v>0</v>
      </c>
      <c r="X74" s="113">
        <f t="shared" si="36"/>
        <v>0</v>
      </c>
      <c r="Y74" s="113">
        <f t="shared" si="36"/>
        <v>0</v>
      </c>
      <c r="Z74" s="113">
        <f t="shared" si="36"/>
        <v>0</v>
      </c>
      <c r="AA74" s="113">
        <f t="shared" si="36"/>
        <v>0</v>
      </c>
      <c r="AB74" s="117">
        <f t="shared" si="16"/>
        <v>45731</v>
      </c>
      <c r="AC74" s="405">
        <f t="shared" si="24"/>
        <v>1.1156139161619032</v>
      </c>
      <c r="AD74" s="100">
        <f>VLOOKUP($D$7,ETo!$B$4:$P$88,MONTH(D74)+2,FALSE)/4</f>
        <v>29.411745068861798</v>
      </c>
      <c r="AE74" s="100">
        <f t="shared" si="28"/>
        <v>46.812152097428452</v>
      </c>
      <c r="AF74" s="101">
        <f t="shared" si="29"/>
        <v>3425226.4441080014</v>
      </c>
      <c r="AG74" s="101">
        <f t="shared" si="30"/>
        <v>0</v>
      </c>
      <c r="AH74" s="101">
        <f t="shared" si="31"/>
        <v>0</v>
      </c>
      <c r="AI74" s="101">
        <f t="shared" si="32"/>
        <v>3425226.4441080014</v>
      </c>
      <c r="AJ74" s="101">
        <f>VLOOKUP(MONTH(D74),[0]!rainforpaddy,4)/1000*AB74*1600*7</f>
        <v>2513021.7135483869</v>
      </c>
    </row>
    <row r="75" spans="2:36" x14ac:dyDescent="0.15">
      <c r="B75" s="106">
        <f t="shared" si="33"/>
        <v>40089</v>
      </c>
      <c r="C75" s="107">
        <f t="shared" si="34"/>
        <v>40095</v>
      </c>
      <c r="D75" s="99">
        <f t="shared" si="27"/>
        <v>40095</v>
      </c>
      <c r="E75" s="91">
        <v>49</v>
      </c>
      <c r="F75" s="407">
        <f>IF(ISERROR(VLOOKUP(E75,Crop!$X$3:$Y$70,2,FALSE)),0,VLOOKUP(E75,Crop!$X$3:$Y$70,2,FALSE))</f>
        <v>0</v>
      </c>
      <c r="G75" s="100">
        <f>IF(ISERROR(HLOOKUP($D$5,Kc!$B$3:$AI$57,paddy_rain!F75+3,FALSE)),0,HLOOKUP($D$5,Kc!$B$3:$AI$57,paddy_rain!F75+3,FALSE))</f>
        <v>0</v>
      </c>
      <c r="H75" s="112">
        <f t="shared" si="17"/>
        <v>0</v>
      </c>
      <c r="I75" s="113">
        <f t="shared" si="18"/>
        <v>10432</v>
      </c>
      <c r="J75" s="113">
        <f t="shared" si="19"/>
        <v>12500</v>
      </c>
      <c r="K75" s="113">
        <f t="shared" si="35"/>
        <v>12979</v>
      </c>
      <c r="L75" s="113">
        <f t="shared" si="35"/>
        <v>0</v>
      </c>
      <c r="M75" s="113">
        <f t="shared" si="35"/>
        <v>0</v>
      </c>
      <c r="N75" s="113">
        <f t="shared" si="35"/>
        <v>0</v>
      </c>
      <c r="O75" s="113">
        <f t="shared" si="35"/>
        <v>0</v>
      </c>
      <c r="P75" s="113">
        <f t="shared" si="35"/>
        <v>0</v>
      </c>
      <c r="Q75" s="113">
        <f t="shared" si="35"/>
        <v>0</v>
      </c>
      <c r="R75" s="113">
        <f t="shared" si="35"/>
        <v>0</v>
      </c>
      <c r="S75" s="113">
        <f t="shared" si="35"/>
        <v>0</v>
      </c>
      <c r="T75" s="113">
        <f t="shared" si="35"/>
        <v>0</v>
      </c>
      <c r="U75" s="113">
        <f t="shared" si="36"/>
        <v>0</v>
      </c>
      <c r="V75" s="113">
        <f t="shared" si="36"/>
        <v>0</v>
      </c>
      <c r="W75" s="113">
        <f t="shared" si="36"/>
        <v>0</v>
      </c>
      <c r="X75" s="113">
        <f t="shared" si="36"/>
        <v>0</v>
      </c>
      <c r="Y75" s="113">
        <f t="shared" si="36"/>
        <v>0</v>
      </c>
      <c r="Z75" s="113">
        <f t="shared" si="36"/>
        <v>0</v>
      </c>
      <c r="AA75" s="113">
        <f t="shared" si="36"/>
        <v>0</v>
      </c>
      <c r="AB75" s="117">
        <f t="shared" si="16"/>
        <v>35911</v>
      </c>
      <c r="AC75" s="405">
        <f t="shared" si="24"/>
        <v>1.0215724986772856</v>
      </c>
      <c r="AD75" s="100">
        <f>VLOOKUP($D$7,ETo!$B$4:$P$88,MONTH(D75)+2,FALSE)/4</f>
        <v>29.411745068861798</v>
      </c>
      <c r="AE75" s="100">
        <f t="shared" si="28"/>
        <v>44.046229900456481</v>
      </c>
      <c r="AF75" s="101">
        <f t="shared" si="29"/>
        <v>2530790.6591284685</v>
      </c>
      <c r="AG75" s="101">
        <f t="shared" si="30"/>
        <v>0</v>
      </c>
      <c r="AH75" s="101">
        <f t="shared" si="31"/>
        <v>0</v>
      </c>
      <c r="AI75" s="101">
        <f t="shared" si="32"/>
        <v>2530790.6591284685</v>
      </c>
      <c r="AJ75" s="101">
        <f>VLOOKUP(MONTH(D75),[0]!rainforpaddy,4)/1000*AB75*1600*7</f>
        <v>1973390.5393548389</v>
      </c>
    </row>
    <row r="76" spans="2:36" x14ac:dyDescent="0.15">
      <c r="B76" s="106">
        <f t="shared" si="33"/>
        <v>40096</v>
      </c>
      <c r="C76" s="107">
        <f t="shared" si="34"/>
        <v>40102</v>
      </c>
      <c r="D76" s="99">
        <f t="shared" si="27"/>
        <v>40102</v>
      </c>
      <c r="E76" s="91">
        <v>50</v>
      </c>
      <c r="F76" s="407">
        <f>IF(ISERROR(VLOOKUP(E76,Crop!$X$3:$Y$70,2,FALSE)),0,VLOOKUP(E76,Crop!$X$3:$Y$70,2,FALSE))</f>
        <v>0</v>
      </c>
      <c r="G76" s="100">
        <f>IF(ISERROR(HLOOKUP($D$5,Kc!$B$3:$AI$57,paddy_rain!F76+3,FALSE)),0,HLOOKUP($D$5,Kc!$B$3:$AI$57,paddy_rain!F76+3,FALSE))</f>
        <v>0</v>
      </c>
      <c r="H76" s="112">
        <f t="shared" si="17"/>
        <v>0</v>
      </c>
      <c r="I76" s="113">
        <f t="shared" si="18"/>
        <v>0</v>
      </c>
      <c r="J76" s="113">
        <f t="shared" si="19"/>
        <v>12500</v>
      </c>
      <c r="K76" s="113">
        <f t="shared" si="35"/>
        <v>12979</v>
      </c>
      <c r="L76" s="113">
        <f t="shared" si="35"/>
        <v>0</v>
      </c>
      <c r="M76" s="113">
        <f t="shared" si="35"/>
        <v>0</v>
      </c>
      <c r="N76" s="113">
        <f t="shared" si="35"/>
        <v>0</v>
      </c>
      <c r="O76" s="113">
        <f t="shared" si="35"/>
        <v>0</v>
      </c>
      <c r="P76" s="113">
        <f t="shared" si="35"/>
        <v>0</v>
      </c>
      <c r="Q76" s="113">
        <f t="shared" si="35"/>
        <v>0</v>
      </c>
      <c r="R76" s="113">
        <f t="shared" si="35"/>
        <v>0</v>
      </c>
      <c r="S76" s="113">
        <f t="shared" si="35"/>
        <v>0</v>
      </c>
      <c r="T76" s="113">
        <f t="shared" si="35"/>
        <v>0</v>
      </c>
      <c r="U76" s="113">
        <f t="shared" si="36"/>
        <v>0</v>
      </c>
      <c r="V76" s="113">
        <f t="shared" si="36"/>
        <v>0</v>
      </c>
      <c r="W76" s="113">
        <f t="shared" si="36"/>
        <v>0</v>
      </c>
      <c r="X76" s="113">
        <f t="shared" si="36"/>
        <v>0</v>
      </c>
      <c r="Y76" s="113">
        <f t="shared" si="36"/>
        <v>0</v>
      </c>
      <c r="Z76" s="113">
        <f t="shared" si="36"/>
        <v>0</v>
      </c>
      <c r="AA76" s="113">
        <f t="shared" si="36"/>
        <v>0</v>
      </c>
      <c r="AB76" s="117">
        <f t="shared" si="16"/>
        <v>25479</v>
      </c>
      <c r="AC76" s="405">
        <f t="shared" si="24"/>
        <v>0.90075199183641419</v>
      </c>
      <c r="AD76" s="100">
        <f>VLOOKUP($D$7,ETo!$B$4:$P$88,MONTH(D76)+2,FALSE)/4</f>
        <v>29.411745068861798</v>
      </c>
      <c r="AE76" s="100">
        <f t="shared" si="28"/>
        <v>40.492687954162093</v>
      </c>
      <c r="AF76" s="101">
        <f t="shared" si="29"/>
        <v>1650741.1142145535</v>
      </c>
      <c r="AG76" s="101">
        <f t="shared" si="30"/>
        <v>0</v>
      </c>
      <c r="AH76" s="101">
        <f t="shared" si="31"/>
        <v>0</v>
      </c>
      <c r="AI76" s="101">
        <f t="shared" si="32"/>
        <v>1650741.1142145535</v>
      </c>
      <c r="AJ76" s="101">
        <f>VLOOKUP(MONTH(D76),[0]!rainforpaddy,4)/1000*AB76*1600*7</f>
        <v>1400128.5832258062</v>
      </c>
    </row>
    <row r="77" spans="2:36" x14ac:dyDescent="0.15">
      <c r="B77" s="106">
        <f t="shared" si="33"/>
        <v>40103</v>
      </c>
      <c r="C77" s="107">
        <f t="shared" si="34"/>
        <v>40109</v>
      </c>
      <c r="D77" s="99">
        <f t="shared" si="27"/>
        <v>40109</v>
      </c>
      <c r="E77" s="91">
        <v>51</v>
      </c>
      <c r="F77" s="407">
        <f>IF(ISERROR(VLOOKUP(E77,Crop!$X$3:$Y$70,2,FALSE)),0,VLOOKUP(E77,Crop!$X$3:$Y$70,2,FALSE))</f>
        <v>0</v>
      </c>
      <c r="G77" s="100">
        <f>IF(ISERROR(HLOOKUP($D$5,Kc!$B$3:$AI$57,paddy_rain!F77+3,FALSE)),0,HLOOKUP($D$5,Kc!$B$3:$AI$57,paddy_rain!F77+3,FALSE))</f>
        <v>0</v>
      </c>
      <c r="H77" s="112">
        <f t="shared" si="17"/>
        <v>0</v>
      </c>
      <c r="I77" s="113">
        <f t="shared" si="18"/>
        <v>0</v>
      </c>
      <c r="J77" s="113">
        <f t="shared" si="19"/>
        <v>0</v>
      </c>
      <c r="K77" s="113">
        <f t="shared" si="35"/>
        <v>12979</v>
      </c>
      <c r="L77" s="113">
        <f t="shared" si="35"/>
        <v>0</v>
      </c>
      <c r="M77" s="113">
        <f t="shared" si="35"/>
        <v>0</v>
      </c>
      <c r="N77" s="113">
        <f t="shared" si="35"/>
        <v>0</v>
      </c>
      <c r="O77" s="113">
        <f t="shared" si="35"/>
        <v>0</v>
      </c>
      <c r="P77" s="113">
        <f t="shared" si="35"/>
        <v>0</v>
      </c>
      <c r="Q77" s="113">
        <f t="shared" si="35"/>
        <v>0</v>
      </c>
      <c r="R77" s="113">
        <f t="shared" si="35"/>
        <v>0</v>
      </c>
      <c r="S77" s="113">
        <f t="shared" si="35"/>
        <v>0</v>
      </c>
      <c r="T77" s="113">
        <f t="shared" si="35"/>
        <v>0</v>
      </c>
      <c r="U77" s="113">
        <f t="shared" si="36"/>
        <v>0</v>
      </c>
      <c r="V77" s="113">
        <f t="shared" si="36"/>
        <v>0</v>
      </c>
      <c r="W77" s="113">
        <f t="shared" si="36"/>
        <v>0</v>
      </c>
      <c r="X77" s="113">
        <f t="shared" si="36"/>
        <v>0</v>
      </c>
      <c r="Y77" s="113">
        <f t="shared" si="36"/>
        <v>0</v>
      </c>
      <c r="Z77" s="113">
        <f t="shared" si="36"/>
        <v>0</v>
      </c>
      <c r="AA77" s="113">
        <f t="shared" si="36"/>
        <v>0</v>
      </c>
      <c r="AB77" s="117">
        <f t="shared" si="16"/>
        <v>12979</v>
      </c>
      <c r="AC77" s="405">
        <f t="shared" si="24"/>
        <v>0.86</v>
      </c>
      <c r="AD77" s="100">
        <f>VLOOKUP($D$7,ETo!$B$4:$P$88,MONTH(D77)+2,FALSE)/4</f>
        <v>29.411745068861798</v>
      </c>
      <c r="AE77" s="100">
        <f t="shared" si="28"/>
        <v>39.294100759221145</v>
      </c>
      <c r="AF77" s="101">
        <f t="shared" si="29"/>
        <v>815997.01400629012</v>
      </c>
      <c r="AG77" s="101">
        <f t="shared" si="30"/>
        <v>0</v>
      </c>
      <c r="AH77" s="101">
        <f t="shared" si="31"/>
        <v>0</v>
      </c>
      <c r="AI77" s="101">
        <f t="shared" si="32"/>
        <v>815997.01400629012</v>
      </c>
      <c r="AJ77" s="101">
        <f>VLOOKUP(MONTH(D77),[0]!rainforpaddy,4)/1000*AB77*1600*7</f>
        <v>713225.35741935472</v>
      </c>
    </row>
    <row r="78" spans="2:36" x14ac:dyDescent="0.15">
      <c r="B78" s="108">
        <f t="shared" si="33"/>
        <v>40110</v>
      </c>
      <c r="C78" s="109">
        <f t="shared" si="34"/>
        <v>40116</v>
      </c>
      <c r="D78" s="154">
        <f t="shared" si="27"/>
        <v>40116</v>
      </c>
      <c r="E78" s="92">
        <v>52</v>
      </c>
      <c r="F78" s="408">
        <f>IF(ISERROR(VLOOKUP(E78,Crop!$X$3:$Y$70,2,FALSE)),0,VLOOKUP(E78,Crop!$X$3:$Y$70,2,FALSE))</f>
        <v>0</v>
      </c>
      <c r="G78" s="102">
        <f>IF(ISERROR(HLOOKUP($D$5,Kc!$B$3:$AI$57,paddy_rain!F78+3,FALSE)),0,HLOOKUP($D$5,Kc!$B$3:$AI$57,paddy_rain!F78+3,FALSE))</f>
        <v>0</v>
      </c>
      <c r="H78" s="114">
        <f t="shared" si="17"/>
        <v>0</v>
      </c>
      <c r="I78" s="115">
        <f t="shared" si="18"/>
        <v>0</v>
      </c>
      <c r="J78" s="115">
        <f t="shared" si="19"/>
        <v>0</v>
      </c>
      <c r="K78" s="115">
        <f t="shared" si="35"/>
        <v>0</v>
      </c>
      <c r="L78" s="115">
        <f t="shared" si="35"/>
        <v>0</v>
      </c>
      <c r="M78" s="115">
        <f t="shared" si="35"/>
        <v>0</v>
      </c>
      <c r="N78" s="115">
        <f t="shared" si="35"/>
        <v>0</v>
      </c>
      <c r="O78" s="115">
        <f t="shared" si="35"/>
        <v>0</v>
      </c>
      <c r="P78" s="115">
        <f t="shared" si="35"/>
        <v>0</v>
      </c>
      <c r="Q78" s="115">
        <f t="shared" si="35"/>
        <v>0</v>
      </c>
      <c r="R78" s="115">
        <f t="shared" si="35"/>
        <v>0</v>
      </c>
      <c r="S78" s="115">
        <f t="shared" si="35"/>
        <v>0</v>
      </c>
      <c r="T78" s="115">
        <f t="shared" si="35"/>
        <v>0</v>
      </c>
      <c r="U78" s="115">
        <f t="shared" si="36"/>
        <v>0</v>
      </c>
      <c r="V78" s="115">
        <f t="shared" si="36"/>
        <v>0</v>
      </c>
      <c r="W78" s="115">
        <f t="shared" si="36"/>
        <v>0</v>
      </c>
      <c r="X78" s="115">
        <f t="shared" si="36"/>
        <v>0</v>
      </c>
      <c r="Y78" s="115">
        <f t="shared" si="36"/>
        <v>0</v>
      </c>
      <c r="Z78" s="115">
        <f t="shared" si="36"/>
        <v>0</v>
      </c>
      <c r="AA78" s="115">
        <f t="shared" si="36"/>
        <v>0</v>
      </c>
      <c r="AB78" s="118">
        <f t="shared" si="16"/>
        <v>0</v>
      </c>
      <c r="AC78" s="406">
        <f t="shared" si="24"/>
        <v>0</v>
      </c>
      <c r="AD78" s="102">
        <f>VLOOKUP($D$7,ETo!$B$4:$P$88,MONTH(D78)+2,FALSE)/4</f>
        <v>29.411745068861798</v>
      </c>
      <c r="AE78" s="102">
        <f t="shared" si="28"/>
        <v>0</v>
      </c>
      <c r="AF78" s="103">
        <f t="shared" si="29"/>
        <v>0</v>
      </c>
      <c r="AG78" s="103">
        <f t="shared" si="30"/>
        <v>0</v>
      </c>
      <c r="AH78" s="103">
        <f t="shared" si="31"/>
        <v>0</v>
      </c>
      <c r="AI78" s="103">
        <f t="shared" si="32"/>
        <v>0</v>
      </c>
      <c r="AJ78" s="103">
        <f>VLOOKUP(MONTH(D78),[0]!rainforpaddy,4)/1000*AB78*1600*7</f>
        <v>0</v>
      </c>
    </row>
    <row r="79" spans="2:36" x14ac:dyDescent="0.15">
      <c r="AI79" s="49">
        <f>SUM(AI27:AI78)</f>
        <v>56271423.837880552</v>
      </c>
      <c r="AJ79" s="49">
        <f>SUM(AJ27:AJ78)</f>
        <v>35789157.609634414</v>
      </c>
    </row>
    <row r="80" spans="2:36" x14ac:dyDescent="0.15">
      <c r="AI80" s="50"/>
    </row>
    <row r="81" spans="35:35" x14ac:dyDescent="0.15">
      <c r="AI81" s="601"/>
    </row>
    <row r="82" spans="35:35" x14ac:dyDescent="0.15">
      <c r="AI82" s="602"/>
    </row>
  </sheetData>
  <mergeCells count="3">
    <mergeCell ref="D7:E7"/>
    <mergeCell ref="D4:E4"/>
    <mergeCell ref="D5:E5"/>
  </mergeCells>
  <phoneticPr fontId="2" type="noConversion"/>
  <conditionalFormatting sqref="F27:AJ78">
    <cfRule type="cellIs" dxfId="5" priority="1" stopIfTrue="1" operator="equal">
      <formula>0</formula>
    </cfRule>
  </conditionalFormatting>
  <printOptions horizontalCentered="1"/>
  <pageMargins left="0.51181102362204722" right="0.51181102362204722" top="0.19685039370078741" bottom="0.37" header="0.11811023622047245" footer="0.17"/>
  <pageSetup paperSize="9" scale="64" fitToHeight="2" orientation="landscape"/>
  <headerFooter alignWithMargins="0">
    <oddFooter>&amp;L&amp;Z&amp;F&amp;A&amp;C&amp;P/&amp;N&amp;R&amp;D</oddFooter>
  </headerFooter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60AE-B350-CA40-A6B0-8F796AAF57D6}">
  <sheetPr codeName="Sheet2">
    <tabColor indexed="57"/>
  </sheetPr>
  <dimension ref="B1:AJ80"/>
  <sheetViews>
    <sheetView showGridLines="0" workbookViewId="0">
      <pane xSplit="5" ySplit="26" topLeftCell="F27" activePane="bottomRight" state="frozen"/>
      <selection activeCell="M26" sqref="M26"/>
      <selection pane="topRight" activeCell="M26" sqref="M26"/>
      <selection pane="bottomLeft" activeCell="M26" sqref="M26"/>
      <selection pane="bottomRight" activeCell="D7" sqref="D7:E7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7.83203125" customWidth="1"/>
    <col min="31" max="31" width="9.5" customWidth="1"/>
    <col min="32" max="32" width="10.5" customWidth="1"/>
    <col min="33" max="33" width="8.83203125" customWidth="1"/>
    <col min="34" max="34" width="10.5" customWidth="1"/>
    <col min="35" max="35" width="13.1640625" bestFit="1" customWidth="1"/>
    <col min="36" max="36" width="9.33203125" bestFit="1" customWidth="1"/>
    <col min="37" max="256" width="8.83203125" customWidth="1"/>
  </cols>
  <sheetData>
    <row r="1" spans="2:27" ht="17" thickBot="1" x14ac:dyDescent="0.25">
      <c r="B1" s="51" t="s">
        <v>175</v>
      </c>
    </row>
    <row r="2" spans="2:27" ht="17" thickBot="1" x14ac:dyDescent="0.25">
      <c r="B2" s="51"/>
      <c r="F2" s="403" t="s">
        <v>2</v>
      </c>
      <c r="G2" s="404" t="s">
        <v>371</v>
      </c>
    </row>
    <row r="3" spans="2:27" ht="14" thickBot="1" x14ac:dyDescent="0.2">
      <c r="F3" s="401">
        <v>1</v>
      </c>
      <c r="G3" s="402">
        <f>+fill_data!M31</f>
        <v>0</v>
      </c>
      <c r="H3" s="46"/>
      <c r="S3" s="410">
        <f>+E6</f>
        <v>12</v>
      </c>
      <c r="T3" s="411">
        <v>1</v>
      </c>
    </row>
    <row r="4" spans="2:27" x14ac:dyDescent="0.15">
      <c r="B4" s="127" t="s">
        <v>108</v>
      </c>
      <c r="C4" s="128"/>
      <c r="D4" s="820" t="str">
        <f>+fill_data!C4</f>
        <v>นครราชสีมา</v>
      </c>
      <c r="E4" s="821"/>
      <c r="F4" s="95">
        <f t="shared" ref="F4:F12" si="0">IF(F3="","",IF(F3+1&lt;=$E$9,F3+1,""))</f>
        <v>2</v>
      </c>
      <c r="G4" s="124">
        <f>+fill_data!M32</f>
        <v>0</v>
      </c>
      <c r="H4" s="46"/>
      <c r="S4" s="410">
        <f>IF(+S3+1&gt;52,+S3+1-52,S3+1)</f>
        <v>13</v>
      </c>
      <c r="T4" s="411">
        <v>2</v>
      </c>
    </row>
    <row r="5" spans="2:27" x14ac:dyDescent="0.15">
      <c r="B5" s="129" t="s">
        <v>146</v>
      </c>
      <c r="D5" s="825" t="str">
        <f>+fill_data!J32</f>
        <v>อ้อย</v>
      </c>
      <c r="E5" s="826"/>
      <c r="F5" s="95" t="str">
        <f t="shared" si="0"/>
        <v/>
      </c>
      <c r="G5" s="124">
        <f>+fill_data!M33</f>
        <v>0</v>
      </c>
      <c r="H5" s="46"/>
      <c r="S5" s="410">
        <f t="shared" ref="S5:S22" si="1">IF(+S4+1&gt;52,+S4+1-52,S4+1)</f>
        <v>14</v>
      </c>
      <c r="T5" s="411">
        <v>3</v>
      </c>
    </row>
    <row r="6" spans="2:27" x14ac:dyDescent="0.15">
      <c r="B6" s="130" t="s">
        <v>147</v>
      </c>
      <c r="D6" s="46">
        <f>VLOOKUP(D5,Crop!$B$3:$C$35,2,FALSE)</f>
        <v>44</v>
      </c>
      <c r="E6" s="131">
        <f>+fill_data!K33</f>
        <v>12</v>
      </c>
      <c r="F6" s="95" t="str">
        <f t="shared" si="0"/>
        <v/>
      </c>
      <c r="G6" s="124">
        <f>+fill_data!M34</f>
        <v>0</v>
      </c>
      <c r="H6" s="46"/>
      <c r="S6" s="410">
        <f t="shared" si="1"/>
        <v>15</v>
      </c>
      <c r="T6" s="411">
        <v>4</v>
      </c>
    </row>
    <row r="7" spans="2:27" x14ac:dyDescent="0.15">
      <c r="B7" s="132" t="s">
        <v>377</v>
      </c>
      <c r="D7" s="818" t="str">
        <f>+fill_data!C5</f>
        <v>นครราชสีมา</v>
      </c>
      <c r="E7" s="819"/>
      <c r="F7" s="95" t="str">
        <f t="shared" si="0"/>
        <v/>
      </c>
      <c r="G7" s="124">
        <f>+fill_data!M35</f>
        <v>0</v>
      </c>
      <c r="H7" s="46"/>
      <c r="S7" s="410">
        <f t="shared" si="1"/>
        <v>16</v>
      </c>
      <c r="T7" s="411">
        <v>5</v>
      </c>
    </row>
    <row r="8" spans="2:27" x14ac:dyDescent="0.15">
      <c r="B8" s="133" t="s">
        <v>373</v>
      </c>
      <c r="C8" s="93"/>
      <c r="D8" s="47"/>
      <c r="E8" s="418">
        <f>+fill_data!K34</f>
        <v>0</v>
      </c>
      <c r="F8" s="95" t="str">
        <f t="shared" si="0"/>
        <v/>
      </c>
      <c r="G8" s="124">
        <f>+fill_data!M36</f>
        <v>0</v>
      </c>
      <c r="H8" s="46"/>
      <c r="S8" s="410">
        <f t="shared" si="1"/>
        <v>17</v>
      </c>
      <c r="T8" s="411">
        <v>6</v>
      </c>
    </row>
    <row r="9" spans="2:27" x14ac:dyDescent="0.15">
      <c r="B9" s="133" t="s">
        <v>376</v>
      </c>
      <c r="D9" s="94"/>
      <c r="E9" s="140">
        <f>+fill_data!K35</f>
        <v>2</v>
      </c>
      <c r="F9" s="95" t="str">
        <f t="shared" si="0"/>
        <v/>
      </c>
      <c r="G9" s="124">
        <f>+fill_data!M37</f>
        <v>0</v>
      </c>
      <c r="H9" s="46"/>
      <c r="S9" s="410">
        <f t="shared" si="1"/>
        <v>18</v>
      </c>
      <c r="T9" s="411">
        <v>7</v>
      </c>
    </row>
    <row r="10" spans="2:27" x14ac:dyDescent="0.15">
      <c r="B10" s="132" t="s">
        <v>374</v>
      </c>
      <c r="D10" s="94"/>
      <c r="E10" s="135">
        <f>+fill_data!D6</f>
        <v>14</v>
      </c>
      <c r="F10" s="95" t="str">
        <f t="shared" si="0"/>
        <v/>
      </c>
      <c r="G10" s="124">
        <f>+fill_data!M38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19</v>
      </c>
      <c r="T10" s="412">
        <v>8</v>
      </c>
      <c r="U10" s="43"/>
      <c r="V10" s="43"/>
      <c r="W10" s="43"/>
      <c r="X10" s="43"/>
      <c r="Y10" s="43"/>
      <c r="Z10" s="43"/>
      <c r="AA10" s="43"/>
    </row>
    <row r="11" spans="2:27" ht="14" thickBot="1" x14ac:dyDescent="0.2">
      <c r="B11" s="136" t="s">
        <v>375</v>
      </c>
      <c r="C11" s="137"/>
      <c r="D11" s="138"/>
      <c r="E11" s="139">
        <f>+fill_data!K36</f>
        <v>0</v>
      </c>
      <c r="F11" s="95" t="str">
        <f t="shared" si="0"/>
        <v/>
      </c>
      <c r="G11" s="124">
        <f>+fill_data!M39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20</v>
      </c>
      <c r="T11" s="411">
        <v>9</v>
      </c>
      <c r="U11" s="48"/>
      <c r="V11" s="48"/>
      <c r="W11" s="48"/>
      <c r="X11" s="48"/>
      <c r="Y11" s="48"/>
      <c r="Z11" s="48"/>
      <c r="AA11" s="48"/>
    </row>
    <row r="12" spans="2:27" x14ac:dyDescent="0.15">
      <c r="B12" s="44"/>
      <c r="C12" s="44"/>
      <c r="D12" s="44"/>
      <c r="E12" s="45"/>
      <c r="F12" s="372" t="str">
        <f t="shared" si="0"/>
        <v/>
      </c>
      <c r="G12" s="124">
        <f>+fill_data!M40</f>
        <v>0</v>
      </c>
      <c r="H12" s="46"/>
      <c r="S12" s="410">
        <f t="shared" si="1"/>
        <v>21</v>
      </c>
      <c r="T12" s="411">
        <v>10</v>
      </c>
    </row>
    <row r="13" spans="2:27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+fill_data!M41</f>
        <v>0</v>
      </c>
      <c r="H13" s="46"/>
      <c r="S13" s="410">
        <f t="shared" si="1"/>
        <v>22</v>
      </c>
      <c r="T13" s="411">
        <v>11</v>
      </c>
    </row>
    <row r="14" spans="2:27" hidden="1" x14ac:dyDescent="0.15">
      <c r="B14" s="44"/>
      <c r="C14" s="44"/>
      <c r="D14" s="44"/>
      <c r="E14" s="45"/>
      <c r="F14" s="372" t="str">
        <f t="shared" si="2"/>
        <v/>
      </c>
      <c r="G14" s="124">
        <f>+fill_data!M42</f>
        <v>0</v>
      </c>
      <c r="H14" s="46"/>
      <c r="S14" s="410">
        <f t="shared" si="1"/>
        <v>23</v>
      </c>
      <c r="T14" s="411">
        <v>12</v>
      </c>
    </row>
    <row r="15" spans="2:27" hidden="1" x14ac:dyDescent="0.15">
      <c r="B15" s="44"/>
      <c r="C15" s="44"/>
      <c r="D15" s="44"/>
      <c r="E15" s="45"/>
      <c r="F15" s="372" t="str">
        <f t="shared" si="2"/>
        <v/>
      </c>
      <c r="G15" s="124">
        <f>+fill_data!M43</f>
        <v>0</v>
      </c>
      <c r="H15" s="46"/>
      <c r="S15" s="410">
        <f t="shared" si="1"/>
        <v>24</v>
      </c>
      <c r="T15" s="411">
        <v>13</v>
      </c>
    </row>
    <row r="16" spans="2:27" hidden="1" x14ac:dyDescent="0.15">
      <c r="B16" s="44"/>
      <c r="C16" s="44"/>
      <c r="D16" s="44"/>
      <c r="E16" s="45"/>
      <c r="F16" s="372" t="str">
        <f t="shared" si="2"/>
        <v/>
      </c>
      <c r="G16" s="124">
        <f>+fill_data!M44</f>
        <v>0</v>
      </c>
      <c r="H16" s="46"/>
      <c r="S16" s="410">
        <f t="shared" si="1"/>
        <v>25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+fill_data!M45</f>
        <v>0</v>
      </c>
      <c r="H17" s="46"/>
      <c r="S17" s="410">
        <f t="shared" si="1"/>
        <v>26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+fill_data!M46</f>
        <v>0</v>
      </c>
      <c r="H18" s="46"/>
      <c r="S18" s="410">
        <f t="shared" si="1"/>
        <v>27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+fill_data!M47</f>
        <v>0</v>
      </c>
      <c r="H19" s="46"/>
      <c r="S19" s="410">
        <f t="shared" si="1"/>
        <v>28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+fill_data!M48</f>
        <v>0</v>
      </c>
      <c r="H20" s="46"/>
      <c r="S20" s="410">
        <f t="shared" si="1"/>
        <v>29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+fill_data!M49</f>
        <v>0</v>
      </c>
      <c r="H21" s="46"/>
      <c r="S21" s="410">
        <f t="shared" si="1"/>
        <v>30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+fill_data!M50</f>
        <v>0</v>
      </c>
      <c r="H22" s="46"/>
      <c r="S22" s="410">
        <f t="shared" si="1"/>
        <v>31</v>
      </c>
      <c r="T22" s="411">
        <v>20</v>
      </c>
    </row>
    <row r="23" spans="2:36" x14ac:dyDescent="0.15">
      <c r="B23" s="44"/>
      <c r="C23" s="44"/>
      <c r="D23" s="44"/>
      <c r="E23" s="45"/>
      <c r="H23" s="46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f>B27+6</f>
        <v>39759</v>
      </c>
      <c r="D27" s="99">
        <f>+C27</f>
        <v>39759</v>
      </c>
      <c r="E27" s="90">
        <v>1</v>
      </c>
      <c r="F27" s="176">
        <f>IF(ISERROR(VLOOKUP(E27,Crop!$N$3:$O$70,2,FALSE)),0,VLOOKUP(E27,Crop!$N$3:$O$70,2,FALSE))</f>
        <v>42</v>
      </c>
      <c r="G27" s="97">
        <f>IF(ISERROR(HLOOKUP($D$5,Kc!$B$3:$AI$57,upland_dry!F27+3,FALSE)),0,HLOOKUP($D$5,Kc!$B$3:$AI$57,upland_dry!F27+3,FALSE))</f>
        <v>0.52</v>
      </c>
      <c r="H27" s="110">
        <f t="shared" ref="H27:H35" si="3">IF(G27&gt;0,IF(H$26&gt;$E$9,0,VLOOKUP(H$26,$F$3:$G$23,2,FALSE)),0)</f>
        <v>0</v>
      </c>
      <c r="I27" s="111">
        <f t="shared" ref="I27:R27" si="4">IF(H78&gt;0,IF(I$26&gt;$E$9,0,VLOOKUP(I$26,$F$3:$G$23,2,FALSE)),0)</f>
        <v>0</v>
      </c>
      <c r="J27" s="111">
        <f t="shared" si="4"/>
        <v>0</v>
      </c>
      <c r="K27" s="111">
        <f t="shared" si="4"/>
        <v>0</v>
      </c>
      <c r="L27" s="111">
        <f t="shared" si="4"/>
        <v>0</v>
      </c>
      <c r="M27" s="111">
        <f t="shared" si="4"/>
        <v>0</v>
      </c>
      <c r="N27" s="111">
        <f t="shared" si="4"/>
        <v>0</v>
      </c>
      <c r="O27" s="111">
        <f t="shared" si="4"/>
        <v>0</v>
      </c>
      <c r="P27" s="111">
        <f t="shared" si="4"/>
        <v>0</v>
      </c>
      <c r="Q27" s="111">
        <f t="shared" si="4"/>
        <v>0</v>
      </c>
      <c r="R27" s="111">
        <f t="shared" si="4"/>
        <v>0</v>
      </c>
      <c r="S27" s="111">
        <f t="shared" ref="S27:AA27" si="5">IF(R78&gt;0,IF(S$26&gt;$E$9,0,VLOOKUP(S$26,$F$3:$G$23,2,FALSE)),0)</f>
        <v>0</v>
      </c>
      <c r="T27" s="111">
        <f t="shared" si="5"/>
        <v>0</v>
      </c>
      <c r="U27" s="111">
        <f t="shared" si="5"/>
        <v>0</v>
      </c>
      <c r="V27" s="111">
        <f t="shared" si="5"/>
        <v>0</v>
      </c>
      <c r="W27" s="111">
        <f t="shared" si="5"/>
        <v>0</v>
      </c>
      <c r="X27" s="111">
        <f t="shared" si="5"/>
        <v>0</v>
      </c>
      <c r="Y27" s="111">
        <f t="shared" si="5"/>
        <v>0</v>
      </c>
      <c r="Z27" s="111">
        <f t="shared" si="5"/>
        <v>0</v>
      </c>
      <c r="AA27" s="111">
        <f t="shared" si="5"/>
        <v>0</v>
      </c>
      <c r="AB27" s="116">
        <f>SUM(H27:AA27)</f>
        <v>0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0</v>
      </c>
      <c r="AD27" s="97">
        <f>VLOOKUP($D$7,ETo!$B$4:$P$88,MONTH(D27)+2,FALSE)/4</f>
        <v>26.334910938750578</v>
      </c>
      <c r="AE27" s="97">
        <f t="shared" ref="AE27:AE58" si="6">IF(AC27*AD27=0,0,(AC27*AD27)+$E$10)</f>
        <v>0</v>
      </c>
      <c r="AF27" s="98">
        <f t="shared" ref="AF27:AF58" si="7">AE27*AB27*1.6</f>
        <v>0</v>
      </c>
      <c r="AG27" s="98">
        <f t="shared" ref="AG27:AG58" si="8">IF(ISERROR(INDEX(H27:L27,1,F27)),0,INDEX(H27:L27,1,F27))</f>
        <v>0</v>
      </c>
      <c r="AH27" s="98">
        <f t="shared" ref="AH27:AH58" si="9">AG27*$E$11*1.6</f>
        <v>0</v>
      </c>
      <c r="AI27" s="98">
        <f t="shared" ref="AI27:AI58" si="10">AF27+AH27</f>
        <v>0</v>
      </c>
      <c r="AJ27" s="98">
        <f>VLOOKUP(MONTH(D27),[0]!rainforuplandcrop,4)/1000*AB27*1600*7</f>
        <v>0</v>
      </c>
    </row>
    <row r="28" spans="2:36" x14ac:dyDescent="0.15">
      <c r="B28" s="106">
        <f t="shared" ref="B28:B59" si="11">C27+1</f>
        <v>39760</v>
      </c>
      <c r="C28" s="107">
        <f t="shared" ref="C28:C59" si="12">B28+6</f>
        <v>39766</v>
      </c>
      <c r="D28" s="99">
        <f>+C28</f>
        <v>39766</v>
      </c>
      <c r="E28" s="91">
        <v>2</v>
      </c>
      <c r="F28" s="407">
        <f>IF(ISERROR(VLOOKUP(E28,Crop!$N$3:$O$70,2,FALSE)),0,VLOOKUP(E28,Crop!$N$3:$O$70,2,FALSE))</f>
        <v>43</v>
      </c>
      <c r="G28" s="100">
        <f>IF(ISERROR(HLOOKUP($D$5,Kc!$B$3:$AI$57,upland_dry!F28+3,FALSE)),0,HLOOKUP($D$5,Kc!$B$3:$AI$57,upland_dry!F28+3,FALSE))</f>
        <v>0.52</v>
      </c>
      <c r="H28" s="112">
        <f t="shared" si="3"/>
        <v>0</v>
      </c>
      <c r="I28" s="113">
        <f t="shared" ref="I28:R36" si="13">IF(H27&gt;0,IF(I$26&gt;$E$9,0,VLOOKUP(I$26,$F$3:$G$23,2,FALSE)),0)</f>
        <v>0</v>
      </c>
      <c r="J28" s="113">
        <f t="shared" si="13"/>
        <v>0</v>
      </c>
      <c r="K28" s="113">
        <f t="shared" si="13"/>
        <v>0</v>
      </c>
      <c r="L28" s="113">
        <f t="shared" si="13"/>
        <v>0</v>
      </c>
      <c r="M28" s="113">
        <f t="shared" si="13"/>
        <v>0</v>
      </c>
      <c r="N28" s="113">
        <f t="shared" si="13"/>
        <v>0</v>
      </c>
      <c r="O28" s="113">
        <f t="shared" si="13"/>
        <v>0</v>
      </c>
      <c r="P28" s="113">
        <f t="shared" si="13"/>
        <v>0</v>
      </c>
      <c r="Q28" s="113">
        <f t="shared" si="13"/>
        <v>0</v>
      </c>
      <c r="R28" s="113">
        <f t="shared" si="13"/>
        <v>0</v>
      </c>
      <c r="S28" s="113">
        <f t="shared" ref="S28:AA36" si="14">IF(R27&gt;0,IF(S$26&gt;$E$9,0,VLOOKUP(S$26,$F$3:$G$23,2,FALSE)),0)</f>
        <v>0</v>
      </c>
      <c r="T28" s="113">
        <f t="shared" si="14"/>
        <v>0</v>
      </c>
      <c r="U28" s="113">
        <f t="shared" si="14"/>
        <v>0</v>
      </c>
      <c r="V28" s="113">
        <f t="shared" si="14"/>
        <v>0</v>
      </c>
      <c r="W28" s="113">
        <f t="shared" si="14"/>
        <v>0</v>
      </c>
      <c r="X28" s="113">
        <f t="shared" si="14"/>
        <v>0</v>
      </c>
      <c r="Y28" s="113">
        <f t="shared" si="14"/>
        <v>0</v>
      </c>
      <c r="Z28" s="113">
        <f t="shared" si="14"/>
        <v>0</v>
      </c>
      <c r="AA28" s="113">
        <f t="shared" si="14"/>
        <v>0</v>
      </c>
      <c r="AB28" s="117">
        <f t="shared" ref="AB28:AB78" si="15">SUM(H28:AA28)</f>
        <v>0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0</v>
      </c>
      <c r="AD28" s="100">
        <f>VLOOKUP($D$7,ETo!$B$4:$P$88,MONTH(D28)+2,FALSE)/4</f>
        <v>26.334910938750578</v>
      </c>
      <c r="AE28" s="100">
        <f t="shared" si="6"/>
        <v>0</v>
      </c>
      <c r="AF28" s="101">
        <f t="shared" si="7"/>
        <v>0</v>
      </c>
      <c r="AG28" s="101">
        <f t="shared" si="8"/>
        <v>0</v>
      </c>
      <c r="AH28" s="101">
        <f t="shared" si="9"/>
        <v>0</v>
      </c>
      <c r="AI28" s="101">
        <f t="shared" si="10"/>
        <v>0</v>
      </c>
      <c r="AJ28" s="101">
        <f>VLOOKUP(MONTH(D28),[0]!rainforuplandcrop,4)/1000*AB28*1600*7</f>
        <v>0</v>
      </c>
    </row>
    <row r="29" spans="2:36" x14ac:dyDescent="0.15">
      <c r="B29" s="106">
        <f t="shared" si="11"/>
        <v>39767</v>
      </c>
      <c r="C29" s="107">
        <f t="shared" si="12"/>
        <v>39773</v>
      </c>
      <c r="D29" s="99">
        <f t="shared" ref="D29:D78" si="16">+C29</f>
        <v>39773</v>
      </c>
      <c r="E29" s="91">
        <v>3</v>
      </c>
      <c r="F29" s="407">
        <f>IF(ISERROR(VLOOKUP(E29,Crop!$N$3:$O$70,2,FALSE)),0,VLOOKUP(E29,Crop!$N$3:$O$70,2,FALSE))</f>
        <v>44</v>
      </c>
      <c r="G29" s="100">
        <f>IF(ISERROR(HLOOKUP($D$5,Kc!$B$3:$AI$57,upland_dry!F29+3,FALSE)),0,HLOOKUP($D$5,Kc!$B$3:$AI$57,upland_dry!F29+3,FALSE))</f>
        <v>0.52</v>
      </c>
      <c r="H29" s="112">
        <f t="shared" si="3"/>
        <v>0</v>
      </c>
      <c r="I29" s="113">
        <f t="shared" si="13"/>
        <v>0</v>
      </c>
      <c r="J29" s="113">
        <f t="shared" si="13"/>
        <v>0</v>
      </c>
      <c r="K29" s="113">
        <f t="shared" si="13"/>
        <v>0</v>
      </c>
      <c r="L29" s="113">
        <f t="shared" si="13"/>
        <v>0</v>
      </c>
      <c r="M29" s="113">
        <f t="shared" si="13"/>
        <v>0</v>
      </c>
      <c r="N29" s="113">
        <f t="shared" si="13"/>
        <v>0</v>
      </c>
      <c r="O29" s="113">
        <f t="shared" si="13"/>
        <v>0</v>
      </c>
      <c r="P29" s="113">
        <f t="shared" si="13"/>
        <v>0</v>
      </c>
      <c r="Q29" s="113">
        <f t="shared" si="13"/>
        <v>0</v>
      </c>
      <c r="R29" s="113">
        <f t="shared" si="13"/>
        <v>0</v>
      </c>
      <c r="S29" s="113">
        <f t="shared" si="14"/>
        <v>0</v>
      </c>
      <c r="T29" s="113">
        <f t="shared" si="14"/>
        <v>0</v>
      </c>
      <c r="U29" s="113">
        <f t="shared" si="14"/>
        <v>0</v>
      </c>
      <c r="V29" s="113">
        <f t="shared" si="14"/>
        <v>0</v>
      </c>
      <c r="W29" s="113">
        <f t="shared" si="14"/>
        <v>0</v>
      </c>
      <c r="X29" s="113">
        <f t="shared" si="14"/>
        <v>0</v>
      </c>
      <c r="Y29" s="113">
        <f t="shared" si="14"/>
        <v>0</v>
      </c>
      <c r="Z29" s="113">
        <f t="shared" si="14"/>
        <v>0</v>
      </c>
      <c r="AA29" s="113">
        <f t="shared" si="14"/>
        <v>0</v>
      </c>
      <c r="AB29" s="117">
        <f t="shared" si="15"/>
        <v>0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0</v>
      </c>
      <c r="AD29" s="100">
        <f>VLOOKUP($D$7,ETo!$B$4:$P$88,MONTH(D29)+2,FALSE)/4</f>
        <v>26.334910938750578</v>
      </c>
      <c r="AE29" s="100">
        <f t="shared" si="6"/>
        <v>0</v>
      </c>
      <c r="AF29" s="101">
        <f t="shared" si="7"/>
        <v>0</v>
      </c>
      <c r="AG29" s="101">
        <f t="shared" si="8"/>
        <v>0</v>
      </c>
      <c r="AH29" s="101">
        <f t="shared" si="9"/>
        <v>0</v>
      </c>
      <c r="AI29" s="101">
        <f t="shared" si="10"/>
        <v>0</v>
      </c>
      <c r="AJ29" s="101">
        <f>VLOOKUP(MONTH(D29),[0]!rainforuplandcrop,4)/1000*AB29*1600*7</f>
        <v>0</v>
      </c>
    </row>
    <row r="30" spans="2:36" x14ac:dyDescent="0.15">
      <c r="B30" s="106">
        <f t="shared" si="11"/>
        <v>39774</v>
      </c>
      <c r="C30" s="107">
        <f t="shared" si="12"/>
        <v>39780</v>
      </c>
      <c r="D30" s="99">
        <f t="shared" si="16"/>
        <v>39780</v>
      </c>
      <c r="E30" s="91">
        <v>4</v>
      </c>
      <c r="F30" s="407">
        <f>IF(ISERROR(VLOOKUP(E30,Crop!$N$3:$O$70,2,FALSE)),0,VLOOKUP(E30,Crop!$N$3:$O$70,2,FALSE))</f>
        <v>0</v>
      </c>
      <c r="G30" s="100">
        <f>IF(ISERROR(HLOOKUP($D$5,Kc!$B$3:$AI$57,upland_dry!F30+3,FALSE)),0,HLOOKUP($D$5,Kc!$B$3:$AI$57,upland_dry!F30+3,FALSE))</f>
        <v>0</v>
      </c>
      <c r="H30" s="112">
        <f t="shared" si="3"/>
        <v>0</v>
      </c>
      <c r="I30" s="113">
        <f t="shared" si="13"/>
        <v>0</v>
      </c>
      <c r="J30" s="113">
        <f t="shared" si="13"/>
        <v>0</v>
      </c>
      <c r="K30" s="113">
        <f t="shared" si="13"/>
        <v>0</v>
      </c>
      <c r="L30" s="113">
        <f t="shared" si="13"/>
        <v>0</v>
      </c>
      <c r="M30" s="113">
        <f t="shared" si="13"/>
        <v>0</v>
      </c>
      <c r="N30" s="113">
        <f t="shared" si="13"/>
        <v>0</v>
      </c>
      <c r="O30" s="113">
        <f t="shared" si="13"/>
        <v>0</v>
      </c>
      <c r="P30" s="113">
        <f t="shared" si="13"/>
        <v>0</v>
      </c>
      <c r="Q30" s="113">
        <f t="shared" si="13"/>
        <v>0</v>
      </c>
      <c r="R30" s="113">
        <f t="shared" si="13"/>
        <v>0</v>
      </c>
      <c r="S30" s="113">
        <f t="shared" si="14"/>
        <v>0</v>
      </c>
      <c r="T30" s="113">
        <f t="shared" si="14"/>
        <v>0</v>
      </c>
      <c r="U30" s="113">
        <f t="shared" si="14"/>
        <v>0</v>
      </c>
      <c r="V30" s="113">
        <f t="shared" si="14"/>
        <v>0</v>
      </c>
      <c r="W30" s="113">
        <f t="shared" si="14"/>
        <v>0</v>
      </c>
      <c r="X30" s="113">
        <f t="shared" si="14"/>
        <v>0</v>
      </c>
      <c r="Y30" s="113">
        <f t="shared" si="14"/>
        <v>0</v>
      </c>
      <c r="Z30" s="113">
        <f t="shared" si="14"/>
        <v>0</v>
      </c>
      <c r="AA30" s="113">
        <f t="shared" si="14"/>
        <v>0</v>
      </c>
      <c r="AB30" s="117">
        <f t="shared" si="15"/>
        <v>0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0</v>
      </c>
      <c r="AD30" s="100">
        <f>VLOOKUP($D$7,ETo!$B$4:$P$88,MONTH(D30)+2,FALSE)/4</f>
        <v>26.334910938750578</v>
      </c>
      <c r="AE30" s="100">
        <f t="shared" si="6"/>
        <v>0</v>
      </c>
      <c r="AF30" s="101">
        <f t="shared" si="7"/>
        <v>0</v>
      </c>
      <c r="AG30" s="101">
        <f t="shared" si="8"/>
        <v>0</v>
      </c>
      <c r="AH30" s="101">
        <f t="shared" si="9"/>
        <v>0</v>
      </c>
      <c r="AI30" s="101">
        <f t="shared" si="10"/>
        <v>0</v>
      </c>
      <c r="AJ30" s="101">
        <f>VLOOKUP(MONTH(D30),[0]!rainforuplandcrop,4)/1000*AB30*1600*7</f>
        <v>0</v>
      </c>
    </row>
    <row r="31" spans="2:36" x14ac:dyDescent="0.15">
      <c r="B31" s="106">
        <f t="shared" si="11"/>
        <v>39781</v>
      </c>
      <c r="C31" s="107">
        <f t="shared" si="12"/>
        <v>39787</v>
      </c>
      <c r="D31" s="99">
        <f t="shared" si="16"/>
        <v>39787</v>
      </c>
      <c r="E31" s="91">
        <v>5</v>
      </c>
      <c r="F31" s="407">
        <f>IF(ISERROR(VLOOKUP(E31,Crop!$N$3:$O$70,2,FALSE)),0,VLOOKUP(E31,Crop!$N$3:$O$70,2,FALSE))</f>
        <v>0</v>
      </c>
      <c r="G31" s="100">
        <f>IF(ISERROR(HLOOKUP($D$5,Kc!$B$3:$AI$57,upland_dry!F31+3,FALSE)),0,HLOOKUP($D$5,Kc!$B$3:$AI$57,upland_dry!F31+3,FALSE))</f>
        <v>0</v>
      </c>
      <c r="H31" s="112">
        <f t="shared" si="3"/>
        <v>0</v>
      </c>
      <c r="I31" s="113">
        <f t="shared" si="13"/>
        <v>0</v>
      </c>
      <c r="J31" s="113">
        <f t="shared" si="13"/>
        <v>0</v>
      </c>
      <c r="K31" s="113">
        <f t="shared" si="13"/>
        <v>0</v>
      </c>
      <c r="L31" s="113">
        <f t="shared" si="13"/>
        <v>0</v>
      </c>
      <c r="M31" s="113">
        <f t="shared" si="13"/>
        <v>0</v>
      </c>
      <c r="N31" s="113">
        <f t="shared" si="13"/>
        <v>0</v>
      </c>
      <c r="O31" s="113">
        <f t="shared" si="13"/>
        <v>0</v>
      </c>
      <c r="P31" s="113">
        <f t="shared" si="13"/>
        <v>0</v>
      </c>
      <c r="Q31" s="113">
        <f t="shared" si="13"/>
        <v>0</v>
      </c>
      <c r="R31" s="113">
        <f t="shared" si="13"/>
        <v>0</v>
      </c>
      <c r="S31" s="113">
        <f t="shared" si="14"/>
        <v>0</v>
      </c>
      <c r="T31" s="113">
        <f t="shared" si="14"/>
        <v>0</v>
      </c>
      <c r="U31" s="113">
        <f t="shared" si="14"/>
        <v>0</v>
      </c>
      <c r="V31" s="113">
        <f t="shared" si="14"/>
        <v>0</v>
      </c>
      <c r="W31" s="113">
        <f t="shared" si="14"/>
        <v>0</v>
      </c>
      <c r="X31" s="113">
        <f t="shared" si="14"/>
        <v>0</v>
      </c>
      <c r="Y31" s="113">
        <f t="shared" si="14"/>
        <v>0</v>
      </c>
      <c r="Z31" s="113">
        <f t="shared" si="14"/>
        <v>0</v>
      </c>
      <c r="AA31" s="113">
        <f t="shared" si="14"/>
        <v>0</v>
      </c>
      <c r="AB31" s="117">
        <f t="shared" si="15"/>
        <v>0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0</v>
      </c>
      <c r="AD31" s="100">
        <f>VLOOKUP($D$7,ETo!$B$4:$P$88,MONTH(D31)+2,FALSE)/4</f>
        <v>25.152990420694501</v>
      </c>
      <c r="AE31" s="100">
        <f t="shared" si="6"/>
        <v>0</v>
      </c>
      <c r="AF31" s="101">
        <f t="shared" si="7"/>
        <v>0</v>
      </c>
      <c r="AG31" s="101">
        <f t="shared" si="8"/>
        <v>0</v>
      </c>
      <c r="AH31" s="101">
        <f t="shared" si="9"/>
        <v>0</v>
      </c>
      <c r="AI31" s="101">
        <f t="shared" si="10"/>
        <v>0</v>
      </c>
      <c r="AJ31" s="101">
        <f>VLOOKUP(MONTH(D31),[0]!rainforuplandcrop,4)/1000*AB31*1600*7</f>
        <v>0</v>
      </c>
    </row>
    <row r="32" spans="2:36" x14ac:dyDescent="0.15">
      <c r="B32" s="106">
        <f t="shared" si="11"/>
        <v>39788</v>
      </c>
      <c r="C32" s="107">
        <f t="shared" si="12"/>
        <v>39794</v>
      </c>
      <c r="D32" s="99">
        <f t="shared" si="16"/>
        <v>39794</v>
      </c>
      <c r="E32" s="91">
        <v>6</v>
      </c>
      <c r="F32" s="407">
        <f>IF(ISERROR(VLOOKUP(E32,Crop!$N$3:$O$70,2,FALSE)),0,VLOOKUP(E32,Crop!$N$3:$O$70,2,FALSE))</f>
        <v>0</v>
      </c>
      <c r="G32" s="100">
        <f>IF(ISERROR(HLOOKUP($D$5,Kc!$B$3:$AI$57,upland_dry!F32+3,FALSE)),0,HLOOKUP($D$5,Kc!$B$3:$AI$57,upland_dry!F32+3,FALSE))</f>
        <v>0</v>
      </c>
      <c r="H32" s="112">
        <f t="shared" si="3"/>
        <v>0</v>
      </c>
      <c r="I32" s="113">
        <f t="shared" si="13"/>
        <v>0</v>
      </c>
      <c r="J32" s="113">
        <f t="shared" si="13"/>
        <v>0</v>
      </c>
      <c r="K32" s="113">
        <f t="shared" si="13"/>
        <v>0</v>
      </c>
      <c r="L32" s="113">
        <f t="shared" si="13"/>
        <v>0</v>
      </c>
      <c r="M32" s="113">
        <f t="shared" si="13"/>
        <v>0</v>
      </c>
      <c r="N32" s="113">
        <f t="shared" si="13"/>
        <v>0</v>
      </c>
      <c r="O32" s="113">
        <f t="shared" si="13"/>
        <v>0</v>
      </c>
      <c r="P32" s="113">
        <f t="shared" si="13"/>
        <v>0</v>
      </c>
      <c r="Q32" s="113">
        <f t="shared" si="13"/>
        <v>0</v>
      </c>
      <c r="R32" s="113">
        <f t="shared" si="13"/>
        <v>0</v>
      </c>
      <c r="S32" s="113">
        <f t="shared" si="14"/>
        <v>0</v>
      </c>
      <c r="T32" s="113">
        <f t="shared" si="14"/>
        <v>0</v>
      </c>
      <c r="U32" s="113">
        <f t="shared" si="14"/>
        <v>0</v>
      </c>
      <c r="V32" s="113">
        <f t="shared" si="14"/>
        <v>0</v>
      </c>
      <c r="W32" s="113">
        <f t="shared" si="14"/>
        <v>0</v>
      </c>
      <c r="X32" s="113">
        <f t="shared" si="14"/>
        <v>0</v>
      </c>
      <c r="Y32" s="113">
        <f t="shared" si="14"/>
        <v>0</v>
      </c>
      <c r="Z32" s="113">
        <f t="shared" si="14"/>
        <v>0</v>
      </c>
      <c r="AA32" s="113">
        <f t="shared" si="14"/>
        <v>0</v>
      </c>
      <c r="AB32" s="117">
        <f t="shared" si="15"/>
        <v>0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0</v>
      </c>
      <c r="AD32" s="100">
        <f>VLOOKUP($D$7,ETo!$B$4:$P$88,MONTH(D32)+2,FALSE)/4</f>
        <v>25.152990420694501</v>
      </c>
      <c r="AE32" s="100">
        <f t="shared" si="6"/>
        <v>0</v>
      </c>
      <c r="AF32" s="101">
        <f t="shared" si="7"/>
        <v>0</v>
      </c>
      <c r="AG32" s="101">
        <f t="shared" si="8"/>
        <v>0</v>
      </c>
      <c r="AH32" s="101">
        <f t="shared" si="9"/>
        <v>0</v>
      </c>
      <c r="AI32" s="101">
        <f t="shared" si="10"/>
        <v>0</v>
      </c>
      <c r="AJ32" s="101">
        <f>VLOOKUP(MONTH(D32),[0]!rainforuplandcrop,4)/1000*AB32*1600*7</f>
        <v>0</v>
      </c>
    </row>
    <row r="33" spans="2:36" x14ac:dyDescent="0.15">
      <c r="B33" s="106">
        <f t="shared" si="11"/>
        <v>39795</v>
      </c>
      <c r="C33" s="107">
        <f t="shared" si="12"/>
        <v>39801</v>
      </c>
      <c r="D33" s="99">
        <f t="shared" si="16"/>
        <v>39801</v>
      </c>
      <c r="E33" s="91">
        <v>7</v>
      </c>
      <c r="F33" s="407">
        <f>IF(ISERROR(VLOOKUP(E33,Crop!$N$3:$O$70,2,FALSE)),0,VLOOKUP(E33,Crop!$N$3:$O$70,2,FALSE))</f>
        <v>0</v>
      </c>
      <c r="G33" s="100">
        <f>IF(ISERROR(HLOOKUP($D$5,Kc!$B$3:$AI$57,upland_dry!F33+3,FALSE)),0,HLOOKUP($D$5,Kc!$B$3:$AI$57,upland_dry!F33+3,FALSE))</f>
        <v>0</v>
      </c>
      <c r="H33" s="112">
        <f t="shared" si="3"/>
        <v>0</v>
      </c>
      <c r="I33" s="113">
        <f t="shared" si="13"/>
        <v>0</v>
      </c>
      <c r="J33" s="113">
        <f t="shared" si="13"/>
        <v>0</v>
      </c>
      <c r="K33" s="113">
        <f t="shared" si="13"/>
        <v>0</v>
      </c>
      <c r="L33" s="113">
        <f t="shared" si="13"/>
        <v>0</v>
      </c>
      <c r="M33" s="113">
        <f t="shared" si="13"/>
        <v>0</v>
      </c>
      <c r="N33" s="113">
        <f t="shared" si="13"/>
        <v>0</v>
      </c>
      <c r="O33" s="113">
        <f t="shared" si="13"/>
        <v>0</v>
      </c>
      <c r="P33" s="113">
        <f t="shared" si="13"/>
        <v>0</v>
      </c>
      <c r="Q33" s="113">
        <f t="shared" si="13"/>
        <v>0</v>
      </c>
      <c r="R33" s="113">
        <f t="shared" si="13"/>
        <v>0</v>
      </c>
      <c r="S33" s="113">
        <f t="shared" si="14"/>
        <v>0</v>
      </c>
      <c r="T33" s="113">
        <f t="shared" si="14"/>
        <v>0</v>
      </c>
      <c r="U33" s="113">
        <f t="shared" si="14"/>
        <v>0</v>
      </c>
      <c r="V33" s="113">
        <f t="shared" si="14"/>
        <v>0</v>
      </c>
      <c r="W33" s="113">
        <f t="shared" si="14"/>
        <v>0</v>
      </c>
      <c r="X33" s="113">
        <f t="shared" si="14"/>
        <v>0</v>
      </c>
      <c r="Y33" s="113">
        <f t="shared" si="14"/>
        <v>0</v>
      </c>
      <c r="Z33" s="113">
        <f t="shared" si="14"/>
        <v>0</v>
      </c>
      <c r="AA33" s="113">
        <f t="shared" si="14"/>
        <v>0</v>
      </c>
      <c r="AB33" s="117">
        <f t="shared" si="15"/>
        <v>0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0</v>
      </c>
      <c r="AD33" s="100">
        <f>VLOOKUP($D$7,ETo!$B$4:$P$88,MONTH(D33)+2,FALSE)/4</f>
        <v>25.152990420694501</v>
      </c>
      <c r="AE33" s="100">
        <f t="shared" si="6"/>
        <v>0</v>
      </c>
      <c r="AF33" s="101">
        <f t="shared" si="7"/>
        <v>0</v>
      </c>
      <c r="AG33" s="101">
        <f t="shared" si="8"/>
        <v>0</v>
      </c>
      <c r="AH33" s="101">
        <f t="shared" si="9"/>
        <v>0</v>
      </c>
      <c r="AI33" s="101">
        <f t="shared" si="10"/>
        <v>0</v>
      </c>
      <c r="AJ33" s="101">
        <f>VLOOKUP(MONTH(D33),[0]!rainforuplandcrop,4)/1000*AB33*1600*7</f>
        <v>0</v>
      </c>
    </row>
    <row r="34" spans="2:36" x14ac:dyDescent="0.15">
      <c r="B34" s="106">
        <f t="shared" si="11"/>
        <v>39802</v>
      </c>
      <c r="C34" s="107">
        <f t="shared" si="12"/>
        <v>39808</v>
      </c>
      <c r="D34" s="99">
        <f t="shared" si="16"/>
        <v>39808</v>
      </c>
      <c r="E34" s="91">
        <v>8</v>
      </c>
      <c r="F34" s="407">
        <f>IF(ISERROR(VLOOKUP(E34,Crop!$N$3:$O$70,2,FALSE)),0,VLOOKUP(E34,Crop!$N$3:$O$70,2,FALSE))</f>
        <v>0</v>
      </c>
      <c r="G34" s="100">
        <f>IF(ISERROR(HLOOKUP($D$5,Kc!$B$3:$AI$57,upland_dry!F34+3,FALSE)),0,HLOOKUP($D$5,Kc!$B$3:$AI$57,upland_dry!F34+3,FALSE))</f>
        <v>0</v>
      </c>
      <c r="H34" s="112">
        <f t="shared" si="3"/>
        <v>0</v>
      </c>
      <c r="I34" s="113">
        <f t="shared" si="13"/>
        <v>0</v>
      </c>
      <c r="J34" s="113">
        <f t="shared" si="13"/>
        <v>0</v>
      </c>
      <c r="K34" s="113">
        <f t="shared" si="13"/>
        <v>0</v>
      </c>
      <c r="L34" s="113">
        <f t="shared" si="13"/>
        <v>0</v>
      </c>
      <c r="M34" s="113">
        <f t="shared" si="13"/>
        <v>0</v>
      </c>
      <c r="N34" s="113">
        <f t="shared" si="13"/>
        <v>0</v>
      </c>
      <c r="O34" s="113">
        <f t="shared" si="13"/>
        <v>0</v>
      </c>
      <c r="P34" s="113">
        <f t="shared" si="13"/>
        <v>0</v>
      </c>
      <c r="Q34" s="113">
        <f t="shared" si="13"/>
        <v>0</v>
      </c>
      <c r="R34" s="113">
        <f t="shared" si="13"/>
        <v>0</v>
      </c>
      <c r="S34" s="113">
        <f t="shared" si="14"/>
        <v>0</v>
      </c>
      <c r="T34" s="113">
        <f t="shared" si="14"/>
        <v>0</v>
      </c>
      <c r="U34" s="113">
        <f t="shared" si="14"/>
        <v>0</v>
      </c>
      <c r="V34" s="113">
        <f t="shared" si="14"/>
        <v>0</v>
      </c>
      <c r="W34" s="113">
        <f t="shared" si="14"/>
        <v>0</v>
      </c>
      <c r="X34" s="113">
        <f t="shared" si="14"/>
        <v>0</v>
      </c>
      <c r="Y34" s="113">
        <f t="shared" si="14"/>
        <v>0</v>
      </c>
      <c r="Z34" s="113">
        <f t="shared" si="14"/>
        <v>0</v>
      </c>
      <c r="AA34" s="113">
        <f t="shared" si="14"/>
        <v>0</v>
      </c>
      <c r="AB34" s="117">
        <f t="shared" si="15"/>
        <v>0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0</v>
      </c>
      <c r="AD34" s="100">
        <f>VLOOKUP($D$7,ETo!$B$4:$P$88,MONTH(D34)+2,FALSE)/4</f>
        <v>25.152990420694501</v>
      </c>
      <c r="AE34" s="100">
        <f t="shared" si="6"/>
        <v>0</v>
      </c>
      <c r="AF34" s="101">
        <f t="shared" si="7"/>
        <v>0</v>
      </c>
      <c r="AG34" s="101">
        <f t="shared" si="8"/>
        <v>0</v>
      </c>
      <c r="AH34" s="101">
        <f t="shared" si="9"/>
        <v>0</v>
      </c>
      <c r="AI34" s="101">
        <f t="shared" si="10"/>
        <v>0</v>
      </c>
      <c r="AJ34" s="101">
        <f>VLOOKUP(MONTH(D34),[0]!rainforuplandcrop,4)/1000*AB34*1600*7</f>
        <v>0</v>
      </c>
    </row>
    <row r="35" spans="2:36" x14ac:dyDescent="0.15">
      <c r="B35" s="106">
        <f t="shared" si="11"/>
        <v>39809</v>
      </c>
      <c r="C35" s="107">
        <f t="shared" si="12"/>
        <v>39815</v>
      </c>
      <c r="D35" s="99">
        <f t="shared" si="16"/>
        <v>39815</v>
      </c>
      <c r="E35" s="91">
        <v>9</v>
      </c>
      <c r="F35" s="407">
        <f>IF(ISERROR(VLOOKUP(E35,Crop!$N$3:$O$70,2,FALSE)),0,VLOOKUP(E35,Crop!$N$3:$O$70,2,FALSE))</f>
        <v>0</v>
      </c>
      <c r="G35" s="100">
        <f>IF(ISERROR(HLOOKUP($D$5,Kc!$B$3:$AI$57,upland_dry!F35+3,FALSE)),0,HLOOKUP($D$5,Kc!$B$3:$AI$57,upland_dry!F35+3,FALSE))</f>
        <v>0</v>
      </c>
      <c r="H35" s="112">
        <f t="shared" si="3"/>
        <v>0</v>
      </c>
      <c r="I35" s="113">
        <f t="shared" si="13"/>
        <v>0</v>
      </c>
      <c r="J35" s="113">
        <f t="shared" si="13"/>
        <v>0</v>
      </c>
      <c r="K35" s="113">
        <f t="shared" si="13"/>
        <v>0</v>
      </c>
      <c r="L35" s="113">
        <f t="shared" si="13"/>
        <v>0</v>
      </c>
      <c r="M35" s="113">
        <f t="shared" si="13"/>
        <v>0</v>
      </c>
      <c r="N35" s="113">
        <f t="shared" si="13"/>
        <v>0</v>
      </c>
      <c r="O35" s="113">
        <f t="shared" si="13"/>
        <v>0</v>
      </c>
      <c r="P35" s="113">
        <f t="shared" si="13"/>
        <v>0</v>
      </c>
      <c r="Q35" s="113">
        <f t="shared" si="13"/>
        <v>0</v>
      </c>
      <c r="R35" s="113">
        <f t="shared" si="13"/>
        <v>0</v>
      </c>
      <c r="S35" s="113">
        <f t="shared" si="14"/>
        <v>0</v>
      </c>
      <c r="T35" s="113">
        <f t="shared" si="14"/>
        <v>0</v>
      </c>
      <c r="U35" s="113">
        <f t="shared" si="14"/>
        <v>0</v>
      </c>
      <c r="V35" s="113">
        <f t="shared" si="14"/>
        <v>0</v>
      </c>
      <c r="W35" s="113">
        <f t="shared" si="14"/>
        <v>0</v>
      </c>
      <c r="X35" s="113">
        <f t="shared" si="14"/>
        <v>0</v>
      </c>
      <c r="Y35" s="113">
        <f t="shared" si="14"/>
        <v>0</v>
      </c>
      <c r="Z35" s="113">
        <f t="shared" si="14"/>
        <v>0</v>
      </c>
      <c r="AA35" s="113">
        <f t="shared" si="14"/>
        <v>0</v>
      </c>
      <c r="AB35" s="117">
        <f t="shared" si="15"/>
        <v>0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0</v>
      </c>
      <c r="AD35" s="100">
        <f>VLOOKUP($D$7,ETo!$B$4:$P$88,MONTH(D35)+2,FALSE)/4</f>
        <v>26.227032335674728</v>
      </c>
      <c r="AE35" s="100">
        <f t="shared" si="6"/>
        <v>0</v>
      </c>
      <c r="AF35" s="101">
        <f t="shared" si="7"/>
        <v>0</v>
      </c>
      <c r="AG35" s="101">
        <f t="shared" si="8"/>
        <v>0</v>
      </c>
      <c r="AH35" s="101">
        <f t="shared" si="9"/>
        <v>0</v>
      </c>
      <c r="AI35" s="101">
        <f t="shared" si="10"/>
        <v>0</v>
      </c>
      <c r="AJ35" s="101">
        <f>VLOOKUP(MONTH(D35),[0]!rainforuplandcrop,4)/1000*AB35*1600*7</f>
        <v>0</v>
      </c>
    </row>
    <row r="36" spans="2:36" x14ac:dyDescent="0.15">
      <c r="B36" s="106">
        <f t="shared" si="11"/>
        <v>39816</v>
      </c>
      <c r="C36" s="107">
        <f t="shared" si="12"/>
        <v>39822</v>
      </c>
      <c r="D36" s="99">
        <f t="shared" si="16"/>
        <v>39822</v>
      </c>
      <c r="E36" s="91">
        <v>10</v>
      </c>
      <c r="F36" s="407">
        <f>IF(ISERROR(VLOOKUP(E36,Crop!$N$3:$O$70,2,FALSE)),0,VLOOKUP(E36,Crop!$N$3:$O$70,2,FALSE))</f>
        <v>0</v>
      </c>
      <c r="G36" s="100">
        <f>IF(ISERROR(HLOOKUP($D$5,Kc!$B$3:$AI$57,upland_dry!F36+3,FALSE)),0,HLOOKUP($D$5,Kc!$B$3:$AI$57,upland_dry!F36+3,FALSE))</f>
        <v>0</v>
      </c>
      <c r="H36" s="112">
        <f t="shared" ref="H36:H78" si="17">IF(G36&gt;0,IF(H$26&gt;$E$9,0,VLOOKUP(H$26,$F$3:$G$23,2,FALSE)),0)</f>
        <v>0</v>
      </c>
      <c r="I36" s="113">
        <f t="shared" si="13"/>
        <v>0</v>
      </c>
      <c r="J36" s="113">
        <f t="shared" si="13"/>
        <v>0</v>
      </c>
      <c r="K36" s="113">
        <f t="shared" si="13"/>
        <v>0</v>
      </c>
      <c r="L36" s="113">
        <f t="shared" si="13"/>
        <v>0</v>
      </c>
      <c r="M36" s="113">
        <f t="shared" si="13"/>
        <v>0</v>
      </c>
      <c r="N36" s="113">
        <f t="shared" si="13"/>
        <v>0</v>
      </c>
      <c r="O36" s="113">
        <f t="shared" si="13"/>
        <v>0</v>
      </c>
      <c r="P36" s="113">
        <f t="shared" si="13"/>
        <v>0</v>
      </c>
      <c r="Q36" s="113">
        <f t="shared" si="13"/>
        <v>0</v>
      </c>
      <c r="R36" s="113">
        <f t="shared" si="13"/>
        <v>0</v>
      </c>
      <c r="S36" s="113">
        <f t="shared" si="14"/>
        <v>0</v>
      </c>
      <c r="T36" s="113">
        <f t="shared" si="14"/>
        <v>0</v>
      </c>
      <c r="U36" s="113">
        <f t="shared" si="14"/>
        <v>0</v>
      </c>
      <c r="V36" s="113">
        <f t="shared" si="14"/>
        <v>0</v>
      </c>
      <c r="W36" s="113">
        <f t="shared" si="14"/>
        <v>0</v>
      </c>
      <c r="X36" s="113">
        <f t="shared" si="14"/>
        <v>0</v>
      </c>
      <c r="Y36" s="113">
        <f t="shared" si="14"/>
        <v>0</v>
      </c>
      <c r="Z36" s="113">
        <f t="shared" si="14"/>
        <v>0</v>
      </c>
      <c r="AA36" s="113">
        <f t="shared" si="14"/>
        <v>0</v>
      </c>
      <c r="AB36" s="117">
        <f t="shared" si="15"/>
        <v>0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0</v>
      </c>
      <c r="AD36" s="100">
        <f>VLOOKUP($D$7,ETo!$B$4:$P$88,MONTH(D36)+2,FALSE)/4</f>
        <v>26.227032335674728</v>
      </c>
      <c r="AE36" s="100">
        <f t="shared" si="6"/>
        <v>0</v>
      </c>
      <c r="AF36" s="101">
        <f t="shared" si="7"/>
        <v>0</v>
      </c>
      <c r="AG36" s="101">
        <f t="shared" si="8"/>
        <v>0</v>
      </c>
      <c r="AH36" s="101">
        <f t="shared" si="9"/>
        <v>0</v>
      </c>
      <c r="AI36" s="101">
        <f t="shared" si="10"/>
        <v>0</v>
      </c>
      <c r="AJ36" s="101">
        <f>VLOOKUP(MONTH(D36),[0]!rainforuplandcrop,4)/1000*AB36*1600*7</f>
        <v>0</v>
      </c>
    </row>
    <row r="37" spans="2:36" x14ac:dyDescent="0.15">
      <c r="B37" s="106">
        <f t="shared" si="11"/>
        <v>39823</v>
      </c>
      <c r="C37" s="107">
        <f t="shared" si="12"/>
        <v>39829</v>
      </c>
      <c r="D37" s="99">
        <f t="shared" si="16"/>
        <v>39829</v>
      </c>
      <c r="E37" s="91">
        <v>11</v>
      </c>
      <c r="F37" s="407">
        <f>IF(ISERROR(VLOOKUP(E37,Crop!$N$3:$O$70,2,FALSE)),0,VLOOKUP(E37,Crop!$N$3:$O$70,2,FALSE))</f>
        <v>0</v>
      </c>
      <c r="G37" s="100">
        <f>IF(ISERROR(HLOOKUP($D$5,Kc!$B$3:$AI$57,upland_dry!F37+3,FALSE)),0,HLOOKUP($D$5,Kc!$B$3:$AI$57,upland_dry!F37+3,FALSE))</f>
        <v>0</v>
      </c>
      <c r="H37" s="112">
        <f t="shared" si="17"/>
        <v>0</v>
      </c>
      <c r="I37" s="113">
        <f t="shared" ref="I37:I78" si="18">IF(H36&gt;0,IF(I$26&gt;$E$9,0,VLOOKUP(I$26,$F$3:$G$23,2,FALSE)),0)</f>
        <v>0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15"/>
        <v>0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0</v>
      </c>
      <c r="AD37" s="100">
        <f>VLOOKUP($D$7,ETo!$B$4:$P$88,MONTH(D37)+2,FALSE)/4</f>
        <v>26.227032335674728</v>
      </c>
      <c r="AE37" s="100">
        <f t="shared" si="6"/>
        <v>0</v>
      </c>
      <c r="AF37" s="101">
        <f t="shared" si="7"/>
        <v>0</v>
      </c>
      <c r="AG37" s="101">
        <f t="shared" si="8"/>
        <v>0</v>
      </c>
      <c r="AH37" s="101">
        <f t="shared" si="9"/>
        <v>0</v>
      </c>
      <c r="AI37" s="101">
        <f t="shared" si="10"/>
        <v>0</v>
      </c>
      <c r="AJ37" s="101">
        <f>VLOOKUP(MONTH(D37),[0]!rainforuplandcrop,4)/1000*AB37*1600*7</f>
        <v>0</v>
      </c>
    </row>
    <row r="38" spans="2:36" x14ac:dyDescent="0.15">
      <c r="B38" s="106">
        <f t="shared" si="11"/>
        <v>39830</v>
      </c>
      <c r="C38" s="107">
        <f t="shared" si="12"/>
        <v>39836</v>
      </c>
      <c r="D38" s="99">
        <f t="shared" si="16"/>
        <v>39836</v>
      </c>
      <c r="E38" s="91">
        <v>12</v>
      </c>
      <c r="F38" s="407">
        <f>IF(ISERROR(VLOOKUP(E38,Crop!$N$3:$O$70,2,FALSE)),0,VLOOKUP(E38,Crop!$N$3:$O$70,2,FALSE))</f>
        <v>1</v>
      </c>
      <c r="G38" s="100">
        <f>IF(ISERROR(HLOOKUP($D$5,Kc!$B$3:$AI$57,upland_dry!F38+3,FALSE)),0,HLOOKUP($D$5,Kc!$B$3:$AI$57,upland_dry!F38+3,FALSE))</f>
        <v>0.65</v>
      </c>
      <c r="H38" s="112">
        <f t="shared" si="17"/>
        <v>0</v>
      </c>
      <c r="I38" s="113">
        <f t="shared" si="18"/>
        <v>0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15"/>
        <v>0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0</v>
      </c>
      <c r="AD38" s="100">
        <f>VLOOKUP($D$7,ETo!$B$4:$P$88,MONTH(D38)+2,FALSE)/4</f>
        <v>26.227032335674728</v>
      </c>
      <c r="AE38" s="100">
        <f t="shared" si="6"/>
        <v>0</v>
      </c>
      <c r="AF38" s="101">
        <f t="shared" si="7"/>
        <v>0</v>
      </c>
      <c r="AG38" s="101">
        <f t="shared" si="8"/>
        <v>0</v>
      </c>
      <c r="AH38" s="101">
        <f t="shared" si="9"/>
        <v>0</v>
      </c>
      <c r="AI38" s="101">
        <f t="shared" si="10"/>
        <v>0</v>
      </c>
      <c r="AJ38" s="101">
        <f>VLOOKUP(MONTH(D38),[0]!rainforuplandcrop,4)/1000*AB38*1600*7</f>
        <v>0</v>
      </c>
    </row>
    <row r="39" spans="2:36" x14ac:dyDescent="0.15">
      <c r="B39" s="106">
        <f t="shared" si="11"/>
        <v>39837</v>
      </c>
      <c r="C39" s="107">
        <f t="shared" si="12"/>
        <v>39843</v>
      </c>
      <c r="D39" s="99">
        <f t="shared" si="16"/>
        <v>39843</v>
      </c>
      <c r="E39" s="91">
        <v>13</v>
      </c>
      <c r="F39" s="407">
        <f>IF(ISERROR(VLOOKUP(E39,Crop!$N$3:$O$70,2,FALSE)),0,VLOOKUP(E39,Crop!$N$3:$O$70,2,FALSE))</f>
        <v>2</v>
      </c>
      <c r="G39" s="100">
        <f>IF(ISERROR(HLOOKUP($D$5,Kc!$B$3:$AI$57,upland_dry!F39+3,FALSE)),0,HLOOKUP($D$5,Kc!$B$3:$AI$57,upland_dry!F39+3,FALSE))</f>
        <v>0.65</v>
      </c>
      <c r="H39" s="112">
        <f t="shared" si="17"/>
        <v>0</v>
      </c>
      <c r="I39" s="113">
        <f t="shared" si="18"/>
        <v>0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15"/>
        <v>0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0</v>
      </c>
      <c r="AD39" s="100">
        <f>VLOOKUP($D$7,ETo!$B$4:$P$88,MONTH(D39)+2,FALSE)/4</f>
        <v>26.227032335674728</v>
      </c>
      <c r="AE39" s="100">
        <f t="shared" si="6"/>
        <v>0</v>
      </c>
      <c r="AF39" s="101">
        <f t="shared" si="7"/>
        <v>0</v>
      </c>
      <c r="AG39" s="101">
        <f t="shared" si="8"/>
        <v>0</v>
      </c>
      <c r="AH39" s="101">
        <f t="shared" si="9"/>
        <v>0</v>
      </c>
      <c r="AI39" s="101">
        <f t="shared" si="10"/>
        <v>0</v>
      </c>
      <c r="AJ39" s="101">
        <f>VLOOKUP(MONTH(D39),[0]!rainforuplandcrop,4)/1000*AB39*1600*7</f>
        <v>0</v>
      </c>
    </row>
    <row r="40" spans="2:36" x14ac:dyDescent="0.15">
      <c r="B40" s="106">
        <f t="shared" si="11"/>
        <v>39844</v>
      </c>
      <c r="C40" s="107">
        <f t="shared" si="12"/>
        <v>39850</v>
      </c>
      <c r="D40" s="99">
        <f t="shared" si="16"/>
        <v>39850</v>
      </c>
      <c r="E40" s="91">
        <v>14</v>
      </c>
      <c r="F40" s="407">
        <f>IF(ISERROR(VLOOKUP(E40,Crop!$N$3:$O$70,2,FALSE)),0,VLOOKUP(E40,Crop!$N$3:$O$70,2,FALSE))</f>
        <v>3</v>
      </c>
      <c r="G40" s="100">
        <f>IF(ISERROR(HLOOKUP($D$5,Kc!$B$3:$AI$57,upland_dry!F40+3,FALSE)),0,HLOOKUP($D$5,Kc!$B$3:$AI$57,upland_dry!F40+3,FALSE))</f>
        <v>0.65</v>
      </c>
      <c r="H40" s="112">
        <f t="shared" si="17"/>
        <v>0</v>
      </c>
      <c r="I40" s="113">
        <f t="shared" si="18"/>
        <v>0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15"/>
        <v>0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0</v>
      </c>
      <c r="AD40" s="100">
        <f>VLOOKUP($D$7,ETo!$B$4:$P$88,MONTH(D40)+2,FALSE)/4</f>
        <v>28.598453964472196</v>
      </c>
      <c r="AE40" s="100">
        <f t="shared" si="6"/>
        <v>0</v>
      </c>
      <c r="AF40" s="101">
        <f t="shared" si="7"/>
        <v>0</v>
      </c>
      <c r="AG40" s="101">
        <f t="shared" si="8"/>
        <v>0</v>
      </c>
      <c r="AH40" s="101">
        <f t="shared" si="9"/>
        <v>0</v>
      </c>
      <c r="AI40" s="101">
        <f t="shared" si="10"/>
        <v>0</v>
      </c>
      <c r="AJ40" s="101">
        <f>VLOOKUP(MONTH(D40),[0]!rainforuplandcrop,4)/1000*AB40*1600*7</f>
        <v>0</v>
      </c>
    </row>
    <row r="41" spans="2:36" x14ac:dyDescent="0.15">
      <c r="B41" s="106">
        <f t="shared" si="11"/>
        <v>39851</v>
      </c>
      <c r="C41" s="107">
        <f t="shared" si="12"/>
        <v>39857</v>
      </c>
      <c r="D41" s="99">
        <f t="shared" si="16"/>
        <v>39857</v>
      </c>
      <c r="E41" s="91">
        <v>15</v>
      </c>
      <c r="F41" s="407">
        <f>IF(ISERROR(VLOOKUP(E41,Crop!$N$3:$O$70,2,FALSE)),0,VLOOKUP(E41,Crop!$N$3:$O$70,2,FALSE))</f>
        <v>4</v>
      </c>
      <c r="G41" s="100">
        <f>IF(ISERROR(HLOOKUP($D$5,Kc!$B$3:$AI$57,upland_dry!F41+3,FALSE)),0,HLOOKUP($D$5,Kc!$B$3:$AI$57,upland_dry!F41+3,FALSE))</f>
        <v>0.65</v>
      </c>
      <c r="H41" s="112">
        <f t="shared" si="17"/>
        <v>0</v>
      </c>
      <c r="I41" s="113">
        <f t="shared" si="18"/>
        <v>0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15"/>
        <v>0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0</v>
      </c>
      <c r="AD41" s="100">
        <f>VLOOKUP($D$7,ETo!$B$4:$P$88,MONTH(D41)+2,FALSE)/4</f>
        <v>28.598453964472196</v>
      </c>
      <c r="AE41" s="100">
        <f t="shared" si="6"/>
        <v>0</v>
      </c>
      <c r="AF41" s="101">
        <f t="shared" si="7"/>
        <v>0</v>
      </c>
      <c r="AG41" s="101">
        <f t="shared" si="8"/>
        <v>0</v>
      </c>
      <c r="AH41" s="101">
        <f t="shared" si="9"/>
        <v>0</v>
      </c>
      <c r="AI41" s="101">
        <f t="shared" si="10"/>
        <v>0</v>
      </c>
      <c r="AJ41" s="101">
        <f>VLOOKUP(MONTH(D41),[0]!rainforuplandcrop,4)/1000*AB41*1600*7</f>
        <v>0</v>
      </c>
    </row>
    <row r="42" spans="2:36" x14ac:dyDescent="0.15">
      <c r="B42" s="106">
        <f t="shared" si="11"/>
        <v>39858</v>
      </c>
      <c r="C42" s="107">
        <f t="shared" si="12"/>
        <v>39864</v>
      </c>
      <c r="D42" s="99">
        <f t="shared" si="16"/>
        <v>39864</v>
      </c>
      <c r="E42" s="91">
        <v>16</v>
      </c>
      <c r="F42" s="407">
        <f>IF(ISERROR(VLOOKUP(E42,Crop!$N$3:$O$70,2,FALSE)),0,VLOOKUP(E42,Crop!$N$3:$O$70,2,FALSE))</f>
        <v>5</v>
      </c>
      <c r="G42" s="100">
        <f>IF(ISERROR(HLOOKUP($D$5,Kc!$B$3:$AI$57,upland_dry!F42+3,FALSE)),0,HLOOKUP($D$5,Kc!$B$3:$AI$57,upland_dry!F42+3,FALSE))</f>
        <v>0.65</v>
      </c>
      <c r="H42" s="112">
        <f t="shared" si="17"/>
        <v>0</v>
      </c>
      <c r="I42" s="113">
        <f t="shared" si="18"/>
        <v>0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15"/>
        <v>0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</v>
      </c>
      <c r="AD42" s="100">
        <f>VLOOKUP($D$7,ETo!$B$4:$P$88,MONTH(D42)+2,FALSE)/4</f>
        <v>28.598453964472196</v>
      </c>
      <c r="AE42" s="100">
        <f t="shared" si="6"/>
        <v>0</v>
      </c>
      <c r="AF42" s="101">
        <f t="shared" si="7"/>
        <v>0</v>
      </c>
      <c r="AG42" s="101">
        <f t="shared" si="8"/>
        <v>0</v>
      </c>
      <c r="AH42" s="101">
        <f t="shared" si="9"/>
        <v>0</v>
      </c>
      <c r="AI42" s="101">
        <f t="shared" si="10"/>
        <v>0</v>
      </c>
      <c r="AJ42" s="101">
        <f>VLOOKUP(MONTH(D42),[0]!rainforuplandcrop,4)/1000*AB42*1600*7</f>
        <v>0</v>
      </c>
    </row>
    <row r="43" spans="2:36" x14ac:dyDescent="0.15">
      <c r="B43" s="106">
        <f t="shared" si="11"/>
        <v>39865</v>
      </c>
      <c r="C43" s="107">
        <f t="shared" si="12"/>
        <v>39871</v>
      </c>
      <c r="D43" s="99">
        <f t="shared" si="16"/>
        <v>39871</v>
      </c>
      <c r="E43" s="91">
        <v>17</v>
      </c>
      <c r="F43" s="407">
        <f>IF(ISERROR(VLOOKUP(E43,Crop!$N$3:$O$70,2,FALSE)),0,VLOOKUP(E43,Crop!$N$3:$O$70,2,FALSE))</f>
        <v>6</v>
      </c>
      <c r="G43" s="100">
        <f>IF(ISERROR(HLOOKUP($D$5,Kc!$B$3:$AI$57,upland_dry!F43+3,FALSE)),0,HLOOKUP($D$5,Kc!$B$3:$AI$57,upland_dry!F43+3,FALSE))</f>
        <v>0.86</v>
      </c>
      <c r="H43" s="112">
        <f t="shared" si="17"/>
        <v>0</v>
      </c>
      <c r="I43" s="113">
        <f t="shared" si="18"/>
        <v>0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15"/>
        <v>0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</v>
      </c>
      <c r="AD43" s="100">
        <f>VLOOKUP($D$7,ETo!$B$4:$P$88,MONTH(D43)+2,FALSE)/4</f>
        <v>28.598453964472196</v>
      </c>
      <c r="AE43" s="100">
        <f t="shared" si="6"/>
        <v>0</v>
      </c>
      <c r="AF43" s="101">
        <f t="shared" si="7"/>
        <v>0</v>
      </c>
      <c r="AG43" s="101">
        <f t="shared" si="8"/>
        <v>0</v>
      </c>
      <c r="AH43" s="101">
        <f t="shared" si="9"/>
        <v>0</v>
      </c>
      <c r="AI43" s="101">
        <f t="shared" si="10"/>
        <v>0</v>
      </c>
      <c r="AJ43" s="101">
        <f>VLOOKUP(MONTH(D43),[0]!rainforuplandcrop,4)/1000*AB43*1600*7</f>
        <v>0</v>
      </c>
    </row>
    <row r="44" spans="2:36" x14ac:dyDescent="0.15">
      <c r="B44" s="106">
        <f t="shared" si="11"/>
        <v>39872</v>
      </c>
      <c r="C44" s="107">
        <f t="shared" si="12"/>
        <v>39878</v>
      </c>
      <c r="D44" s="99">
        <f t="shared" si="16"/>
        <v>39878</v>
      </c>
      <c r="E44" s="91">
        <v>18</v>
      </c>
      <c r="F44" s="407">
        <f>IF(ISERROR(VLOOKUP(E44,Crop!$N$3:$O$70,2,FALSE)),0,VLOOKUP(E44,Crop!$N$3:$O$70,2,FALSE))</f>
        <v>7</v>
      </c>
      <c r="G44" s="100">
        <f>IF(ISERROR(HLOOKUP($D$5,Kc!$B$3:$AI$57,upland_dry!F44+3,FALSE)),0,HLOOKUP($D$5,Kc!$B$3:$AI$57,upland_dry!F44+3,FALSE))</f>
        <v>0.86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15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6"/>
        <v>0</v>
      </c>
      <c r="AF44" s="101">
        <f t="shared" si="7"/>
        <v>0</v>
      </c>
      <c r="AG44" s="101">
        <f t="shared" si="8"/>
        <v>0</v>
      </c>
      <c r="AH44" s="101">
        <f t="shared" si="9"/>
        <v>0</v>
      </c>
      <c r="AI44" s="101">
        <f t="shared" si="10"/>
        <v>0</v>
      </c>
      <c r="AJ44" s="101">
        <f>VLOOKUP(MONTH(D44),[0]!rainforuplandcrop,4)/1000*AB44*1600*7</f>
        <v>0</v>
      </c>
    </row>
    <row r="45" spans="2:36" x14ac:dyDescent="0.15">
      <c r="B45" s="106">
        <f t="shared" si="11"/>
        <v>39879</v>
      </c>
      <c r="C45" s="107">
        <f t="shared" si="12"/>
        <v>39885</v>
      </c>
      <c r="D45" s="99">
        <f t="shared" si="16"/>
        <v>39885</v>
      </c>
      <c r="E45" s="91">
        <v>19</v>
      </c>
      <c r="F45" s="407">
        <f>IF(ISERROR(VLOOKUP(E45,Crop!$N$3:$O$70,2,FALSE)),0,VLOOKUP(E45,Crop!$N$3:$O$70,2,FALSE))</f>
        <v>8</v>
      </c>
      <c r="G45" s="100">
        <f>IF(ISERROR(HLOOKUP($D$5,Kc!$B$3:$AI$57,upland_dry!F45+3,FALSE)),0,HLOOKUP($D$5,Kc!$B$3:$AI$57,upland_dry!F45+3,FALSE))</f>
        <v>0.86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15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6"/>
        <v>0</v>
      </c>
      <c r="AF45" s="101">
        <f t="shared" si="7"/>
        <v>0</v>
      </c>
      <c r="AG45" s="101">
        <f t="shared" si="8"/>
        <v>0</v>
      </c>
      <c r="AH45" s="101">
        <f t="shared" si="9"/>
        <v>0</v>
      </c>
      <c r="AI45" s="101">
        <f t="shared" si="10"/>
        <v>0</v>
      </c>
      <c r="AJ45" s="101">
        <f>VLOOKUP(MONTH(D45),[0]!rainforuplandcrop,4)/1000*AB45*1600*7</f>
        <v>0</v>
      </c>
    </row>
    <row r="46" spans="2:36" x14ac:dyDescent="0.15">
      <c r="B46" s="106">
        <f t="shared" si="11"/>
        <v>39886</v>
      </c>
      <c r="C46" s="107">
        <f t="shared" si="12"/>
        <v>39892</v>
      </c>
      <c r="D46" s="99">
        <f t="shared" si="16"/>
        <v>39892</v>
      </c>
      <c r="E46" s="91">
        <v>20</v>
      </c>
      <c r="F46" s="407">
        <f>IF(ISERROR(VLOOKUP(E46,Crop!$N$3:$O$70,2,FALSE)),0,VLOOKUP(E46,Crop!$N$3:$O$70,2,FALSE))</f>
        <v>9</v>
      </c>
      <c r="G46" s="100">
        <f>IF(ISERROR(HLOOKUP($D$5,Kc!$B$3:$AI$57,upland_dry!F46+3,FALSE)),0,HLOOKUP($D$5,Kc!$B$3:$AI$57,upland_dry!F46+3,FALSE))</f>
        <v>0.86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15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6"/>
        <v>0</v>
      </c>
      <c r="AF46" s="101">
        <f t="shared" si="7"/>
        <v>0</v>
      </c>
      <c r="AG46" s="101">
        <f t="shared" si="8"/>
        <v>0</v>
      </c>
      <c r="AH46" s="101">
        <f t="shared" si="9"/>
        <v>0</v>
      </c>
      <c r="AI46" s="101">
        <f t="shared" si="10"/>
        <v>0</v>
      </c>
      <c r="AJ46" s="101">
        <f>VLOOKUP(MONTH(D46),[0]!rainforuplandcrop,4)/1000*AB46*1600*7</f>
        <v>0</v>
      </c>
    </row>
    <row r="47" spans="2:36" x14ac:dyDescent="0.15">
      <c r="B47" s="106">
        <f t="shared" si="11"/>
        <v>39893</v>
      </c>
      <c r="C47" s="107">
        <f t="shared" si="12"/>
        <v>39899</v>
      </c>
      <c r="D47" s="99">
        <f t="shared" si="16"/>
        <v>39899</v>
      </c>
      <c r="E47" s="91">
        <v>21</v>
      </c>
      <c r="F47" s="407">
        <f>IF(ISERROR(VLOOKUP(E47,Crop!$N$3:$O$70,2,FALSE)),0,VLOOKUP(E47,Crop!$N$3:$O$70,2,FALSE))</f>
        <v>10</v>
      </c>
      <c r="G47" s="100">
        <f>IF(ISERROR(HLOOKUP($D$5,Kc!$B$3:$AI$57,upland_dry!F47+3,FALSE)),0,HLOOKUP($D$5,Kc!$B$3:$AI$57,upland_dry!F47+3,FALSE))</f>
        <v>1.1299999999999999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15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6"/>
        <v>0</v>
      </c>
      <c r="AF47" s="101">
        <f t="shared" si="7"/>
        <v>0</v>
      </c>
      <c r="AG47" s="101">
        <f t="shared" si="8"/>
        <v>0</v>
      </c>
      <c r="AH47" s="101">
        <f t="shared" si="9"/>
        <v>0</v>
      </c>
      <c r="AI47" s="101">
        <f t="shared" si="10"/>
        <v>0</v>
      </c>
      <c r="AJ47" s="101">
        <f>VLOOKUP(MONTH(D47),[0]!rainforuplandcrop,4)/1000*AB47*1600*7</f>
        <v>0</v>
      </c>
    </row>
    <row r="48" spans="2:36" x14ac:dyDescent="0.15">
      <c r="B48" s="106">
        <f t="shared" si="11"/>
        <v>39900</v>
      </c>
      <c r="C48" s="107">
        <f t="shared" si="12"/>
        <v>39906</v>
      </c>
      <c r="D48" s="99">
        <f t="shared" si="16"/>
        <v>39906</v>
      </c>
      <c r="E48" s="91">
        <v>22</v>
      </c>
      <c r="F48" s="407">
        <f>IF(ISERROR(VLOOKUP(E48,Crop!$N$3:$O$70,2,FALSE)),0,VLOOKUP(E48,Crop!$N$3:$O$70,2,FALSE))</f>
        <v>11</v>
      </c>
      <c r="G48" s="100">
        <f>IF(ISERROR(HLOOKUP($D$5,Kc!$B$3:$AI$57,upland_dry!F48+3,FALSE)),0,HLOOKUP($D$5,Kc!$B$3:$AI$57,upland_dry!F48+3,FALSE))</f>
        <v>1.1299999999999999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15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6"/>
        <v>0</v>
      </c>
      <c r="AF48" s="101">
        <f t="shared" si="7"/>
        <v>0</v>
      </c>
      <c r="AG48" s="101">
        <f t="shared" si="8"/>
        <v>0</v>
      </c>
      <c r="AH48" s="101">
        <f t="shared" si="9"/>
        <v>0</v>
      </c>
      <c r="AI48" s="101">
        <f t="shared" si="10"/>
        <v>0</v>
      </c>
      <c r="AJ48" s="101">
        <f>VLOOKUP(MONTH(D48),[0]!rainforuplandcrop,4)/1000*AB48*1600*7</f>
        <v>0</v>
      </c>
    </row>
    <row r="49" spans="2:36" x14ac:dyDescent="0.15">
      <c r="B49" s="106">
        <f t="shared" si="11"/>
        <v>39907</v>
      </c>
      <c r="C49" s="107">
        <f t="shared" si="12"/>
        <v>39913</v>
      </c>
      <c r="D49" s="99">
        <f t="shared" si="16"/>
        <v>39913</v>
      </c>
      <c r="E49" s="91">
        <v>23</v>
      </c>
      <c r="F49" s="407">
        <f>IF(ISERROR(VLOOKUP(E49,Crop!$N$3:$O$70,2,FALSE)),0,VLOOKUP(E49,Crop!$N$3:$O$70,2,FALSE))</f>
        <v>12</v>
      </c>
      <c r="G49" s="100">
        <f>IF(ISERROR(HLOOKUP($D$5,Kc!$B$3:$AI$57,upland_dry!F49+3,FALSE)),0,HLOOKUP($D$5,Kc!$B$3:$AI$57,upland_dry!F49+3,FALSE))</f>
        <v>1.1299999999999999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15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6"/>
        <v>0</v>
      </c>
      <c r="AF49" s="101">
        <f t="shared" si="7"/>
        <v>0</v>
      </c>
      <c r="AG49" s="101">
        <f t="shared" si="8"/>
        <v>0</v>
      </c>
      <c r="AH49" s="101">
        <f t="shared" si="9"/>
        <v>0</v>
      </c>
      <c r="AI49" s="101">
        <f t="shared" si="10"/>
        <v>0</v>
      </c>
      <c r="AJ49" s="101">
        <f>VLOOKUP(MONTH(D49),[0]!rainforuplandcrop,4)/1000*AB49*1600*7</f>
        <v>0</v>
      </c>
    </row>
    <row r="50" spans="2:36" x14ac:dyDescent="0.15">
      <c r="B50" s="106">
        <f t="shared" si="11"/>
        <v>39914</v>
      </c>
      <c r="C50" s="107">
        <f t="shared" si="12"/>
        <v>39920</v>
      </c>
      <c r="D50" s="99">
        <f t="shared" si="16"/>
        <v>39920</v>
      </c>
      <c r="E50" s="91">
        <v>24</v>
      </c>
      <c r="F50" s="407">
        <f>IF(ISERROR(VLOOKUP(E50,Crop!$N$3:$O$70,2,FALSE)),0,VLOOKUP(E50,Crop!$N$3:$O$70,2,FALSE))</f>
        <v>13</v>
      </c>
      <c r="G50" s="100">
        <f>IF(ISERROR(HLOOKUP($D$5,Kc!$B$3:$AI$57,upland_dry!F50+3,FALSE)),0,HLOOKUP($D$5,Kc!$B$3:$AI$57,upland_dry!F50+3,FALSE))</f>
        <v>1.1299999999999999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15"/>
        <v>0</v>
      </c>
      <c r="AC50" s="405">
        <f t="shared" si="24"/>
        <v>0</v>
      </c>
      <c r="AD50" s="100">
        <f>VLOOKUP($D$7,ETo!$B$4:$P$88,MONTH(D50)+2,FALSE)/4</f>
        <v>38.112530722170547</v>
      </c>
      <c r="AE50" s="100">
        <f t="shared" si="6"/>
        <v>0</v>
      </c>
      <c r="AF50" s="101">
        <f t="shared" si="7"/>
        <v>0</v>
      </c>
      <c r="AG50" s="101">
        <f t="shared" si="8"/>
        <v>0</v>
      </c>
      <c r="AH50" s="101">
        <f t="shared" si="9"/>
        <v>0</v>
      </c>
      <c r="AI50" s="101">
        <f t="shared" si="10"/>
        <v>0</v>
      </c>
      <c r="AJ50" s="101">
        <f>VLOOKUP(MONTH(D50),[0]!rainforuplandcrop,4)/1000*AB50*1600*7</f>
        <v>0</v>
      </c>
    </row>
    <row r="51" spans="2:36" x14ac:dyDescent="0.15">
      <c r="B51" s="106">
        <f t="shared" si="11"/>
        <v>39921</v>
      </c>
      <c r="C51" s="107">
        <f t="shared" si="12"/>
        <v>39927</v>
      </c>
      <c r="D51" s="99">
        <f t="shared" si="16"/>
        <v>39927</v>
      </c>
      <c r="E51" s="91">
        <v>25</v>
      </c>
      <c r="F51" s="407">
        <f>IF(ISERROR(VLOOKUP(E51,Crop!$N$3:$O$70,2,FALSE)),0,VLOOKUP(E51,Crop!$N$3:$O$70,2,FALSE))</f>
        <v>14</v>
      </c>
      <c r="G51" s="100">
        <f>IF(ISERROR(HLOOKUP($D$5,Kc!$B$3:$AI$57,upland_dry!F51+3,FALSE)),0,HLOOKUP($D$5,Kc!$B$3:$AI$57,upland_dry!F51+3,FALSE))</f>
        <v>1.35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15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6"/>
        <v>0</v>
      </c>
      <c r="AF51" s="101">
        <f t="shared" si="7"/>
        <v>0</v>
      </c>
      <c r="AG51" s="101">
        <f t="shared" si="8"/>
        <v>0</v>
      </c>
      <c r="AH51" s="101">
        <f t="shared" si="9"/>
        <v>0</v>
      </c>
      <c r="AI51" s="101">
        <f t="shared" si="10"/>
        <v>0</v>
      </c>
      <c r="AJ51" s="101">
        <f>VLOOKUP(MONTH(D51),[0]!rainforuplandcrop,4)/1000*AB51*1600*7</f>
        <v>0</v>
      </c>
    </row>
    <row r="52" spans="2:36" x14ac:dyDescent="0.15">
      <c r="B52" s="106">
        <f t="shared" si="11"/>
        <v>39928</v>
      </c>
      <c r="C52" s="107">
        <f t="shared" si="12"/>
        <v>39934</v>
      </c>
      <c r="D52" s="99">
        <f t="shared" si="16"/>
        <v>39934</v>
      </c>
      <c r="E52" s="91">
        <v>26</v>
      </c>
      <c r="F52" s="407">
        <f>IF(ISERROR(VLOOKUP(E52,Crop!$N$3:$O$70,2,FALSE)),0,VLOOKUP(E52,Crop!$N$3:$O$70,2,FALSE))</f>
        <v>15</v>
      </c>
      <c r="G52" s="100">
        <f>IF(ISERROR(HLOOKUP($D$5,Kc!$B$3:$AI$57,upland_dry!F52+3,FALSE)),0,HLOOKUP($D$5,Kc!$B$3:$AI$57,upland_dry!F52+3,FALSE))</f>
        <v>1.35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15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6"/>
        <v>0</v>
      </c>
      <c r="AF52" s="101">
        <f t="shared" si="7"/>
        <v>0</v>
      </c>
      <c r="AG52" s="101">
        <f t="shared" si="8"/>
        <v>0</v>
      </c>
      <c r="AH52" s="101">
        <f t="shared" si="9"/>
        <v>0</v>
      </c>
      <c r="AI52" s="101">
        <f t="shared" si="10"/>
        <v>0</v>
      </c>
      <c r="AJ52" s="101">
        <f>VLOOKUP(MONTH(D52),[0]!rainforuplandcrop,4)/1000*AB52*1600*7</f>
        <v>0</v>
      </c>
    </row>
    <row r="53" spans="2:36" x14ac:dyDescent="0.15">
      <c r="B53" s="106">
        <f t="shared" si="11"/>
        <v>39935</v>
      </c>
      <c r="C53" s="107">
        <f t="shared" si="12"/>
        <v>39941</v>
      </c>
      <c r="D53" s="99">
        <f t="shared" si="16"/>
        <v>39941</v>
      </c>
      <c r="E53" s="91">
        <v>27</v>
      </c>
      <c r="F53" s="407">
        <f>IF(ISERROR(VLOOKUP(E53,Crop!$N$3:$O$70,2,FALSE)),0,VLOOKUP(E53,Crop!$N$3:$O$70,2,FALSE))</f>
        <v>16</v>
      </c>
      <c r="G53" s="100">
        <f>IF(ISERROR(HLOOKUP($D$5,Kc!$B$3:$AI$57,upland_dry!F53+3,FALSE)),0,HLOOKUP($D$5,Kc!$B$3:$AI$57,upland_dry!F53+3,FALSE))</f>
        <v>1.35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15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6"/>
        <v>0</v>
      </c>
      <c r="AF53" s="101">
        <f t="shared" si="7"/>
        <v>0</v>
      </c>
      <c r="AG53" s="101">
        <f t="shared" si="8"/>
        <v>0</v>
      </c>
      <c r="AH53" s="101">
        <f t="shared" si="9"/>
        <v>0</v>
      </c>
      <c r="AI53" s="101">
        <f t="shared" si="10"/>
        <v>0</v>
      </c>
      <c r="AJ53" s="101">
        <f>VLOOKUP(MONTH(D53),[0]!rainforuplandcrop,4)/1000*AB53*1600*7</f>
        <v>0</v>
      </c>
    </row>
    <row r="54" spans="2:36" x14ac:dyDescent="0.15">
      <c r="B54" s="106">
        <f t="shared" si="11"/>
        <v>39942</v>
      </c>
      <c r="C54" s="107">
        <f t="shared" si="12"/>
        <v>39948</v>
      </c>
      <c r="D54" s="99">
        <f t="shared" si="16"/>
        <v>39948</v>
      </c>
      <c r="E54" s="91">
        <v>28</v>
      </c>
      <c r="F54" s="407">
        <f>IF(ISERROR(VLOOKUP(E54,Crop!$N$3:$O$70,2,FALSE)),0,VLOOKUP(E54,Crop!$N$3:$O$70,2,FALSE))</f>
        <v>17</v>
      </c>
      <c r="G54" s="100">
        <f>IF(ISERROR(HLOOKUP($D$5,Kc!$B$3:$AI$57,upland_dry!F54+3,FALSE)),0,HLOOKUP($D$5,Kc!$B$3:$AI$57,upland_dry!F54+3,FALSE))</f>
        <v>1.35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15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6"/>
        <v>0</v>
      </c>
      <c r="AF54" s="101">
        <f t="shared" si="7"/>
        <v>0</v>
      </c>
      <c r="AG54" s="101">
        <f t="shared" si="8"/>
        <v>0</v>
      </c>
      <c r="AH54" s="101">
        <f t="shared" si="9"/>
        <v>0</v>
      </c>
      <c r="AI54" s="101">
        <f t="shared" si="10"/>
        <v>0</v>
      </c>
      <c r="AJ54" s="101">
        <f>VLOOKUP(MONTH(D54),[0]!rainforuplandcrop,4)/1000*AB54*1600*7</f>
        <v>0</v>
      </c>
    </row>
    <row r="55" spans="2:36" x14ac:dyDescent="0.15">
      <c r="B55" s="106">
        <f t="shared" si="11"/>
        <v>39949</v>
      </c>
      <c r="C55" s="107">
        <f t="shared" si="12"/>
        <v>39955</v>
      </c>
      <c r="D55" s="99">
        <f t="shared" si="16"/>
        <v>39955</v>
      </c>
      <c r="E55" s="91">
        <v>29</v>
      </c>
      <c r="F55" s="407">
        <f>IF(ISERROR(VLOOKUP(E55,Crop!$N$3:$O$70,2,FALSE)),0,VLOOKUP(E55,Crop!$N$3:$O$70,2,FALSE))</f>
        <v>18</v>
      </c>
      <c r="G55" s="100">
        <f>IF(ISERROR(HLOOKUP($D$5,Kc!$B$3:$AI$57,upland_dry!F55+3,FALSE)),0,HLOOKUP($D$5,Kc!$B$3:$AI$57,upland_dry!F55+3,FALSE))</f>
        <v>1.35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15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6"/>
        <v>0</v>
      </c>
      <c r="AF55" s="101">
        <f t="shared" si="7"/>
        <v>0</v>
      </c>
      <c r="AG55" s="101">
        <f t="shared" si="8"/>
        <v>0</v>
      </c>
      <c r="AH55" s="101">
        <f t="shared" si="9"/>
        <v>0</v>
      </c>
      <c r="AI55" s="101">
        <f t="shared" si="10"/>
        <v>0</v>
      </c>
      <c r="AJ55" s="101">
        <f>VLOOKUP(MONTH(D55),[0]!rainforuplandcrop,4)/1000*AB55*1600*7</f>
        <v>0</v>
      </c>
    </row>
    <row r="56" spans="2:36" x14ac:dyDescent="0.15">
      <c r="B56" s="106">
        <f t="shared" si="11"/>
        <v>39956</v>
      </c>
      <c r="C56" s="107">
        <f t="shared" si="12"/>
        <v>39962</v>
      </c>
      <c r="D56" s="99">
        <f t="shared" si="16"/>
        <v>39962</v>
      </c>
      <c r="E56" s="91">
        <v>30</v>
      </c>
      <c r="F56" s="407">
        <f>IF(ISERROR(VLOOKUP(E56,Crop!$N$3:$O$70,2,FALSE)),0,VLOOKUP(E56,Crop!$N$3:$O$70,2,FALSE))</f>
        <v>19</v>
      </c>
      <c r="G56" s="100">
        <f>IF(ISERROR(HLOOKUP($D$5,Kc!$B$3:$AI$57,upland_dry!F56+3,FALSE)),0,HLOOKUP($D$5,Kc!$B$3:$AI$57,upland_dry!F56+3,FALSE))</f>
        <v>1.56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15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6"/>
        <v>0</v>
      </c>
      <c r="AF56" s="101">
        <f t="shared" si="7"/>
        <v>0</v>
      </c>
      <c r="AG56" s="101">
        <f t="shared" si="8"/>
        <v>0</v>
      </c>
      <c r="AH56" s="101">
        <f t="shared" si="9"/>
        <v>0</v>
      </c>
      <c r="AI56" s="101">
        <f t="shared" si="10"/>
        <v>0</v>
      </c>
      <c r="AJ56" s="101">
        <f>VLOOKUP(MONTH(D56),[0]!rainforuplandcrop,4)/1000*AB56*1600*7</f>
        <v>0</v>
      </c>
    </row>
    <row r="57" spans="2:36" x14ac:dyDescent="0.15">
      <c r="B57" s="106">
        <f t="shared" si="11"/>
        <v>39963</v>
      </c>
      <c r="C57" s="107">
        <f t="shared" si="12"/>
        <v>39969</v>
      </c>
      <c r="D57" s="99">
        <f t="shared" si="16"/>
        <v>39969</v>
      </c>
      <c r="E57" s="91">
        <v>31</v>
      </c>
      <c r="F57" s="407">
        <f>IF(ISERROR(VLOOKUP(E57,Crop!$N$3:$O$70,2,FALSE)),0,VLOOKUP(E57,Crop!$N$3:$O$70,2,FALSE))</f>
        <v>20</v>
      </c>
      <c r="G57" s="100">
        <f>IF(ISERROR(HLOOKUP($D$5,Kc!$B$3:$AI$57,upland_dry!F57+3,FALSE)),0,HLOOKUP($D$5,Kc!$B$3:$AI$57,upland_dry!F57+3,FALSE))</f>
        <v>1.56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15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6"/>
        <v>0</v>
      </c>
      <c r="AF57" s="101">
        <f t="shared" si="7"/>
        <v>0</v>
      </c>
      <c r="AG57" s="101">
        <f t="shared" si="8"/>
        <v>0</v>
      </c>
      <c r="AH57" s="101">
        <f t="shared" si="9"/>
        <v>0</v>
      </c>
      <c r="AI57" s="101">
        <f t="shared" si="10"/>
        <v>0</v>
      </c>
      <c r="AJ57" s="101">
        <f>VLOOKUP(MONTH(D57),[0]!rainforuplandcrop,4)/1000*AB57*1600*7</f>
        <v>0</v>
      </c>
    </row>
    <row r="58" spans="2:36" x14ac:dyDescent="0.15">
      <c r="B58" s="106">
        <f t="shared" si="11"/>
        <v>39970</v>
      </c>
      <c r="C58" s="107">
        <f t="shared" si="12"/>
        <v>39976</v>
      </c>
      <c r="D58" s="99">
        <f t="shared" si="16"/>
        <v>39976</v>
      </c>
      <c r="E58" s="91">
        <v>32</v>
      </c>
      <c r="F58" s="407">
        <f>IF(ISERROR(VLOOKUP(E58,Crop!$N$3:$O$70,2,FALSE)),0,VLOOKUP(E58,Crop!$N$3:$O$70,2,FALSE))</f>
        <v>21</v>
      </c>
      <c r="G58" s="100">
        <f>IF(ISERROR(HLOOKUP($D$5,Kc!$B$3:$AI$57,upland_dry!F58+3,FALSE)),0,HLOOKUP($D$5,Kc!$B$3:$AI$57,upland_dry!F58+3,FALSE))</f>
        <v>1.56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15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6"/>
        <v>0</v>
      </c>
      <c r="AF58" s="101">
        <f t="shared" si="7"/>
        <v>0</v>
      </c>
      <c r="AG58" s="101">
        <f t="shared" si="8"/>
        <v>0</v>
      </c>
      <c r="AH58" s="101">
        <f t="shared" si="9"/>
        <v>0</v>
      </c>
      <c r="AI58" s="101">
        <f t="shared" si="10"/>
        <v>0</v>
      </c>
      <c r="AJ58" s="101">
        <f>VLOOKUP(MONTH(D58),[0]!rainforuplandcrop,4)/1000*AB58*1600*7</f>
        <v>0</v>
      </c>
    </row>
    <row r="59" spans="2:36" x14ac:dyDescent="0.15">
      <c r="B59" s="106">
        <f t="shared" si="11"/>
        <v>39977</v>
      </c>
      <c r="C59" s="107">
        <f t="shared" si="12"/>
        <v>39983</v>
      </c>
      <c r="D59" s="99">
        <f t="shared" si="16"/>
        <v>39983</v>
      </c>
      <c r="E59" s="91">
        <v>33</v>
      </c>
      <c r="F59" s="407">
        <f>IF(ISERROR(VLOOKUP(E59,Crop!$N$3:$O$70,2,FALSE)),0,VLOOKUP(E59,Crop!$N$3:$O$70,2,FALSE))</f>
        <v>22</v>
      </c>
      <c r="G59" s="100">
        <f>IF(ISERROR(HLOOKUP($D$5,Kc!$B$3:$AI$57,upland_dry!F59+3,FALSE)),0,HLOOKUP($D$5,Kc!$B$3:$AI$57,upland_dry!F59+3,FALSE))</f>
        <v>1.56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15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ref="AE59:AE78" si="27">IF(AC59*AD59=0,0,(AC59*AD59)+$E$10)</f>
        <v>0</v>
      </c>
      <c r="AF59" s="101">
        <f t="shared" ref="AF59:AF78" si="28">AE59*AB59*1.6</f>
        <v>0</v>
      </c>
      <c r="AG59" s="101">
        <f t="shared" ref="AG59:AG78" si="29">IF(ISERROR(INDEX(H59:L59,1,F59)),0,INDEX(H59:L59,1,F59))</f>
        <v>0</v>
      </c>
      <c r="AH59" s="101">
        <f t="shared" ref="AH59:AH78" si="30">AG59*$E$11*1.6</f>
        <v>0</v>
      </c>
      <c r="AI59" s="101">
        <f t="shared" ref="AI59:AI78" si="31">AF59+AH59</f>
        <v>0</v>
      </c>
      <c r="AJ59" s="101">
        <f>VLOOKUP(MONTH(D59),[0]!rainforuplandcrop,4)/1000*AB59*1600*7</f>
        <v>0</v>
      </c>
    </row>
    <row r="60" spans="2:36" x14ac:dyDescent="0.15">
      <c r="B60" s="106">
        <f t="shared" ref="B60:B78" si="32">C59+1</f>
        <v>39984</v>
      </c>
      <c r="C60" s="107">
        <f t="shared" ref="C60:C78" si="33">B60+6</f>
        <v>39990</v>
      </c>
      <c r="D60" s="99">
        <f t="shared" si="16"/>
        <v>39990</v>
      </c>
      <c r="E60" s="91">
        <v>34</v>
      </c>
      <c r="F60" s="407">
        <f>IF(ISERROR(VLOOKUP(E60,Crop!$N$3:$O$70,2,FALSE)),0,VLOOKUP(E60,Crop!$N$3:$O$70,2,FALSE))</f>
        <v>23</v>
      </c>
      <c r="G60" s="100">
        <f>IF(ISERROR(HLOOKUP($D$5,Kc!$B$3:$AI$57,upland_dry!F60+3,FALSE)),0,HLOOKUP($D$5,Kc!$B$3:$AI$57,upland_dry!F60+3,FALSE))</f>
        <v>1.29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15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27"/>
        <v>0</v>
      </c>
      <c r="AF60" s="101">
        <f t="shared" si="28"/>
        <v>0</v>
      </c>
      <c r="AG60" s="101">
        <f t="shared" si="29"/>
        <v>0</v>
      </c>
      <c r="AH60" s="101">
        <f t="shared" si="30"/>
        <v>0</v>
      </c>
      <c r="AI60" s="101">
        <f t="shared" si="31"/>
        <v>0</v>
      </c>
      <c r="AJ60" s="101">
        <f>VLOOKUP(MONTH(D60),[0]!rainforuplandcrop,4)/1000*AB60*1600*7</f>
        <v>0</v>
      </c>
    </row>
    <row r="61" spans="2:36" x14ac:dyDescent="0.15">
      <c r="B61" s="106">
        <f t="shared" si="32"/>
        <v>39991</v>
      </c>
      <c r="C61" s="107">
        <f t="shared" si="33"/>
        <v>39997</v>
      </c>
      <c r="D61" s="99">
        <f t="shared" si="16"/>
        <v>39997</v>
      </c>
      <c r="E61" s="91">
        <v>35</v>
      </c>
      <c r="F61" s="407">
        <f>IF(ISERROR(VLOOKUP(E61,Crop!$N$3:$O$70,2,FALSE)),0,VLOOKUP(E61,Crop!$N$3:$O$70,2,FALSE))</f>
        <v>24</v>
      </c>
      <c r="G61" s="100">
        <f>IF(ISERROR(HLOOKUP($D$5,Kc!$B$3:$AI$57,upland_dry!F61+3,FALSE)),0,HLOOKUP($D$5,Kc!$B$3:$AI$57,upland_dry!F61+3,FALSE))</f>
        <v>1.29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15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27"/>
        <v>0</v>
      </c>
      <c r="AF61" s="101">
        <f t="shared" si="28"/>
        <v>0</v>
      </c>
      <c r="AG61" s="101">
        <f t="shared" si="29"/>
        <v>0</v>
      </c>
      <c r="AH61" s="101">
        <f t="shared" si="30"/>
        <v>0</v>
      </c>
      <c r="AI61" s="101">
        <f t="shared" si="31"/>
        <v>0</v>
      </c>
      <c r="AJ61" s="101">
        <f>VLOOKUP(MONTH(D61),[0]!rainforuplandcrop,4)/1000*AB61*1600*7</f>
        <v>0</v>
      </c>
    </row>
    <row r="62" spans="2:36" x14ac:dyDescent="0.15">
      <c r="B62" s="106">
        <f t="shared" si="32"/>
        <v>39998</v>
      </c>
      <c r="C62" s="107">
        <f t="shared" si="33"/>
        <v>40004</v>
      </c>
      <c r="D62" s="99">
        <f t="shared" si="16"/>
        <v>40004</v>
      </c>
      <c r="E62" s="91">
        <v>36</v>
      </c>
      <c r="F62" s="407">
        <f>IF(ISERROR(VLOOKUP(E62,Crop!$N$3:$O$70,2,FALSE)),0,VLOOKUP(E62,Crop!$N$3:$O$70,2,FALSE))</f>
        <v>25</v>
      </c>
      <c r="G62" s="100">
        <f>IF(ISERROR(HLOOKUP($D$5,Kc!$B$3:$AI$57,upland_dry!F62+3,FALSE)),0,HLOOKUP($D$5,Kc!$B$3:$AI$57,upland_dry!F62+3,FALSE))</f>
        <v>1.29</v>
      </c>
      <c r="H62" s="112">
        <f t="shared" si="17"/>
        <v>0</v>
      </c>
      <c r="I62" s="113">
        <f t="shared" si="18"/>
        <v>0</v>
      </c>
      <c r="J62" s="113">
        <f t="shared" si="19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 t="shared" si="15"/>
        <v>0</v>
      </c>
      <c r="AC62" s="405">
        <f t="shared" si="24"/>
        <v>0</v>
      </c>
      <c r="AD62" s="100">
        <f>VLOOKUP($D$7,ETo!$B$4:$P$88,MONTH(D62)+2,FALSE)/4</f>
        <v>33.131638852547908</v>
      </c>
      <c r="AE62" s="100">
        <f t="shared" si="27"/>
        <v>0</v>
      </c>
      <c r="AF62" s="101">
        <f t="shared" si="28"/>
        <v>0</v>
      </c>
      <c r="AG62" s="101">
        <f t="shared" si="29"/>
        <v>0</v>
      </c>
      <c r="AH62" s="101">
        <f t="shared" si="30"/>
        <v>0</v>
      </c>
      <c r="AI62" s="101">
        <f t="shared" si="31"/>
        <v>0</v>
      </c>
      <c r="AJ62" s="101">
        <f>VLOOKUP(MONTH(D62),[0]!rainforuplandcrop,4)/1000*AB62*1600*7</f>
        <v>0</v>
      </c>
    </row>
    <row r="63" spans="2:36" x14ac:dyDescent="0.15">
      <c r="B63" s="106">
        <f t="shared" si="32"/>
        <v>40005</v>
      </c>
      <c r="C63" s="107">
        <f t="shared" si="33"/>
        <v>40011</v>
      </c>
      <c r="D63" s="99">
        <f t="shared" si="16"/>
        <v>40011</v>
      </c>
      <c r="E63" s="91">
        <v>37</v>
      </c>
      <c r="F63" s="407">
        <f>IF(ISERROR(VLOOKUP(E63,Crop!$N$3:$O$70,2,FALSE)),0,VLOOKUP(E63,Crop!$N$3:$O$70,2,FALSE))</f>
        <v>26</v>
      </c>
      <c r="G63" s="100">
        <f>IF(ISERROR(HLOOKUP($D$5,Kc!$B$3:$AI$57,upland_dry!F63+3,FALSE)),0,HLOOKUP($D$5,Kc!$B$3:$AI$57,upland_dry!F63+3,FALSE))</f>
        <v>1.29</v>
      </c>
      <c r="H63" s="112">
        <f t="shared" si="17"/>
        <v>0</v>
      </c>
      <c r="I63" s="113">
        <f t="shared" si="18"/>
        <v>0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15"/>
        <v>0</v>
      </c>
      <c r="AC63" s="405">
        <f t="shared" si="24"/>
        <v>0</v>
      </c>
      <c r="AD63" s="100">
        <f>VLOOKUP($D$7,ETo!$B$4:$P$88,MONTH(D63)+2,FALSE)/4</f>
        <v>33.131638852547908</v>
      </c>
      <c r="AE63" s="100">
        <f t="shared" si="27"/>
        <v>0</v>
      </c>
      <c r="AF63" s="101">
        <f t="shared" si="28"/>
        <v>0</v>
      </c>
      <c r="AG63" s="101">
        <f t="shared" si="29"/>
        <v>0</v>
      </c>
      <c r="AH63" s="101">
        <f t="shared" si="30"/>
        <v>0</v>
      </c>
      <c r="AI63" s="101">
        <f t="shared" si="31"/>
        <v>0</v>
      </c>
      <c r="AJ63" s="101">
        <f>VLOOKUP(MONTH(D63),[0]!rainforuplandcrop,4)/1000*AB63*1600*7</f>
        <v>0</v>
      </c>
    </row>
    <row r="64" spans="2:36" x14ac:dyDescent="0.15">
      <c r="B64" s="106">
        <f t="shared" si="32"/>
        <v>40012</v>
      </c>
      <c r="C64" s="107">
        <f t="shared" si="33"/>
        <v>40018</v>
      </c>
      <c r="D64" s="99">
        <f t="shared" si="16"/>
        <v>40018</v>
      </c>
      <c r="E64" s="91">
        <v>38</v>
      </c>
      <c r="F64" s="407">
        <f>IF(ISERROR(VLOOKUP(E64,Crop!$N$3:$O$70,2,FALSE)),0,VLOOKUP(E64,Crop!$N$3:$O$70,2,FALSE))</f>
        <v>27</v>
      </c>
      <c r="G64" s="100">
        <f>IF(ISERROR(HLOOKUP($D$5,Kc!$B$3:$AI$57,upland_dry!F64+3,FALSE)),0,HLOOKUP($D$5,Kc!$B$3:$AI$57,upland_dry!F64+3,FALSE))</f>
        <v>1.2</v>
      </c>
      <c r="H64" s="112">
        <f t="shared" si="17"/>
        <v>0</v>
      </c>
      <c r="I64" s="113">
        <f t="shared" si="18"/>
        <v>0</v>
      </c>
      <c r="J64" s="113">
        <f t="shared" si="19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15"/>
        <v>0</v>
      </c>
      <c r="AC64" s="405">
        <f t="shared" si="24"/>
        <v>0</v>
      </c>
      <c r="AD64" s="100">
        <f>VLOOKUP($D$7,ETo!$B$4:$P$88,MONTH(D64)+2,FALSE)/4</f>
        <v>33.131638852547908</v>
      </c>
      <c r="AE64" s="100">
        <f t="shared" si="27"/>
        <v>0</v>
      </c>
      <c r="AF64" s="101">
        <f t="shared" si="28"/>
        <v>0</v>
      </c>
      <c r="AG64" s="101">
        <f t="shared" si="29"/>
        <v>0</v>
      </c>
      <c r="AH64" s="101">
        <f t="shared" si="30"/>
        <v>0</v>
      </c>
      <c r="AI64" s="101">
        <f t="shared" si="31"/>
        <v>0</v>
      </c>
      <c r="AJ64" s="101">
        <f>VLOOKUP(MONTH(D64),[0]!rainforuplandcrop,4)/1000*AB64*1600*7</f>
        <v>0</v>
      </c>
    </row>
    <row r="65" spans="2:36" x14ac:dyDescent="0.15">
      <c r="B65" s="106">
        <f t="shared" si="32"/>
        <v>40019</v>
      </c>
      <c r="C65" s="107">
        <f t="shared" si="33"/>
        <v>40025</v>
      </c>
      <c r="D65" s="99">
        <f t="shared" si="16"/>
        <v>40025</v>
      </c>
      <c r="E65" s="91">
        <v>39</v>
      </c>
      <c r="F65" s="407">
        <f>IF(ISERROR(VLOOKUP(E65,Crop!$N$3:$O$70,2,FALSE)),0,VLOOKUP(E65,Crop!$N$3:$O$70,2,FALSE))</f>
        <v>28</v>
      </c>
      <c r="G65" s="100">
        <f>IF(ISERROR(HLOOKUP($D$5,Kc!$B$3:$AI$57,upland_dry!F65+3,FALSE)),0,HLOOKUP($D$5,Kc!$B$3:$AI$57,upland_dry!F65+3,FALSE))</f>
        <v>1.2</v>
      </c>
      <c r="H65" s="112">
        <f t="shared" si="17"/>
        <v>0</v>
      </c>
      <c r="I65" s="113">
        <f t="shared" si="18"/>
        <v>0</v>
      </c>
      <c r="J65" s="113">
        <f t="shared" si="19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15"/>
        <v>0</v>
      </c>
      <c r="AC65" s="405">
        <f t="shared" si="24"/>
        <v>0</v>
      </c>
      <c r="AD65" s="100">
        <f>VLOOKUP($D$7,ETo!$B$4:$P$88,MONTH(D65)+2,FALSE)/4</f>
        <v>33.131638852547908</v>
      </c>
      <c r="AE65" s="100">
        <f t="shared" si="27"/>
        <v>0</v>
      </c>
      <c r="AF65" s="101">
        <f t="shared" si="28"/>
        <v>0</v>
      </c>
      <c r="AG65" s="101">
        <f t="shared" si="29"/>
        <v>0</v>
      </c>
      <c r="AH65" s="101">
        <f t="shared" si="30"/>
        <v>0</v>
      </c>
      <c r="AI65" s="101">
        <f t="shared" si="31"/>
        <v>0</v>
      </c>
      <c r="AJ65" s="101">
        <f>VLOOKUP(MONTH(D65),[0]!rainforuplandcrop,4)/1000*AB65*1600*7</f>
        <v>0</v>
      </c>
    </row>
    <row r="66" spans="2:36" x14ac:dyDescent="0.15">
      <c r="B66" s="106">
        <f t="shared" si="32"/>
        <v>40026</v>
      </c>
      <c r="C66" s="107">
        <f t="shared" si="33"/>
        <v>40032</v>
      </c>
      <c r="D66" s="99">
        <f t="shared" si="16"/>
        <v>40032</v>
      </c>
      <c r="E66" s="91">
        <v>40</v>
      </c>
      <c r="F66" s="407">
        <f>IF(ISERROR(VLOOKUP(E66,Crop!$N$3:$O$70,2,FALSE)),0,VLOOKUP(E66,Crop!$N$3:$O$70,2,FALSE))</f>
        <v>29</v>
      </c>
      <c r="G66" s="100">
        <f>IF(ISERROR(HLOOKUP($D$5,Kc!$B$3:$AI$57,upland_dry!F66+3,FALSE)),0,HLOOKUP($D$5,Kc!$B$3:$AI$57,upland_dry!F66+3,FALSE))</f>
        <v>1.2</v>
      </c>
      <c r="H66" s="112">
        <f t="shared" si="17"/>
        <v>0</v>
      </c>
      <c r="I66" s="113">
        <f t="shared" si="18"/>
        <v>0</v>
      </c>
      <c r="J66" s="113">
        <f t="shared" si="19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15"/>
        <v>0</v>
      </c>
      <c r="AC66" s="405">
        <f t="shared" si="24"/>
        <v>0</v>
      </c>
      <c r="AD66" s="100">
        <f>VLOOKUP($D$7,ETo!$B$4:$P$88,MONTH(D66)+2,FALSE)/4</f>
        <v>31.040695886359554</v>
      </c>
      <c r="AE66" s="100">
        <f t="shared" si="27"/>
        <v>0</v>
      </c>
      <c r="AF66" s="101">
        <f t="shared" si="28"/>
        <v>0</v>
      </c>
      <c r="AG66" s="101">
        <f t="shared" si="29"/>
        <v>0</v>
      </c>
      <c r="AH66" s="101">
        <f t="shared" si="30"/>
        <v>0</v>
      </c>
      <c r="AI66" s="101">
        <f t="shared" si="31"/>
        <v>0</v>
      </c>
      <c r="AJ66" s="101">
        <f>VLOOKUP(MONTH(D66),[0]!rainforuplandcrop,4)/1000*AB66*1600*7</f>
        <v>0</v>
      </c>
    </row>
    <row r="67" spans="2:36" x14ac:dyDescent="0.15">
      <c r="B67" s="106">
        <f t="shared" si="32"/>
        <v>40033</v>
      </c>
      <c r="C67" s="107">
        <f t="shared" si="33"/>
        <v>40039</v>
      </c>
      <c r="D67" s="99">
        <f t="shared" si="16"/>
        <v>40039</v>
      </c>
      <c r="E67" s="91">
        <v>41</v>
      </c>
      <c r="F67" s="407">
        <f>IF(ISERROR(VLOOKUP(E67,Crop!$N$3:$O$70,2,FALSE)),0,VLOOKUP(E67,Crop!$N$3:$O$70,2,FALSE))</f>
        <v>30</v>
      </c>
      <c r="G67" s="100">
        <f>IF(ISERROR(HLOOKUP($D$5,Kc!$B$3:$AI$57,upland_dry!F67+3,FALSE)),0,HLOOKUP($D$5,Kc!$B$3:$AI$57,upland_dry!F67+3,FALSE))</f>
        <v>1.2</v>
      </c>
      <c r="H67" s="112">
        <f t="shared" si="17"/>
        <v>0</v>
      </c>
      <c r="I67" s="113">
        <f t="shared" si="18"/>
        <v>0</v>
      </c>
      <c r="J67" s="113">
        <f t="shared" si="19"/>
        <v>0</v>
      </c>
      <c r="K67" s="113">
        <f t="shared" ref="K67:T78" si="34">IF(J66&gt;0,IF(K$26&gt;$E$9,0,VLOOKUP(K$26,$F$3:$G$23,2,FALSE)),0)</f>
        <v>0</v>
      </c>
      <c r="L67" s="113">
        <f t="shared" si="34"/>
        <v>0</v>
      </c>
      <c r="M67" s="113">
        <f t="shared" si="34"/>
        <v>0</v>
      </c>
      <c r="N67" s="113">
        <f t="shared" si="34"/>
        <v>0</v>
      </c>
      <c r="O67" s="113">
        <f t="shared" si="34"/>
        <v>0</v>
      </c>
      <c r="P67" s="113">
        <f t="shared" si="34"/>
        <v>0</v>
      </c>
      <c r="Q67" s="113">
        <f t="shared" si="34"/>
        <v>0</v>
      </c>
      <c r="R67" s="113">
        <f t="shared" si="34"/>
        <v>0</v>
      </c>
      <c r="S67" s="113">
        <f t="shared" si="34"/>
        <v>0</v>
      </c>
      <c r="T67" s="113">
        <f t="shared" si="34"/>
        <v>0</v>
      </c>
      <c r="U67" s="113">
        <f t="shared" ref="U67:AA78" si="35">IF(T66&gt;0,IF(U$26&gt;$E$9,0,VLOOKUP(U$26,$F$3:$G$23,2,FALSE)),0)</f>
        <v>0</v>
      </c>
      <c r="V67" s="113">
        <f t="shared" si="35"/>
        <v>0</v>
      </c>
      <c r="W67" s="113">
        <f t="shared" si="35"/>
        <v>0</v>
      </c>
      <c r="X67" s="113">
        <f t="shared" si="35"/>
        <v>0</v>
      </c>
      <c r="Y67" s="113">
        <f t="shared" si="35"/>
        <v>0</v>
      </c>
      <c r="Z67" s="113">
        <f t="shared" si="35"/>
        <v>0</v>
      </c>
      <c r="AA67" s="113">
        <f t="shared" si="35"/>
        <v>0</v>
      </c>
      <c r="AB67" s="117">
        <f t="shared" si="15"/>
        <v>0</v>
      </c>
      <c r="AC67" s="405">
        <f t="shared" si="24"/>
        <v>0</v>
      </c>
      <c r="AD67" s="100">
        <f>VLOOKUP($D$7,ETo!$B$4:$P$88,MONTH(D67)+2,FALSE)/4</f>
        <v>31.040695886359554</v>
      </c>
      <c r="AE67" s="100">
        <f t="shared" si="27"/>
        <v>0</v>
      </c>
      <c r="AF67" s="101">
        <f t="shared" si="28"/>
        <v>0</v>
      </c>
      <c r="AG67" s="101">
        <f t="shared" si="29"/>
        <v>0</v>
      </c>
      <c r="AH67" s="101">
        <f t="shared" si="30"/>
        <v>0</v>
      </c>
      <c r="AI67" s="101">
        <f t="shared" si="31"/>
        <v>0</v>
      </c>
      <c r="AJ67" s="101">
        <f>VLOOKUP(MONTH(D67),[0]!rainforuplandcrop,4)/1000*AB67*1600*7</f>
        <v>0</v>
      </c>
    </row>
    <row r="68" spans="2:36" x14ac:dyDescent="0.15">
      <c r="B68" s="106">
        <f t="shared" si="32"/>
        <v>40040</v>
      </c>
      <c r="C68" s="107">
        <f t="shared" si="33"/>
        <v>40046</v>
      </c>
      <c r="D68" s="99">
        <f t="shared" si="16"/>
        <v>40046</v>
      </c>
      <c r="E68" s="91">
        <v>42</v>
      </c>
      <c r="F68" s="407">
        <f>IF(ISERROR(VLOOKUP(E68,Crop!$N$3:$O$70,2,FALSE)),0,VLOOKUP(E68,Crop!$N$3:$O$70,2,FALSE))</f>
        <v>31</v>
      </c>
      <c r="G68" s="100">
        <f>IF(ISERROR(HLOOKUP($D$5,Kc!$B$3:$AI$57,upland_dry!F68+3,FALSE)),0,HLOOKUP($D$5,Kc!$B$3:$AI$57,upland_dry!F68+3,FALSE))</f>
        <v>1.2</v>
      </c>
      <c r="H68" s="112">
        <f t="shared" si="17"/>
        <v>0</v>
      </c>
      <c r="I68" s="113">
        <f t="shared" si="18"/>
        <v>0</v>
      </c>
      <c r="J68" s="113">
        <f t="shared" si="19"/>
        <v>0</v>
      </c>
      <c r="K68" s="113">
        <f t="shared" si="34"/>
        <v>0</v>
      </c>
      <c r="L68" s="113">
        <f t="shared" si="34"/>
        <v>0</v>
      </c>
      <c r="M68" s="113">
        <f t="shared" si="34"/>
        <v>0</v>
      </c>
      <c r="N68" s="113">
        <f t="shared" si="34"/>
        <v>0</v>
      </c>
      <c r="O68" s="113">
        <f t="shared" si="34"/>
        <v>0</v>
      </c>
      <c r="P68" s="113">
        <f t="shared" si="34"/>
        <v>0</v>
      </c>
      <c r="Q68" s="113">
        <f t="shared" si="34"/>
        <v>0</v>
      </c>
      <c r="R68" s="113">
        <f t="shared" si="34"/>
        <v>0</v>
      </c>
      <c r="S68" s="113">
        <f t="shared" si="34"/>
        <v>0</v>
      </c>
      <c r="T68" s="113">
        <f t="shared" si="34"/>
        <v>0</v>
      </c>
      <c r="U68" s="113">
        <f t="shared" si="35"/>
        <v>0</v>
      </c>
      <c r="V68" s="113">
        <f t="shared" si="35"/>
        <v>0</v>
      </c>
      <c r="W68" s="113">
        <f t="shared" si="35"/>
        <v>0</v>
      </c>
      <c r="X68" s="113">
        <f t="shared" si="35"/>
        <v>0</v>
      </c>
      <c r="Y68" s="113">
        <f t="shared" si="35"/>
        <v>0</v>
      </c>
      <c r="Z68" s="113">
        <f t="shared" si="35"/>
        <v>0</v>
      </c>
      <c r="AA68" s="113">
        <f t="shared" si="35"/>
        <v>0</v>
      </c>
      <c r="AB68" s="117">
        <f t="shared" si="15"/>
        <v>0</v>
      </c>
      <c r="AC68" s="405">
        <f t="shared" si="24"/>
        <v>0</v>
      </c>
      <c r="AD68" s="100">
        <f>VLOOKUP($D$7,ETo!$B$4:$P$88,MONTH(D68)+2,FALSE)/4</f>
        <v>31.040695886359554</v>
      </c>
      <c r="AE68" s="100">
        <f t="shared" si="27"/>
        <v>0</v>
      </c>
      <c r="AF68" s="101">
        <f t="shared" si="28"/>
        <v>0</v>
      </c>
      <c r="AG68" s="101">
        <f t="shared" si="29"/>
        <v>0</v>
      </c>
      <c r="AH68" s="101">
        <f t="shared" si="30"/>
        <v>0</v>
      </c>
      <c r="AI68" s="101">
        <f t="shared" si="31"/>
        <v>0</v>
      </c>
      <c r="AJ68" s="101">
        <f>VLOOKUP(MONTH(D68),[0]!rainforuplandcrop,4)/1000*AB68*1600*7</f>
        <v>0</v>
      </c>
    </row>
    <row r="69" spans="2:36" x14ac:dyDescent="0.15">
      <c r="B69" s="106">
        <f t="shared" si="32"/>
        <v>40047</v>
      </c>
      <c r="C69" s="107">
        <f t="shared" si="33"/>
        <v>40053</v>
      </c>
      <c r="D69" s="99">
        <f t="shared" si="16"/>
        <v>40053</v>
      </c>
      <c r="E69" s="91">
        <v>43</v>
      </c>
      <c r="F69" s="407">
        <f>IF(ISERROR(VLOOKUP(E69,Crop!$N$3:$O$70,2,FALSE)),0,VLOOKUP(E69,Crop!$N$3:$O$70,2,FALSE))</f>
        <v>32</v>
      </c>
      <c r="G69" s="100">
        <f>IF(ISERROR(HLOOKUP($D$5,Kc!$B$3:$AI$57,upland_dry!F69+3,FALSE)),0,HLOOKUP($D$5,Kc!$B$3:$AI$57,upland_dry!F69+3,FALSE))</f>
        <v>0.93</v>
      </c>
      <c r="H69" s="112">
        <f t="shared" si="17"/>
        <v>0</v>
      </c>
      <c r="I69" s="113">
        <f t="shared" si="18"/>
        <v>0</v>
      </c>
      <c r="J69" s="113">
        <f t="shared" si="19"/>
        <v>0</v>
      </c>
      <c r="K69" s="113">
        <f t="shared" si="34"/>
        <v>0</v>
      </c>
      <c r="L69" s="113">
        <f t="shared" si="34"/>
        <v>0</v>
      </c>
      <c r="M69" s="113">
        <f t="shared" si="34"/>
        <v>0</v>
      </c>
      <c r="N69" s="113">
        <f t="shared" si="34"/>
        <v>0</v>
      </c>
      <c r="O69" s="113">
        <f t="shared" si="34"/>
        <v>0</v>
      </c>
      <c r="P69" s="113">
        <f t="shared" si="34"/>
        <v>0</v>
      </c>
      <c r="Q69" s="113">
        <f t="shared" si="34"/>
        <v>0</v>
      </c>
      <c r="R69" s="113">
        <f t="shared" si="34"/>
        <v>0</v>
      </c>
      <c r="S69" s="113">
        <f t="shared" si="34"/>
        <v>0</v>
      </c>
      <c r="T69" s="113">
        <f t="shared" si="34"/>
        <v>0</v>
      </c>
      <c r="U69" s="113">
        <f t="shared" si="35"/>
        <v>0</v>
      </c>
      <c r="V69" s="113">
        <f t="shared" si="35"/>
        <v>0</v>
      </c>
      <c r="W69" s="113">
        <f t="shared" si="35"/>
        <v>0</v>
      </c>
      <c r="X69" s="113">
        <f t="shared" si="35"/>
        <v>0</v>
      </c>
      <c r="Y69" s="113">
        <f t="shared" si="35"/>
        <v>0</v>
      </c>
      <c r="Z69" s="113">
        <f t="shared" si="35"/>
        <v>0</v>
      </c>
      <c r="AA69" s="113">
        <f t="shared" si="35"/>
        <v>0</v>
      </c>
      <c r="AB69" s="117">
        <f t="shared" si="15"/>
        <v>0</v>
      </c>
      <c r="AC69" s="405">
        <f t="shared" si="24"/>
        <v>0</v>
      </c>
      <c r="AD69" s="100">
        <f>VLOOKUP($D$7,ETo!$B$4:$P$88,MONTH(D69)+2,FALSE)/4</f>
        <v>31.040695886359554</v>
      </c>
      <c r="AE69" s="100">
        <f t="shared" si="27"/>
        <v>0</v>
      </c>
      <c r="AF69" s="101">
        <f t="shared" si="28"/>
        <v>0</v>
      </c>
      <c r="AG69" s="101">
        <f t="shared" si="29"/>
        <v>0</v>
      </c>
      <c r="AH69" s="101">
        <f t="shared" si="30"/>
        <v>0</v>
      </c>
      <c r="AI69" s="101">
        <f t="shared" si="31"/>
        <v>0</v>
      </c>
      <c r="AJ69" s="101">
        <f>VLOOKUP(MONTH(D69),[0]!rainforuplandcrop,4)/1000*AB69*1600*7</f>
        <v>0</v>
      </c>
    </row>
    <row r="70" spans="2:36" x14ac:dyDescent="0.15">
      <c r="B70" s="106">
        <f t="shared" si="32"/>
        <v>40054</v>
      </c>
      <c r="C70" s="107">
        <f t="shared" si="33"/>
        <v>40060</v>
      </c>
      <c r="D70" s="99">
        <f t="shared" si="16"/>
        <v>40060</v>
      </c>
      <c r="E70" s="91">
        <v>44</v>
      </c>
      <c r="F70" s="407">
        <f>IF(ISERROR(VLOOKUP(E70,Crop!$N$3:$O$70,2,FALSE)),0,VLOOKUP(E70,Crop!$N$3:$O$70,2,FALSE))</f>
        <v>33</v>
      </c>
      <c r="G70" s="100">
        <f>IF(ISERROR(HLOOKUP($D$5,Kc!$B$3:$AI$57,upland_dry!F70+3,FALSE)),0,HLOOKUP($D$5,Kc!$B$3:$AI$57,upland_dry!F70+3,FALSE))</f>
        <v>0.93</v>
      </c>
      <c r="H70" s="112">
        <f t="shared" si="17"/>
        <v>0</v>
      </c>
      <c r="I70" s="113">
        <f t="shared" si="18"/>
        <v>0</v>
      </c>
      <c r="J70" s="113">
        <f t="shared" si="19"/>
        <v>0</v>
      </c>
      <c r="K70" s="113">
        <f t="shared" si="34"/>
        <v>0</v>
      </c>
      <c r="L70" s="113">
        <f t="shared" si="34"/>
        <v>0</v>
      </c>
      <c r="M70" s="113">
        <f t="shared" si="34"/>
        <v>0</v>
      </c>
      <c r="N70" s="113">
        <f t="shared" si="34"/>
        <v>0</v>
      </c>
      <c r="O70" s="113">
        <f t="shared" si="34"/>
        <v>0</v>
      </c>
      <c r="P70" s="113">
        <f t="shared" si="34"/>
        <v>0</v>
      </c>
      <c r="Q70" s="113">
        <f t="shared" si="34"/>
        <v>0</v>
      </c>
      <c r="R70" s="113">
        <f t="shared" si="34"/>
        <v>0</v>
      </c>
      <c r="S70" s="113">
        <f t="shared" si="34"/>
        <v>0</v>
      </c>
      <c r="T70" s="113">
        <f t="shared" si="34"/>
        <v>0</v>
      </c>
      <c r="U70" s="113">
        <f t="shared" si="35"/>
        <v>0</v>
      </c>
      <c r="V70" s="113">
        <f t="shared" si="35"/>
        <v>0</v>
      </c>
      <c r="W70" s="113">
        <f t="shared" si="35"/>
        <v>0</v>
      </c>
      <c r="X70" s="113">
        <f t="shared" si="35"/>
        <v>0</v>
      </c>
      <c r="Y70" s="113">
        <f t="shared" si="35"/>
        <v>0</v>
      </c>
      <c r="Z70" s="113">
        <f t="shared" si="35"/>
        <v>0</v>
      </c>
      <c r="AA70" s="113">
        <f t="shared" si="35"/>
        <v>0</v>
      </c>
      <c r="AB70" s="117">
        <f t="shared" si="15"/>
        <v>0</v>
      </c>
      <c r="AC70" s="405">
        <f t="shared" si="24"/>
        <v>0</v>
      </c>
      <c r="AD70" s="100">
        <f>VLOOKUP($D$7,ETo!$B$4:$P$88,MONTH(D70)+2,FALSE)/4</f>
        <v>28.50368641826438</v>
      </c>
      <c r="AE70" s="100">
        <f t="shared" si="27"/>
        <v>0</v>
      </c>
      <c r="AF70" s="101">
        <f t="shared" si="28"/>
        <v>0</v>
      </c>
      <c r="AG70" s="101">
        <f t="shared" si="29"/>
        <v>0</v>
      </c>
      <c r="AH70" s="101">
        <f t="shared" si="30"/>
        <v>0</v>
      </c>
      <c r="AI70" s="101">
        <f t="shared" si="31"/>
        <v>0</v>
      </c>
      <c r="AJ70" s="101">
        <f>VLOOKUP(MONTH(D70),[0]!rainforuplandcrop,4)/1000*AB70*1600*7</f>
        <v>0</v>
      </c>
    </row>
    <row r="71" spans="2:36" x14ac:dyDescent="0.15">
      <c r="B71" s="106">
        <f t="shared" si="32"/>
        <v>40061</v>
      </c>
      <c r="C71" s="107">
        <f t="shared" si="33"/>
        <v>40067</v>
      </c>
      <c r="D71" s="99">
        <f t="shared" si="16"/>
        <v>40067</v>
      </c>
      <c r="E71" s="91">
        <v>45</v>
      </c>
      <c r="F71" s="407">
        <f>IF(ISERROR(VLOOKUP(E71,Crop!$N$3:$O$70,2,FALSE)),0,VLOOKUP(E71,Crop!$N$3:$O$70,2,FALSE))</f>
        <v>34</v>
      </c>
      <c r="G71" s="100">
        <f>IF(ISERROR(HLOOKUP($D$5,Kc!$B$3:$AI$57,upland_dry!F71+3,FALSE)),0,HLOOKUP($D$5,Kc!$B$3:$AI$57,upland_dry!F71+3,FALSE))</f>
        <v>0.93</v>
      </c>
      <c r="H71" s="112">
        <f t="shared" si="17"/>
        <v>0</v>
      </c>
      <c r="I71" s="113">
        <f t="shared" si="18"/>
        <v>0</v>
      </c>
      <c r="J71" s="113">
        <f t="shared" si="19"/>
        <v>0</v>
      </c>
      <c r="K71" s="113">
        <f t="shared" si="34"/>
        <v>0</v>
      </c>
      <c r="L71" s="113">
        <f t="shared" si="34"/>
        <v>0</v>
      </c>
      <c r="M71" s="113">
        <f t="shared" si="34"/>
        <v>0</v>
      </c>
      <c r="N71" s="113">
        <f t="shared" si="34"/>
        <v>0</v>
      </c>
      <c r="O71" s="113">
        <f t="shared" si="34"/>
        <v>0</v>
      </c>
      <c r="P71" s="113">
        <f t="shared" si="34"/>
        <v>0</v>
      </c>
      <c r="Q71" s="113">
        <f t="shared" si="34"/>
        <v>0</v>
      </c>
      <c r="R71" s="113">
        <f t="shared" si="34"/>
        <v>0</v>
      </c>
      <c r="S71" s="113">
        <f t="shared" si="34"/>
        <v>0</v>
      </c>
      <c r="T71" s="113">
        <f t="shared" si="34"/>
        <v>0</v>
      </c>
      <c r="U71" s="113">
        <f t="shared" si="35"/>
        <v>0</v>
      </c>
      <c r="V71" s="113">
        <f t="shared" si="35"/>
        <v>0</v>
      </c>
      <c r="W71" s="113">
        <f t="shared" si="35"/>
        <v>0</v>
      </c>
      <c r="X71" s="113">
        <f t="shared" si="35"/>
        <v>0</v>
      </c>
      <c r="Y71" s="113">
        <f t="shared" si="35"/>
        <v>0</v>
      </c>
      <c r="Z71" s="113">
        <f t="shared" si="35"/>
        <v>0</v>
      </c>
      <c r="AA71" s="113">
        <f t="shared" si="35"/>
        <v>0</v>
      </c>
      <c r="AB71" s="117">
        <f t="shared" si="15"/>
        <v>0</v>
      </c>
      <c r="AC71" s="405">
        <f t="shared" si="24"/>
        <v>0</v>
      </c>
      <c r="AD71" s="100">
        <f>VLOOKUP($D$7,ETo!$B$4:$P$88,MONTH(D71)+2,FALSE)/4</f>
        <v>28.50368641826438</v>
      </c>
      <c r="AE71" s="100">
        <f t="shared" si="27"/>
        <v>0</v>
      </c>
      <c r="AF71" s="101">
        <f t="shared" si="28"/>
        <v>0</v>
      </c>
      <c r="AG71" s="101">
        <f t="shared" si="29"/>
        <v>0</v>
      </c>
      <c r="AH71" s="101">
        <f t="shared" si="30"/>
        <v>0</v>
      </c>
      <c r="AI71" s="101">
        <f t="shared" si="31"/>
        <v>0</v>
      </c>
      <c r="AJ71" s="101">
        <f>VLOOKUP(MONTH(D71),[0]!rainforuplandcrop,4)/1000*AB71*1600*7</f>
        <v>0</v>
      </c>
    </row>
    <row r="72" spans="2:36" x14ac:dyDescent="0.15">
      <c r="B72" s="106">
        <f t="shared" si="32"/>
        <v>40068</v>
      </c>
      <c r="C72" s="107">
        <f t="shared" si="33"/>
        <v>40074</v>
      </c>
      <c r="D72" s="99">
        <f t="shared" si="16"/>
        <v>40074</v>
      </c>
      <c r="E72" s="91">
        <v>46</v>
      </c>
      <c r="F72" s="407">
        <f>IF(ISERROR(VLOOKUP(E72,Crop!$N$3:$O$70,2,FALSE)),0,VLOOKUP(E72,Crop!$N$3:$O$70,2,FALSE))</f>
        <v>35</v>
      </c>
      <c r="G72" s="100">
        <f>IF(ISERROR(HLOOKUP($D$5,Kc!$B$3:$AI$57,upland_dry!F72+3,FALSE)),0,HLOOKUP($D$5,Kc!$B$3:$AI$57,upland_dry!F72+3,FALSE))</f>
        <v>0.93</v>
      </c>
      <c r="H72" s="112">
        <f t="shared" si="17"/>
        <v>0</v>
      </c>
      <c r="I72" s="113">
        <f t="shared" si="18"/>
        <v>0</v>
      </c>
      <c r="J72" s="113">
        <f t="shared" si="19"/>
        <v>0</v>
      </c>
      <c r="K72" s="113">
        <f t="shared" si="34"/>
        <v>0</v>
      </c>
      <c r="L72" s="113">
        <f t="shared" si="34"/>
        <v>0</v>
      </c>
      <c r="M72" s="113">
        <f t="shared" si="34"/>
        <v>0</v>
      </c>
      <c r="N72" s="113">
        <f t="shared" si="34"/>
        <v>0</v>
      </c>
      <c r="O72" s="113">
        <f t="shared" si="34"/>
        <v>0</v>
      </c>
      <c r="P72" s="113">
        <f t="shared" si="34"/>
        <v>0</v>
      </c>
      <c r="Q72" s="113">
        <f t="shared" si="34"/>
        <v>0</v>
      </c>
      <c r="R72" s="113">
        <f t="shared" si="34"/>
        <v>0</v>
      </c>
      <c r="S72" s="113">
        <f t="shared" si="34"/>
        <v>0</v>
      </c>
      <c r="T72" s="113">
        <f t="shared" si="34"/>
        <v>0</v>
      </c>
      <c r="U72" s="113">
        <f t="shared" si="35"/>
        <v>0</v>
      </c>
      <c r="V72" s="113">
        <f t="shared" si="35"/>
        <v>0</v>
      </c>
      <c r="W72" s="113">
        <f t="shared" si="35"/>
        <v>0</v>
      </c>
      <c r="X72" s="113">
        <f t="shared" si="35"/>
        <v>0</v>
      </c>
      <c r="Y72" s="113">
        <f t="shared" si="35"/>
        <v>0</v>
      </c>
      <c r="Z72" s="113">
        <f t="shared" si="35"/>
        <v>0</v>
      </c>
      <c r="AA72" s="113">
        <f t="shared" si="35"/>
        <v>0</v>
      </c>
      <c r="AB72" s="117">
        <f t="shared" si="15"/>
        <v>0</v>
      </c>
      <c r="AC72" s="405">
        <f t="shared" si="24"/>
        <v>0</v>
      </c>
      <c r="AD72" s="100">
        <f>VLOOKUP($D$7,ETo!$B$4:$P$88,MONTH(D72)+2,FALSE)/4</f>
        <v>28.50368641826438</v>
      </c>
      <c r="AE72" s="100">
        <f t="shared" si="27"/>
        <v>0</v>
      </c>
      <c r="AF72" s="101">
        <f t="shared" si="28"/>
        <v>0</v>
      </c>
      <c r="AG72" s="101">
        <f t="shared" si="29"/>
        <v>0</v>
      </c>
      <c r="AH72" s="101">
        <f t="shared" si="30"/>
        <v>0</v>
      </c>
      <c r="AI72" s="101">
        <f t="shared" si="31"/>
        <v>0</v>
      </c>
      <c r="AJ72" s="101">
        <f>VLOOKUP(MONTH(D72),[0]!rainforuplandcrop,4)/1000*AB72*1600*7</f>
        <v>0</v>
      </c>
    </row>
    <row r="73" spans="2:36" x14ac:dyDescent="0.15">
      <c r="B73" s="106">
        <f t="shared" si="32"/>
        <v>40075</v>
      </c>
      <c r="C73" s="107">
        <f t="shared" si="33"/>
        <v>40081</v>
      </c>
      <c r="D73" s="99">
        <f t="shared" si="16"/>
        <v>40081</v>
      </c>
      <c r="E73" s="91">
        <v>47</v>
      </c>
      <c r="F73" s="407">
        <f>IF(ISERROR(VLOOKUP(E73,Crop!$N$3:$O$70,2,FALSE)),0,VLOOKUP(E73,Crop!$N$3:$O$70,2,FALSE))</f>
        <v>36</v>
      </c>
      <c r="G73" s="100">
        <f>IF(ISERROR(HLOOKUP($D$5,Kc!$B$3:$AI$57,upland_dry!F73+3,FALSE)),0,HLOOKUP($D$5,Kc!$B$3:$AI$57,upland_dry!F73+3,FALSE))</f>
        <v>0.63</v>
      </c>
      <c r="H73" s="112">
        <f t="shared" si="17"/>
        <v>0</v>
      </c>
      <c r="I73" s="113">
        <f t="shared" si="18"/>
        <v>0</v>
      </c>
      <c r="J73" s="113">
        <f t="shared" si="19"/>
        <v>0</v>
      </c>
      <c r="K73" s="113">
        <f t="shared" si="34"/>
        <v>0</v>
      </c>
      <c r="L73" s="113">
        <f t="shared" si="34"/>
        <v>0</v>
      </c>
      <c r="M73" s="113">
        <f t="shared" si="34"/>
        <v>0</v>
      </c>
      <c r="N73" s="113">
        <f t="shared" si="34"/>
        <v>0</v>
      </c>
      <c r="O73" s="113">
        <f t="shared" si="34"/>
        <v>0</v>
      </c>
      <c r="P73" s="113">
        <f t="shared" si="34"/>
        <v>0</v>
      </c>
      <c r="Q73" s="113">
        <f t="shared" si="34"/>
        <v>0</v>
      </c>
      <c r="R73" s="113">
        <f t="shared" si="34"/>
        <v>0</v>
      </c>
      <c r="S73" s="113">
        <f t="shared" si="34"/>
        <v>0</v>
      </c>
      <c r="T73" s="113">
        <f t="shared" si="34"/>
        <v>0</v>
      </c>
      <c r="U73" s="113">
        <f t="shared" si="35"/>
        <v>0</v>
      </c>
      <c r="V73" s="113">
        <f t="shared" si="35"/>
        <v>0</v>
      </c>
      <c r="W73" s="113">
        <f t="shared" si="35"/>
        <v>0</v>
      </c>
      <c r="X73" s="113">
        <f t="shared" si="35"/>
        <v>0</v>
      </c>
      <c r="Y73" s="113">
        <f t="shared" si="35"/>
        <v>0</v>
      </c>
      <c r="Z73" s="113">
        <f t="shared" si="35"/>
        <v>0</v>
      </c>
      <c r="AA73" s="113">
        <f t="shared" si="35"/>
        <v>0</v>
      </c>
      <c r="AB73" s="117">
        <f t="shared" si="15"/>
        <v>0</v>
      </c>
      <c r="AC73" s="405">
        <f t="shared" si="24"/>
        <v>0</v>
      </c>
      <c r="AD73" s="100">
        <f>VLOOKUP($D$7,ETo!$B$4:$P$88,MONTH(D73)+2,FALSE)/4</f>
        <v>28.50368641826438</v>
      </c>
      <c r="AE73" s="100">
        <f t="shared" si="27"/>
        <v>0</v>
      </c>
      <c r="AF73" s="101">
        <f t="shared" si="28"/>
        <v>0</v>
      </c>
      <c r="AG73" s="101">
        <f t="shared" si="29"/>
        <v>0</v>
      </c>
      <c r="AH73" s="101">
        <f t="shared" si="30"/>
        <v>0</v>
      </c>
      <c r="AI73" s="101">
        <f t="shared" si="31"/>
        <v>0</v>
      </c>
      <c r="AJ73" s="101">
        <f>VLOOKUP(MONTH(D73),[0]!rainforuplandcrop,4)/1000*AB73*1600*7</f>
        <v>0</v>
      </c>
    </row>
    <row r="74" spans="2:36" x14ac:dyDescent="0.15">
      <c r="B74" s="106">
        <f t="shared" si="32"/>
        <v>40082</v>
      </c>
      <c r="C74" s="107">
        <f t="shared" si="33"/>
        <v>40088</v>
      </c>
      <c r="D74" s="99">
        <f t="shared" si="16"/>
        <v>40088</v>
      </c>
      <c r="E74" s="91">
        <v>48</v>
      </c>
      <c r="F74" s="407">
        <f>IF(ISERROR(VLOOKUP(E74,Crop!$N$3:$O$70,2,FALSE)),0,VLOOKUP(E74,Crop!$N$3:$O$70,2,FALSE))</f>
        <v>37</v>
      </c>
      <c r="G74" s="100">
        <f>IF(ISERROR(HLOOKUP($D$5,Kc!$B$3:$AI$57,upland_dry!F74+3,FALSE)),0,HLOOKUP($D$5,Kc!$B$3:$AI$57,upland_dry!F74+3,FALSE))</f>
        <v>0.63</v>
      </c>
      <c r="H74" s="112">
        <f t="shared" si="17"/>
        <v>0</v>
      </c>
      <c r="I74" s="113">
        <f t="shared" si="18"/>
        <v>0</v>
      </c>
      <c r="J74" s="113">
        <f t="shared" si="19"/>
        <v>0</v>
      </c>
      <c r="K74" s="113">
        <f t="shared" si="34"/>
        <v>0</v>
      </c>
      <c r="L74" s="113">
        <f t="shared" si="34"/>
        <v>0</v>
      </c>
      <c r="M74" s="113">
        <f t="shared" si="34"/>
        <v>0</v>
      </c>
      <c r="N74" s="113">
        <f t="shared" si="34"/>
        <v>0</v>
      </c>
      <c r="O74" s="113">
        <f t="shared" si="34"/>
        <v>0</v>
      </c>
      <c r="P74" s="113">
        <f t="shared" si="34"/>
        <v>0</v>
      </c>
      <c r="Q74" s="113">
        <f t="shared" si="34"/>
        <v>0</v>
      </c>
      <c r="R74" s="113">
        <f t="shared" si="34"/>
        <v>0</v>
      </c>
      <c r="S74" s="113">
        <f t="shared" si="34"/>
        <v>0</v>
      </c>
      <c r="T74" s="113">
        <f t="shared" si="34"/>
        <v>0</v>
      </c>
      <c r="U74" s="113">
        <f t="shared" si="35"/>
        <v>0</v>
      </c>
      <c r="V74" s="113">
        <f t="shared" si="35"/>
        <v>0</v>
      </c>
      <c r="W74" s="113">
        <f t="shared" si="35"/>
        <v>0</v>
      </c>
      <c r="X74" s="113">
        <f t="shared" si="35"/>
        <v>0</v>
      </c>
      <c r="Y74" s="113">
        <f t="shared" si="35"/>
        <v>0</v>
      </c>
      <c r="Z74" s="113">
        <f t="shared" si="35"/>
        <v>0</v>
      </c>
      <c r="AA74" s="113">
        <f t="shared" si="35"/>
        <v>0</v>
      </c>
      <c r="AB74" s="117">
        <f t="shared" si="15"/>
        <v>0</v>
      </c>
      <c r="AC74" s="405">
        <f t="shared" si="24"/>
        <v>0</v>
      </c>
      <c r="AD74" s="100">
        <f>VLOOKUP($D$7,ETo!$B$4:$P$88,MONTH(D74)+2,FALSE)/4</f>
        <v>29.411745068861798</v>
      </c>
      <c r="AE74" s="100">
        <f t="shared" si="27"/>
        <v>0</v>
      </c>
      <c r="AF74" s="101">
        <f t="shared" si="28"/>
        <v>0</v>
      </c>
      <c r="AG74" s="101">
        <f t="shared" si="29"/>
        <v>0</v>
      </c>
      <c r="AH74" s="101">
        <f t="shared" si="30"/>
        <v>0</v>
      </c>
      <c r="AI74" s="101">
        <f t="shared" si="31"/>
        <v>0</v>
      </c>
      <c r="AJ74" s="101">
        <f>VLOOKUP(MONTH(D74),[0]!rainforuplandcrop,4)/1000*AB74*1600*7</f>
        <v>0</v>
      </c>
    </row>
    <row r="75" spans="2:36" x14ac:dyDescent="0.15">
      <c r="B75" s="106">
        <f t="shared" si="32"/>
        <v>40089</v>
      </c>
      <c r="C75" s="107">
        <f t="shared" si="33"/>
        <v>40095</v>
      </c>
      <c r="D75" s="99">
        <f t="shared" si="16"/>
        <v>40095</v>
      </c>
      <c r="E75" s="91">
        <v>49</v>
      </c>
      <c r="F75" s="407">
        <f>IF(ISERROR(VLOOKUP(E75,Crop!$N$3:$O$70,2,FALSE)),0,VLOOKUP(E75,Crop!$N$3:$O$70,2,FALSE))</f>
        <v>38</v>
      </c>
      <c r="G75" s="100">
        <f>IF(ISERROR(HLOOKUP($D$5,Kc!$B$3:$AI$57,upland_dry!F75+3,FALSE)),0,HLOOKUP($D$5,Kc!$B$3:$AI$57,upland_dry!F75+3,FALSE))</f>
        <v>0.63</v>
      </c>
      <c r="H75" s="112">
        <f t="shared" si="17"/>
        <v>0</v>
      </c>
      <c r="I75" s="113">
        <f t="shared" si="18"/>
        <v>0</v>
      </c>
      <c r="J75" s="113">
        <f t="shared" si="19"/>
        <v>0</v>
      </c>
      <c r="K75" s="113">
        <f t="shared" si="34"/>
        <v>0</v>
      </c>
      <c r="L75" s="113">
        <f t="shared" si="34"/>
        <v>0</v>
      </c>
      <c r="M75" s="113">
        <f t="shared" si="34"/>
        <v>0</v>
      </c>
      <c r="N75" s="113">
        <f t="shared" si="34"/>
        <v>0</v>
      </c>
      <c r="O75" s="113">
        <f t="shared" si="34"/>
        <v>0</v>
      </c>
      <c r="P75" s="113">
        <f t="shared" si="34"/>
        <v>0</v>
      </c>
      <c r="Q75" s="113">
        <f t="shared" si="34"/>
        <v>0</v>
      </c>
      <c r="R75" s="113">
        <f t="shared" si="34"/>
        <v>0</v>
      </c>
      <c r="S75" s="113">
        <f t="shared" si="34"/>
        <v>0</v>
      </c>
      <c r="T75" s="113">
        <f t="shared" si="34"/>
        <v>0</v>
      </c>
      <c r="U75" s="113">
        <f t="shared" si="35"/>
        <v>0</v>
      </c>
      <c r="V75" s="113">
        <f t="shared" si="35"/>
        <v>0</v>
      </c>
      <c r="W75" s="113">
        <f t="shared" si="35"/>
        <v>0</v>
      </c>
      <c r="X75" s="113">
        <f t="shared" si="35"/>
        <v>0</v>
      </c>
      <c r="Y75" s="113">
        <f t="shared" si="35"/>
        <v>0</v>
      </c>
      <c r="Z75" s="113">
        <f t="shared" si="35"/>
        <v>0</v>
      </c>
      <c r="AA75" s="113">
        <f t="shared" si="35"/>
        <v>0</v>
      </c>
      <c r="AB75" s="117">
        <f t="shared" si="15"/>
        <v>0</v>
      </c>
      <c r="AC75" s="405">
        <f t="shared" si="24"/>
        <v>0</v>
      </c>
      <c r="AD75" s="100">
        <f>VLOOKUP($D$7,ETo!$B$4:$P$88,MONTH(D75)+2,FALSE)/4</f>
        <v>29.411745068861798</v>
      </c>
      <c r="AE75" s="100">
        <f t="shared" si="27"/>
        <v>0</v>
      </c>
      <c r="AF75" s="101">
        <f t="shared" si="28"/>
        <v>0</v>
      </c>
      <c r="AG75" s="101">
        <f t="shared" si="29"/>
        <v>0</v>
      </c>
      <c r="AH75" s="101">
        <f t="shared" si="30"/>
        <v>0</v>
      </c>
      <c r="AI75" s="101">
        <f t="shared" si="31"/>
        <v>0</v>
      </c>
      <c r="AJ75" s="101">
        <f>VLOOKUP(MONTH(D75),[0]!rainforuplandcrop,4)/1000*AB75*1600*7</f>
        <v>0</v>
      </c>
    </row>
    <row r="76" spans="2:36" x14ac:dyDescent="0.15">
      <c r="B76" s="106">
        <f t="shared" si="32"/>
        <v>40096</v>
      </c>
      <c r="C76" s="107">
        <f t="shared" si="33"/>
        <v>40102</v>
      </c>
      <c r="D76" s="99">
        <f t="shared" si="16"/>
        <v>40102</v>
      </c>
      <c r="E76" s="91">
        <v>50</v>
      </c>
      <c r="F76" s="407">
        <f>IF(ISERROR(VLOOKUP(E76,Crop!$N$3:$O$70,2,FALSE)),0,VLOOKUP(E76,Crop!$N$3:$O$70,2,FALSE))</f>
        <v>39</v>
      </c>
      <c r="G76" s="100">
        <f>IF(ISERROR(HLOOKUP($D$5,Kc!$B$3:$AI$57,upland_dry!F76+3,FALSE)),0,HLOOKUP($D$5,Kc!$B$3:$AI$57,upland_dry!F76+3,FALSE))</f>
        <v>0.63</v>
      </c>
      <c r="H76" s="112">
        <f t="shared" si="17"/>
        <v>0</v>
      </c>
      <c r="I76" s="113">
        <f t="shared" si="18"/>
        <v>0</v>
      </c>
      <c r="J76" s="113">
        <f t="shared" si="19"/>
        <v>0</v>
      </c>
      <c r="K76" s="113">
        <f t="shared" si="34"/>
        <v>0</v>
      </c>
      <c r="L76" s="113">
        <f t="shared" si="34"/>
        <v>0</v>
      </c>
      <c r="M76" s="113">
        <f t="shared" si="34"/>
        <v>0</v>
      </c>
      <c r="N76" s="113">
        <f t="shared" si="34"/>
        <v>0</v>
      </c>
      <c r="O76" s="113">
        <f t="shared" si="34"/>
        <v>0</v>
      </c>
      <c r="P76" s="113">
        <f t="shared" si="34"/>
        <v>0</v>
      </c>
      <c r="Q76" s="113">
        <f t="shared" si="34"/>
        <v>0</v>
      </c>
      <c r="R76" s="113">
        <f t="shared" si="34"/>
        <v>0</v>
      </c>
      <c r="S76" s="113">
        <f t="shared" si="34"/>
        <v>0</v>
      </c>
      <c r="T76" s="113">
        <f t="shared" si="34"/>
        <v>0</v>
      </c>
      <c r="U76" s="113">
        <f t="shared" si="35"/>
        <v>0</v>
      </c>
      <c r="V76" s="113">
        <f t="shared" si="35"/>
        <v>0</v>
      </c>
      <c r="W76" s="113">
        <f t="shared" si="35"/>
        <v>0</v>
      </c>
      <c r="X76" s="113">
        <f t="shared" si="35"/>
        <v>0</v>
      </c>
      <c r="Y76" s="113">
        <f t="shared" si="35"/>
        <v>0</v>
      </c>
      <c r="Z76" s="113">
        <f t="shared" si="35"/>
        <v>0</v>
      </c>
      <c r="AA76" s="113">
        <f t="shared" si="35"/>
        <v>0</v>
      </c>
      <c r="AB76" s="117">
        <f t="shared" si="15"/>
        <v>0</v>
      </c>
      <c r="AC76" s="405">
        <f t="shared" si="24"/>
        <v>0</v>
      </c>
      <c r="AD76" s="100">
        <f>VLOOKUP($D$7,ETo!$B$4:$P$88,MONTH(D76)+2,FALSE)/4</f>
        <v>29.411745068861798</v>
      </c>
      <c r="AE76" s="100">
        <f t="shared" si="27"/>
        <v>0</v>
      </c>
      <c r="AF76" s="101">
        <f t="shared" si="28"/>
        <v>0</v>
      </c>
      <c r="AG76" s="101">
        <f t="shared" si="29"/>
        <v>0</v>
      </c>
      <c r="AH76" s="101">
        <f t="shared" si="30"/>
        <v>0</v>
      </c>
      <c r="AI76" s="101">
        <f t="shared" si="31"/>
        <v>0</v>
      </c>
      <c r="AJ76" s="101">
        <f>VLOOKUP(MONTH(D76),[0]!rainforuplandcrop,4)/1000*AB76*1600*7</f>
        <v>0</v>
      </c>
    </row>
    <row r="77" spans="2:36" x14ac:dyDescent="0.15">
      <c r="B77" s="106">
        <f t="shared" si="32"/>
        <v>40103</v>
      </c>
      <c r="C77" s="107">
        <f t="shared" si="33"/>
        <v>40109</v>
      </c>
      <c r="D77" s="99">
        <f t="shared" si="16"/>
        <v>40109</v>
      </c>
      <c r="E77" s="91">
        <v>51</v>
      </c>
      <c r="F77" s="407">
        <f>IF(ISERROR(VLOOKUP(E77,Crop!$N$3:$O$70,2,FALSE)),0,VLOOKUP(E77,Crop!$N$3:$O$70,2,FALSE))</f>
        <v>40</v>
      </c>
      <c r="G77" s="100">
        <f>IF(ISERROR(HLOOKUP($D$5,Kc!$B$3:$AI$57,upland_dry!F77+3,FALSE)),0,HLOOKUP($D$5,Kc!$B$3:$AI$57,upland_dry!F77+3,FALSE))</f>
        <v>0.63</v>
      </c>
      <c r="H77" s="112">
        <f t="shared" si="17"/>
        <v>0</v>
      </c>
      <c r="I77" s="113">
        <f t="shared" si="18"/>
        <v>0</v>
      </c>
      <c r="J77" s="113">
        <f t="shared" si="19"/>
        <v>0</v>
      </c>
      <c r="K77" s="113">
        <f t="shared" si="34"/>
        <v>0</v>
      </c>
      <c r="L77" s="113">
        <f t="shared" si="34"/>
        <v>0</v>
      </c>
      <c r="M77" s="113">
        <f t="shared" si="34"/>
        <v>0</v>
      </c>
      <c r="N77" s="113">
        <f t="shared" si="34"/>
        <v>0</v>
      </c>
      <c r="O77" s="113">
        <f t="shared" si="34"/>
        <v>0</v>
      </c>
      <c r="P77" s="113">
        <f t="shared" si="34"/>
        <v>0</v>
      </c>
      <c r="Q77" s="113">
        <f t="shared" si="34"/>
        <v>0</v>
      </c>
      <c r="R77" s="113">
        <f t="shared" si="34"/>
        <v>0</v>
      </c>
      <c r="S77" s="113">
        <f t="shared" si="34"/>
        <v>0</v>
      </c>
      <c r="T77" s="113">
        <f t="shared" si="34"/>
        <v>0</v>
      </c>
      <c r="U77" s="113">
        <f t="shared" si="35"/>
        <v>0</v>
      </c>
      <c r="V77" s="113">
        <f t="shared" si="35"/>
        <v>0</v>
      </c>
      <c r="W77" s="113">
        <f t="shared" si="35"/>
        <v>0</v>
      </c>
      <c r="X77" s="113">
        <f t="shared" si="35"/>
        <v>0</v>
      </c>
      <c r="Y77" s="113">
        <f t="shared" si="35"/>
        <v>0</v>
      </c>
      <c r="Z77" s="113">
        <f t="shared" si="35"/>
        <v>0</v>
      </c>
      <c r="AA77" s="113">
        <f t="shared" si="35"/>
        <v>0</v>
      </c>
      <c r="AB77" s="117">
        <f t="shared" si="15"/>
        <v>0</v>
      </c>
      <c r="AC77" s="405">
        <f t="shared" si="24"/>
        <v>0</v>
      </c>
      <c r="AD77" s="100">
        <f>VLOOKUP($D$7,ETo!$B$4:$P$88,MONTH(D77)+2,FALSE)/4</f>
        <v>29.411745068861798</v>
      </c>
      <c r="AE77" s="100">
        <f t="shared" si="27"/>
        <v>0</v>
      </c>
      <c r="AF77" s="101">
        <f t="shared" si="28"/>
        <v>0</v>
      </c>
      <c r="AG77" s="101">
        <f t="shared" si="29"/>
        <v>0</v>
      </c>
      <c r="AH77" s="101">
        <f t="shared" si="30"/>
        <v>0</v>
      </c>
      <c r="AI77" s="101">
        <f t="shared" si="31"/>
        <v>0</v>
      </c>
      <c r="AJ77" s="101">
        <f>VLOOKUP(MONTH(D77),[0]!rainforuplandcrop,4)/1000*AB77*1600*7</f>
        <v>0</v>
      </c>
    </row>
    <row r="78" spans="2:36" x14ac:dyDescent="0.15">
      <c r="B78" s="108">
        <f t="shared" si="32"/>
        <v>40110</v>
      </c>
      <c r="C78" s="109">
        <f t="shared" si="33"/>
        <v>40116</v>
      </c>
      <c r="D78" s="154">
        <f t="shared" si="16"/>
        <v>40116</v>
      </c>
      <c r="E78" s="92">
        <v>52</v>
      </c>
      <c r="F78" s="408">
        <f>IF(ISERROR(VLOOKUP(E78,Crop!$N$3:$O$70,2,FALSE)),0,VLOOKUP(E78,Crop!$N$3:$O$70,2,FALSE))</f>
        <v>41</v>
      </c>
      <c r="G78" s="102">
        <f>IF(ISERROR(HLOOKUP($D$5,Kc!$B$3:$AI$57,upland_dry!F78+3,FALSE)),0,HLOOKUP($D$5,Kc!$B$3:$AI$57,upland_dry!F78+3,FALSE))</f>
        <v>0.52</v>
      </c>
      <c r="H78" s="114">
        <f t="shared" si="17"/>
        <v>0</v>
      </c>
      <c r="I78" s="115">
        <f t="shared" si="18"/>
        <v>0</v>
      </c>
      <c r="J78" s="115">
        <f t="shared" si="19"/>
        <v>0</v>
      </c>
      <c r="K78" s="115">
        <f t="shared" si="34"/>
        <v>0</v>
      </c>
      <c r="L78" s="115">
        <f t="shared" si="34"/>
        <v>0</v>
      </c>
      <c r="M78" s="115">
        <f t="shared" si="34"/>
        <v>0</v>
      </c>
      <c r="N78" s="115">
        <f t="shared" si="34"/>
        <v>0</v>
      </c>
      <c r="O78" s="115">
        <f t="shared" si="34"/>
        <v>0</v>
      </c>
      <c r="P78" s="115">
        <f t="shared" si="34"/>
        <v>0</v>
      </c>
      <c r="Q78" s="115">
        <f t="shared" si="34"/>
        <v>0</v>
      </c>
      <c r="R78" s="115">
        <f t="shared" si="34"/>
        <v>0</v>
      </c>
      <c r="S78" s="115">
        <f t="shared" si="34"/>
        <v>0</v>
      </c>
      <c r="T78" s="115">
        <f t="shared" si="34"/>
        <v>0</v>
      </c>
      <c r="U78" s="115">
        <f t="shared" si="35"/>
        <v>0</v>
      </c>
      <c r="V78" s="115">
        <f t="shared" si="35"/>
        <v>0</v>
      </c>
      <c r="W78" s="115">
        <f t="shared" si="35"/>
        <v>0</v>
      </c>
      <c r="X78" s="115">
        <f t="shared" si="35"/>
        <v>0</v>
      </c>
      <c r="Y78" s="115">
        <f t="shared" si="35"/>
        <v>0</v>
      </c>
      <c r="Z78" s="115">
        <f t="shared" si="35"/>
        <v>0</v>
      </c>
      <c r="AA78" s="115">
        <f t="shared" si="35"/>
        <v>0</v>
      </c>
      <c r="AB78" s="118">
        <f t="shared" si="15"/>
        <v>0</v>
      </c>
      <c r="AC78" s="406">
        <f t="shared" si="24"/>
        <v>0</v>
      </c>
      <c r="AD78" s="102">
        <f>VLOOKUP($D$7,ETo!$B$4:$P$88,MONTH(D78)+2,FALSE)/4</f>
        <v>29.411745068861798</v>
      </c>
      <c r="AE78" s="102">
        <f t="shared" si="27"/>
        <v>0</v>
      </c>
      <c r="AF78" s="103">
        <f t="shared" si="28"/>
        <v>0</v>
      </c>
      <c r="AG78" s="103">
        <f t="shared" si="29"/>
        <v>0</v>
      </c>
      <c r="AH78" s="103">
        <f t="shared" si="30"/>
        <v>0</v>
      </c>
      <c r="AI78" s="103">
        <f t="shared" si="31"/>
        <v>0</v>
      </c>
      <c r="AJ78" s="103">
        <f>VLOOKUP(MONTH(D78),[0]!rainforuplandcrop,4)/1000*AB78*1600*7</f>
        <v>0</v>
      </c>
    </row>
    <row r="79" spans="2:36" x14ac:dyDescent="0.15">
      <c r="AI79" s="49">
        <f>SUM(AI27:AI78)</f>
        <v>0</v>
      </c>
      <c r="AJ79" s="49">
        <f>SUM(AJ27:AJ78)</f>
        <v>0</v>
      </c>
    </row>
    <row r="80" spans="2:36" x14ac:dyDescent="0.15">
      <c r="AI80" s="50"/>
    </row>
  </sheetData>
  <sheetProtection password="DD72" sheet="1" objects="1" scenarios="1"/>
  <mergeCells count="3">
    <mergeCell ref="D7:E7"/>
    <mergeCell ref="D4:E4"/>
    <mergeCell ref="D5:E5"/>
  </mergeCells>
  <phoneticPr fontId="2" type="noConversion"/>
  <conditionalFormatting sqref="F27:AJ78">
    <cfRule type="cellIs" dxfId="4" priority="1" stopIfTrue="1" operator="equal">
      <formula>0</formula>
    </cfRule>
  </conditionalFormatting>
  <dataValidations count="3">
    <dataValidation type="list" allowBlank="1" showInputMessage="1" showErrorMessage="1" sqref="E6" xr:uid="{3C4655BB-089A-C843-80EE-D63229566537}">
      <formula1>Week</formula1>
    </dataValidation>
    <dataValidation type="list" allowBlank="1" showInputMessage="1" showErrorMessage="1" sqref="D5" xr:uid="{69E9BB42-D2A7-8D4F-B8CF-E204AE4B05F7}">
      <formula1>croptype</formula1>
    </dataValidation>
    <dataValidation type="list" allowBlank="1" showInputMessage="1" showErrorMessage="1" sqref="E9" xr:uid="{1832A257-2D91-174B-B212-D22651A59B3C}">
      <formula1>"1,2,3,4,5,6,7,8,9,10"</formula1>
    </dataValidation>
  </dataValidations>
  <printOptions horizontalCentered="1"/>
  <pageMargins left="0.51181102362204722" right="0.51181102362204722" top="0.31496062992125984" bottom="0.35433070866141736" header="0.19685039370078741" footer="0.15748031496062992"/>
  <pageSetup paperSize="9" scale="64" fitToHeight="2" orientation="landscape"/>
  <headerFooter alignWithMargins="0">
    <oddFooter>&amp;L&amp;Z&amp;F&amp;A&amp;C&amp;P/&amp;N&amp;R&amp;D</oddFooter>
  </headerFooter>
  <cellWatches>
    <cellWatch r="D5"/>
  </cellWatches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BF48-2DCD-374C-B248-2B4DA0FF8D0E}">
  <sheetPr codeName="Sheet10">
    <tabColor indexed="57"/>
  </sheetPr>
  <dimension ref="B1:AJ80"/>
  <sheetViews>
    <sheetView showGridLines="0" topLeftCell="A3" workbookViewId="0">
      <selection activeCell="G44" sqref="G44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7.83203125" customWidth="1"/>
    <col min="31" max="31" width="9.5" customWidth="1"/>
    <col min="32" max="32" width="10.5" customWidth="1"/>
    <col min="33" max="33" width="8.83203125" customWidth="1"/>
    <col min="34" max="34" width="10.5" customWidth="1"/>
    <col min="35" max="35" width="13.1640625" bestFit="1" customWidth="1"/>
    <col min="36" max="36" width="10.1640625" customWidth="1"/>
    <col min="37" max="256" width="8.83203125" customWidth="1"/>
  </cols>
  <sheetData>
    <row r="1" spans="2:27" ht="17" thickBot="1" x14ac:dyDescent="0.25">
      <c r="B1" s="51" t="s">
        <v>175</v>
      </c>
    </row>
    <row r="2" spans="2:27" ht="17" thickBot="1" x14ac:dyDescent="0.25">
      <c r="B2" s="51"/>
      <c r="F2" s="403" t="s">
        <v>2</v>
      </c>
      <c r="G2" s="404" t="s">
        <v>371</v>
      </c>
    </row>
    <row r="3" spans="2:27" ht="14" thickBot="1" x14ac:dyDescent="0.2">
      <c r="F3" s="401">
        <v>1</v>
      </c>
      <c r="G3" s="402">
        <f>+fill_data!F31</f>
        <v>5</v>
      </c>
      <c r="H3" s="46"/>
      <c r="S3" s="410">
        <f>+E6</f>
        <v>36</v>
      </c>
      <c r="T3" s="411">
        <v>1</v>
      </c>
    </row>
    <row r="4" spans="2:27" x14ac:dyDescent="0.15">
      <c r="B4" s="127" t="s">
        <v>108</v>
      </c>
      <c r="C4" s="128"/>
      <c r="D4" s="827" t="str">
        <f>+fill_data!C4</f>
        <v>นครราชสีมา</v>
      </c>
      <c r="E4" s="828"/>
      <c r="F4" s="95">
        <f t="shared" ref="F4:F12" si="0">IF(F3="","",IF(F3+1&lt;=$E$9,F3+1,""))</f>
        <v>2</v>
      </c>
      <c r="G4" s="124">
        <f>+fill_data!F32</f>
        <v>62</v>
      </c>
      <c r="H4" s="46"/>
      <c r="S4" s="410">
        <f>IF(+S3+1&gt;52,+S3+1-52,S3+1)</f>
        <v>37</v>
      </c>
      <c r="T4" s="411">
        <v>2</v>
      </c>
    </row>
    <row r="5" spans="2:27" x14ac:dyDescent="0.15">
      <c r="B5" s="129" t="s">
        <v>146</v>
      </c>
      <c r="D5" s="825" t="str">
        <f>+fill_data!C32</f>
        <v>อ้อย</v>
      </c>
      <c r="E5" s="826"/>
      <c r="F5" s="95" t="str">
        <f t="shared" si="0"/>
        <v/>
      </c>
      <c r="G5" s="124">
        <f>+fill_data!F33</f>
        <v>0</v>
      </c>
      <c r="H5" s="46"/>
      <c r="S5" s="410">
        <f t="shared" ref="S5:S22" si="1">IF(+S4+1&gt;52,+S4+1-52,S4+1)</f>
        <v>38</v>
      </c>
      <c r="T5" s="411">
        <v>3</v>
      </c>
    </row>
    <row r="6" spans="2:27" x14ac:dyDescent="0.15">
      <c r="B6" s="130" t="s">
        <v>147</v>
      </c>
      <c r="D6" s="46">
        <f>VLOOKUP(D5,Crop!$B$3:$C$35,2,FALSE)</f>
        <v>44</v>
      </c>
      <c r="E6" s="131">
        <f>+fill_data!D33</f>
        <v>36</v>
      </c>
      <c r="F6" s="95" t="str">
        <f t="shared" si="0"/>
        <v/>
      </c>
      <c r="G6" s="124">
        <f>+fill_data!F34</f>
        <v>0</v>
      </c>
      <c r="H6" s="46"/>
      <c r="S6" s="410">
        <f t="shared" si="1"/>
        <v>39</v>
      </c>
      <c r="T6" s="411">
        <v>4</v>
      </c>
    </row>
    <row r="7" spans="2:27" x14ac:dyDescent="0.15">
      <c r="B7" s="132" t="s">
        <v>377</v>
      </c>
      <c r="D7" s="635" t="str">
        <f>+fill_data!C5</f>
        <v>นครราชสีมา</v>
      </c>
      <c r="E7" s="636"/>
      <c r="F7" s="95" t="str">
        <f t="shared" si="0"/>
        <v/>
      </c>
      <c r="G7" s="124">
        <f>+fill_data!F35</f>
        <v>0</v>
      </c>
      <c r="H7" s="46"/>
      <c r="S7" s="410">
        <f t="shared" si="1"/>
        <v>40</v>
      </c>
      <c r="T7" s="411">
        <v>5</v>
      </c>
    </row>
    <row r="8" spans="2:27" x14ac:dyDescent="0.15">
      <c r="B8" s="133" t="s">
        <v>373</v>
      </c>
      <c r="C8" s="93"/>
      <c r="D8" s="47"/>
      <c r="E8" s="418">
        <f>+fill_data!D34</f>
        <v>67</v>
      </c>
      <c r="F8" s="95" t="str">
        <f t="shared" si="0"/>
        <v/>
      </c>
      <c r="G8" s="124">
        <f>+fill_data!F36</f>
        <v>0</v>
      </c>
      <c r="H8" s="46"/>
      <c r="S8" s="410">
        <f t="shared" si="1"/>
        <v>41</v>
      </c>
      <c r="T8" s="411">
        <v>6</v>
      </c>
    </row>
    <row r="9" spans="2:27" x14ac:dyDescent="0.15">
      <c r="B9" s="133" t="s">
        <v>376</v>
      </c>
      <c r="D9" s="94"/>
      <c r="E9" s="140">
        <f>+fill_data!D35</f>
        <v>2</v>
      </c>
      <c r="F9" s="95" t="str">
        <f t="shared" si="0"/>
        <v/>
      </c>
      <c r="G9" s="124">
        <f>+fill_data!F37</f>
        <v>0</v>
      </c>
      <c r="H9" s="46"/>
      <c r="S9" s="410">
        <f t="shared" si="1"/>
        <v>42</v>
      </c>
      <c r="T9" s="411">
        <v>7</v>
      </c>
    </row>
    <row r="10" spans="2:27" x14ac:dyDescent="0.15">
      <c r="B10" s="132" t="s">
        <v>374</v>
      </c>
      <c r="D10" s="94"/>
      <c r="E10" s="135">
        <f>+fill_data!D6</f>
        <v>14</v>
      </c>
      <c r="F10" s="95" t="str">
        <f t="shared" si="0"/>
        <v/>
      </c>
      <c r="G10" s="124">
        <f>+fill_data!F38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43</v>
      </c>
      <c r="T10" s="412">
        <v>8</v>
      </c>
      <c r="U10" s="43"/>
      <c r="V10" s="43"/>
      <c r="W10" s="43"/>
      <c r="X10" s="43"/>
      <c r="Y10" s="43"/>
      <c r="Z10" s="43"/>
      <c r="AA10" s="43"/>
    </row>
    <row r="11" spans="2:27" ht="14" thickBot="1" x14ac:dyDescent="0.2">
      <c r="B11" s="136" t="s">
        <v>375</v>
      </c>
      <c r="C11" s="137"/>
      <c r="D11" s="138"/>
      <c r="E11" s="139">
        <f>+fill_data!D36</f>
        <v>0</v>
      </c>
      <c r="F11" s="95" t="str">
        <f t="shared" si="0"/>
        <v/>
      </c>
      <c r="G11" s="124">
        <f>+fill_data!F39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44</v>
      </c>
      <c r="T11" s="411">
        <v>9</v>
      </c>
      <c r="U11" s="48"/>
      <c r="V11" s="48"/>
      <c r="W11" s="48"/>
      <c r="X11" s="48"/>
      <c r="Y11" s="48"/>
      <c r="Z11" s="48"/>
      <c r="AA11" s="48"/>
    </row>
    <row r="12" spans="2:27" x14ac:dyDescent="0.15">
      <c r="B12" s="44"/>
      <c r="C12" s="44"/>
      <c r="D12" s="44"/>
      <c r="E12" s="45"/>
      <c r="F12" s="372" t="str">
        <f t="shared" si="0"/>
        <v/>
      </c>
      <c r="G12" s="124">
        <f>+fill_data!F40</f>
        <v>0</v>
      </c>
      <c r="H12" s="46"/>
      <c r="S12" s="410">
        <f t="shared" si="1"/>
        <v>45</v>
      </c>
      <c r="T12" s="411">
        <v>10</v>
      </c>
    </row>
    <row r="13" spans="2:27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+fill_data!F41</f>
        <v>0</v>
      </c>
      <c r="H13" s="46"/>
      <c r="S13" s="410">
        <f t="shared" si="1"/>
        <v>46</v>
      </c>
      <c r="T13" s="411">
        <v>11</v>
      </c>
    </row>
    <row r="14" spans="2:27" hidden="1" x14ac:dyDescent="0.15">
      <c r="B14" s="44"/>
      <c r="C14" s="44"/>
      <c r="D14" s="44"/>
      <c r="E14" s="45"/>
      <c r="F14" s="372" t="str">
        <f t="shared" si="2"/>
        <v/>
      </c>
      <c r="G14" s="124">
        <f>+fill_data!F42</f>
        <v>0</v>
      </c>
      <c r="H14" s="46"/>
      <c r="S14" s="410">
        <f t="shared" si="1"/>
        <v>47</v>
      </c>
      <c r="T14" s="411">
        <v>12</v>
      </c>
    </row>
    <row r="15" spans="2:27" hidden="1" x14ac:dyDescent="0.15">
      <c r="B15" s="44"/>
      <c r="C15" s="44"/>
      <c r="D15" s="44"/>
      <c r="E15" s="45"/>
      <c r="F15" s="372" t="str">
        <f t="shared" si="2"/>
        <v/>
      </c>
      <c r="G15" s="124">
        <f>+fill_data!F43</f>
        <v>0</v>
      </c>
      <c r="H15" s="46"/>
      <c r="S15" s="410">
        <f t="shared" si="1"/>
        <v>48</v>
      </c>
      <c r="T15" s="411">
        <v>13</v>
      </c>
    </row>
    <row r="16" spans="2:27" hidden="1" x14ac:dyDescent="0.15">
      <c r="B16" s="44"/>
      <c r="C16" s="44"/>
      <c r="D16" s="44"/>
      <c r="E16" s="45"/>
      <c r="F16" s="372" t="str">
        <f t="shared" si="2"/>
        <v/>
      </c>
      <c r="G16" s="124">
        <f>+fill_data!F44</f>
        <v>0</v>
      </c>
      <c r="H16" s="46"/>
      <c r="S16" s="410">
        <f t="shared" si="1"/>
        <v>49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+fill_data!F45</f>
        <v>0</v>
      </c>
      <c r="H17" s="46"/>
      <c r="S17" s="410">
        <f t="shared" si="1"/>
        <v>50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+fill_data!F46</f>
        <v>0</v>
      </c>
      <c r="H18" s="46"/>
      <c r="S18" s="410">
        <f t="shared" si="1"/>
        <v>51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+fill_data!F47</f>
        <v>0</v>
      </c>
      <c r="H19" s="46"/>
      <c r="S19" s="410">
        <f t="shared" si="1"/>
        <v>52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+fill_data!F48</f>
        <v>0</v>
      </c>
      <c r="H20" s="46"/>
      <c r="S20" s="410">
        <f t="shared" si="1"/>
        <v>1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+fill_data!F49</f>
        <v>0</v>
      </c>
      <c r="H21" s="46"/>
      <c r="S21" s="410">
        <f t="shared" si="1"/>
        <v>2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+fill_data!F50</f>
        <v>0</v>
      </c>
      <c r="H22" s="46"/>
      <c r="S22" s="410">
        <f t="shared" si="1"/>
        <v>3</v>
      </c>
      <c r="T22" s="411">
        <v>20</v>
      </c>
    </row>
    <row r="23" spans="2:36" x14ac:dyDescent="0.15">
      <c r="B23" s="44"/>
      <c r="C23" s="44"/>
      <c r="D23" s="44"/>
      <c r="E23" s="45"/>
      <c r="H23" s="46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f>B27+6</f>
        <v>39759</v>
      </c>
      <c r="D27" s="99">
        <f t="shared" ref="D27:D58" si="3">+C27</f>
        <v>39759</v>
      </c>
      <c r="E27" s="90">
        <v>1</v>
      </c>
      <c r="F27" s="176">
        <f>IF(ISERROR(VLOOKUP(E27,Crop!$AC$3:$AD$70,2,FALSE)),0,VLOOKUP(E27,Crop!$AC$3:$AD$70,2,FALSE))</f>
        <v>18</v>
      </c>
      <c r="G27" s="97">
        <f>IF(ISERROR(HLOOKUP($D$5,Kc!$B$3:$AI$57,upland_rain!F27+3,FALSE)),0,HLOOKUP($D$5,Kc!$B$3:$AI$57,upland_rain!F27+3,FALSE))</f>
        <v>1.35</v>
      </c>
      <c r="H27" s="110">
        <f t="shared" ref="H27:H35" si="4">IF(G27&gt;0,IF(H$26&gt;$E$9,0,VLOOKUP(H$26,$F$3:$G$23,2,FALSE)),0)</f>
        <v>5</v>
      </c>
      <c r="I27" s="111">
        <f t="shared" ref="I27:R27" si="5">IF(H78&gt;0,IF(I$26&gt;$E$9,0,VLOOKUP(I$26,$F$3:$G$23,2,FALSE)),0)</f>
        <v>62</v>
      </c>
      <c r="J27" s="111">
        <f t="shared" si="5"/>
        <v>0</v>
      </c>
      <c r="K27" s="111">
        <f t="shared" si="5"/>
        <v>0</v>
      </c>
      <c r="L27" s="111">
        <f t="shared" si="5"/>
        <v>0</v>
      </c>
      <c r="M27" s="111">
        <f t="shared" si="5"/>
        <v>0</v>
      </c>
      <c r="N27" s="111">
        <f t="shared" si="5"/>
        <v>0</v>
      </c>
      <c r="O27" s="111">
        <f t="shared" si="5"/>
        <v>0</v>
      </c>
      <c r="P27" s="111">
        <f t="shared" si="5"/>
        <v>0</v>
      </c>
      <c r="Q27" s="111">
        <f t="shared" si="5"/>
        <v>0</v>
      </c>
      <c r="R27" s="111">
        <f t="shared" si="5"/>
        <v>0</v>
      </c>
      <c r="S27" s="111">
        <f t="shared" ref="S27:AA27" si="6">IF(R78&gt;0,IF(S$26&gt;$E$9,0,VLOOKUP(S$26,$F$3:$G$23,2,FALSE)),0)</f>
        <v>0</v>
      </c>
      <c r="T27" s="111">
        <f t="shared" si="6"/>
        <v>0</v>
      </c>
      <c r="U27" s="111">
        <f t="shared" si="6"/>
        <v>0</v>
      </c>
      <c r="V27" s="111">
        <f t="shared" si="6"/>
        <v>0</v>
      </c>
      <c r="W27" s="111">
        <f t="shared" si="6"/>
        <v>0</v>
      </c>
      <c r="X27" s="111">
        <f t="shared" si="6"/>
        <v>0</v>
      </c>
      <c r="Y27" s="111">
        <f t="shared" si="6"/>
        <v>0</v>
      </c>
      <c r="Z27" s="111">
        <f t="shared" si="6"/>
        <v>0</v>
      </c>
      <c r="AA27" s="111">
        <f t="shared" si="6"/>
        <v>0</v>
      </c>
      <c r="AB27" s="116">
        <f>SUM(H27:AA27)</f>
        <v>67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1.35</v>
      </c>
      <c r="AD27" s="97">
        <f>VLOOKUP($D$7,ETo!$B$4:$P$88,MONTH(D27)+2,FALSE)/4</f>
        <v>26.334910938750578</v>
      </c>
      <c r="AE27" s="97">
        <f t="shared" ref="AE27:AE58" si="7">IF(AC27*AD27=0,0,(AC27*AD27)+$E$10)</f>
        <v>49.552129767313282</v>
      </c>
      <c r="AF27" s="98">
        <f t="shared" ref="AF27:AF58" si="8">AE27*AB27*1.6</f>
        <v>5311.988311055984</v>
      </c>
      <c r="AG27" s="98">
        <f t="shared" ref="AG27:AG58" si="9">IF(ISERROR(INDEX(H27:L27,1,F27)),0,INDEX(H27:L27,1,F27))</f>
        <v>0</v>
      </c>
      <c r="AH27" s="98">
        <f t="shared" ref="AH27:AH58" si="10">AG27*$E$11*1.6</f>
        <v>0</v>
      </c>
      <c r="AI27" s="98">
        <f t="shared" ref="AI27:AI58" si="11">AF27+AH27</f>
        <v>5311.988311055984</v>
      </c>
      <c r="AJ27" s="98">
        <f>VLOOKUP(MONTH(D27),[0]!rainforuplandcrop,4)/1000*AB27*1600*7</f>
        <v>535.50644567219138</v>
      </c>
    </row>
    <row r="28" spans="2:36" x14ac:dyDescent="0.15">
      <c r="B28" s="106">
        <f t="shared" ref="B28:B59" si="12">C27+1</f>
        <v>39760</v>
      </c>
      <c r="C28" s="107">
        <f t="shared" ref="C28:C59" si="13">B28+6</f>
        <v>39766</v>
      </c>
      <c r="D28" s="99">
        <f t="shared" si="3"/>
        <v>39766</v>
      </c>
      <c r="E28" s="91">
        <v>2</v>
      </c>
      <c r="F28" s="407">
        <f>IF(ISERROR(VLOOKUP(E28,Crop!$AC$3:$AD$70,2,FALSE)),0,VLOOKUP(E28,Crop!$AC$3:$AD$70,2,FALSE))</f>
        <v>19</v>
      </c>
      <c r="G28" s="100">
        <f>IF(ISERROR(HLOOKUP($D$5,Kc!$B$3:$AI$57,upland_rain!F28+3,FALSE)),0,HLOOKUP($D$5,Kc!$B$3:$AI$57,upland_rain!F28+3,FALSE))</f>
        <v>1.56</v>
      </c>
      <c r="H28" s="112">
        <f t="shared" si="4"/>
        <v>5</v>
      </c>
      <c r="I28" s="113">
        <f t="shared" ref="I28:R36" si="14">IF(H27&gt;0,IF(I$26&gt;$E$9,0,VLOOKUP(I$26,$F$3:$G$23,2,FALSE)),0)</f>
        <v>62</v>
      </c>
      <c r="J28" s="113">
        <f t="shared" si="14"/>
        <v>0</v>
      </c>
      <c r="K28" s="113">
        <f t="shared" si="14"/>
        <v>0</v>
      </c>
      <c r="L28" s="113">
        <f t="shared" si="14"/>
        <v>0</v>
      </c>
      <c r="M28" s="113">
        <f t="shared" si="14"/>
        <v>0</v>
      </c>
      <c r="N28" s="113">
        <f t="shared" si="14"/>
        <v>0</v>
      </c>
      <c r="O28" s="113">
        <f t="shared" si="14"/>
        <v>0</v>
      </c>
      <c r="P28" s="113">
        <f t="shared" si="14"/>
        <v>0</v>
      </c>
      <c r="Q28" s="113">
        <f t="shared" si="14"/>
        <v>0</v>
      </c>
      <c r="R28" s="113">
        <f t="shared" si="14"/>
        <v>0</v>
      </c>
      <c r="S28" s="113">
        <f t="shared" ref="S28:AA36" si="15">IF(R27&gt;0,IF(S$26&gt;$E$9,0,VLOOKUP(S$26,$F$3:$G$23,2,FALSE)),0)</f>
        <v>0</v>
      </c>
      <c r="T28" s="113">
        <f t="shared" si="15"/>
        <v>0</v>
      </c>
      <c r="U28" s="113">
        <f t="shared" si="15"/>
        <v>0</v>
      </c>
      <c r="V28" s="113">
        <f t="shared" si="15"/>
        <v>0</v>
      </c>
      <c r="W28" s="113">
        <f t="shared" si="15"/>
        <v>0</v>
      </c>
      <c r="X28" s="113">
        <f t="shared" si="15"/>
        <v>0</v>
      </c>
      <c r="Y28" s="113">
        <f t="shared" si="15"/>
        <v>0</v>
      </c>
      <c r="Z28" s="113">
        <f t="shared" si="15"/>
        <v>0</v>
      </c>
      <c r="AA28" s="113">
        <f t="shared" si="15"/>
        <v>0</v>
      </c>
      <c r="AB28" s="117">
        <f t="shared" ref="AB28:AB78" si="16">SUM(H28:AA28)</f>
        <v>67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1.3656716417910448</v>
      </c>
      <c r="AD28" s="100">
        <f>VLOOKUP($D$7,ETo!$B$4:$P$88,MONTH(D28)+2,FALSE)/4</f>
        <v>26.334910938750578</v>
      </c>
      <c r="AE28" s="100">
        <f t="shared" si="7"/>
        <v>49.964841058144451</v>
      </c>
      <c r="AF28" s="101">
        <f t="shared" si="8"/>
        <v>5356.2309614330852</v>
      </c>
      <c r="AG28" s="101">
        <f t="shared" si="9"/>
        <v>0</v>
      </c>
      <c r="AH28" s="101">
        <f t="shared" si="10"/>
        <v>0</v>
      </c>
      <c r="AI28" s="101">
        <f t="shared" si="11"/>
        <v>5356.2309614330852</v>
      </c>
      <c r="AJ28" s="101">
        <f>VLOOKUP(MONTH(D28),[0]!rainforuplandcrop,4)/1000*AB28*1600*7</f>
        <v>535.50644567219138</v>
      </c>
    </row>
    <row r="29" spans="2:36" x14ac:dyDescent="0.15">
      <c r="B29" s="106">
        <f t="shared" si="12"/>
        <v>39767</v>
      </c>
      <c r="C29" s="107">
        <f t="shared" si="13"/>
        <v>39773</v>
      </c>
      <c r="D29" s="99">
        <f t="shared" si="3"/>
        <v>39773</v>
      </c>
      <c r="E29" s="91">
        <v>3</v>
      </c>
      <c r="F29" s="407">
        <f>IF(ISERROR(VLOOKUP(E29,Crop!$AC$3:$AD$70,2,FALSE)),0,VLOOKUP(E29,Crop!$AC$3:$AD$70,2,FALSE))</f>
        <v>20</v>
      </c>
      <c r="G29" s="100">
        <f>IF(ISERROR(HLOOKUP($D$5,Kc!$B$3:$AI$57,upland_rain!F29+3,FALSE)),0,HLOOKUP($D$5,Kc!$B$3:$AI$57,upland_rain!F29+3,FALSE))</f>
        <v>1.56</v>
      </c>
      <c r="H29" s="112">
        <f t="shared" si="4"/>
        <v>5</v>
      </c>
      <c r="I29" s="113">
        <f t="shared" si="14"/>
        <v>62</v>
      </c>
      <c r="J29" s="113">
        <f t="shared" si="14"/>
        <v>0</v>
      </c>
      <c r="K29" s="113">
        <f t="shared" si="14"/>
        <v>0</v>
      </c>
      <c r="L29" s="113">
        <f t="shared" si="14"/>
        <v>0</v>
      </c>
      <c r="M29" s="113">
        <f t="shared" si="14"/>
        <v>0</v>
      </c>
      <c r="N29" s="113">
        <f t="shared" si="14"/>
        <v>0</v>
      </c>
      <c r="O29" s="113">
        <f t="shared" si="14"/>
        <v>0</v>
      </c>
      <c r="P29" s="113">
        <f t="shared" si="14"/>
        <v>0</v>
      </c>
      <c r="Q29" s="113">
        <f t="shared" si="14"/>
        <v>0</v>
      </c>
      <c r="R29" s="113">
        <f t="shared" si="14"/>
        <v>0</v>
      </c>
      <c r="S29" s="113">
        <f t="shared" si="15"/>
        <v>0</v>
      </c>
      <c r="T29" s="113">
        <f t="shared" si="15"/>
        <v>0</v>
      </c>
      <c r="U29" s="113">
        <f t="shared" si="15"/>
        <v>0</v>
      </c>
      <c r="V29" s="113">
        <f t="shared" si="15"/>
        <v>0</v>
      </c>
      <c r="W29" s="113">
        <f t="shared" si="15"/>
        <v>0</v>
      </c>
      <c r="X29" s="113">
        <f t="shared" si="15"/>
        <v>0</v>
      </c>
      <c r="Y29" s="113">
        <f t="shared" si="15"/>
        <v>0</v>
      </c>
      <c r="Z29" s="113">
        <f t="shared" si="15"/>
        <v>0</v>
      </c>
      <c r="AA29" s="113">
        <f t="shared" si="15"/>
        <v>0</v>
      </c>
      <c r="AB29" s="117">
        <f t="shared" si="16"/>
        <v>67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1.5599999999999998</v>
      </c>
      <c r="AD29" s="100">
        <f>VLOOKUP($D$7,ETo!$B$4:$P$88,MONTH(D29)+2,FALSE)/4</f>
        <v>26.334910938750578</v>
      </c>
      <c r="AE29" s="100">
        <f t="shared" si="7"/>
        <v>55.082461064450897</v>
      </c>
      <c r="AF29" s="101">
        <f t="shared" si="8"/>
        <v>5904.8398261091361</v>
      </c>
      <c r="AG29" s="101">
        <f t="shared" si="9"/>
        <v>0</v>
      </c>
      <c r="AH29" s="101">
        <f t="shared" si="10"/>
        <v>0</v>
      </c>
      <c r="AI29" s="101">
        <f t="shared" si="11"/>
        <v>5904.8398261091361</v>
      </c>
      <c r="AJ29" s="101">
        <f>VLOOKUP(MONTH(D29),[0]!rainforuplandcrop,4)/1000*AB29*1600*7</f>
        <v>535.50644567219138</v>
      </c>
    </row>
    <row r="30" spans="2:36" x14ac:dyDescent="0.15">
      <c r="B30" s="106">
        <f t="shared" si="12"/>
        <v>39774</v>
      </c>
      <c r="C30" s="107">
        <f t="shared" si="13"/>
        <v>39780</v>
      </c>
      <c r="D30" s="99">
        <f t="shared" si="3"/>
        <v>39780</v>
      </c>
      <c r="E30" s="91">
        <v>4</v>
      </c>
      <c r="F30" s="407">
        <f>IF(ISERROR(VLOOKUP(E30,Crop!$AC$3:$AD$70,2,FALSE)),0,VLOOKUP(E30,Crop!$AC$3:$AD$70,2,FALSE))</f>
        <v>21</v>
      </c>
      <c r="G30" s="100">
        <f>IF(ISERROR(HLOOKUP($D$5,Kc!$B$3:$AI$57,upland_rain!F30+3,FALSE)),0,HLOOKUP($D$5,Kc!$B$3:$AI$57,upland_rain!F30+3,FALSE))</f>
        <v>1.56</v>
      </c>
      <c r="H30" s="112">
        <f t="shared" si="4"/>
        <v>5</v>
      </c>
      <c r="I30" s="113">
        <f t="shared" si="14"/>
        <v>62</v>
      </c>
      <c r="J30" s="113">
        <f t="shared" si="14"/>
        <v>0</v>
      </c>
      <c r="K30" s="113">
        <f t="shared" si="14"/>
        <v>0</v>
      </c>
      <c r="L30" s="113">
        <f t="shared" si="14"/>
        <v>0</v>
      </c>
      <c r="M30" s="113">
        <f t="shared" si="14"/>
        <v>0</v>
      </c>
      <c r="N30" s="113">
        <f t="shared" si="14"/>
        <v>0</v>
      </c>
      <c r="O30" s="113">
        <f t="shared" si="14"/>
        <v>0</v>
      </c>
      <c r="P30" s="113">
        <f t="shared" si="14"/>
        <v>0</v>
      </c>
      <c r="Q30" s="113">
        <f t="shared" si="14"/>
        <v>0</v>
      </c>
      <c r="R30" s="113">
        <f t="shared" si="14"/>
        <v>0</v>
      </c>
      <c r="S30" s="113">
        <f t="shared" si="15"/>
        <v>0</v>
      </c>
      <c r="T30" s="113">
        <f t="shared" si="15"/>
        <v>0</v>
      </c>
      <c r="U30" s="113">
        <f t="shared" si="15"/>
        <v>0</v>
      </c>
      <c r="V30" s="113">
        <f t="shared" si="15"/>
        <v>0</v>
      </c>
      <c r="W30" s="113">
        <f t="shared" si="15"/>
        <v>0</v>
      </c>
      <c r="X30" s="113">
        <f t="shared" si="15"/>
        <v>0</v>
      </c>
      <c r="Y30" s="113">
        <f t="shared" si="15"/>
        <v>0</v>
      </c>
      <c r="Z30" s="113">
        <f t="shared" si="15"/>
        <v>0</v>
      </c>
      <c r="AA30" s="113">
        <f t="shared" si="15"/>
        <v>0</v>
      </c>
      <c r="AB30" s="117">
        <f t="shared" si="16"/>
        <v>67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1.5599999999999998</v>
      </c>
      <c r="AD30" s="100">
        <f>VLOOKUP($D$7,ETo!$B$4:$P$88,MONTH(D30)+2,FALSE)/4</f>
        <v>26.334910938750578</v>
      </c>
      <c r="AE30" s="100">
        <f t="shared" si="7"/>
        <v>55.082461064450897</v>
      </c>
      <c r="AF30" s="101">
        <f t="shared" si="8"/>
        <v>5904.8398261091361</v>
      </c>
      <c r="AG30" s="101">
        <f t="shared" si="9"/>
        <v>0</v>
      </c>
      <c r="AH30" s="101">
        <f t="shared" si="10"/>
        <v>0</v>
      </c>
      <c r="AI30" s="101">
        <f t="shared" si="11"/>
        <v>5904.8398261091361</v>
      </c>
      <c r="AJ30" s="101">
        <f>VLOOKUP(MONTH(D30),[0]!rainforuplandcrop,4)/1000*AB30*1600*7</f>
        <v>535.50644567219138</v>
      </c>
    </row>
    <row r="31" spans="2:36" x14ac:dyDescent="0.15">
      <c r="B31" s="106">
        <f t="shared" si="12"/>
        <v>39781</v>
      </c>
      <c r="C31" s="107">
        <f t="shared" si="13"/>
        <v>39787</v>
      </c>
      <c r="D31" s="99">
        <f t="shared" si="3"/>
        <v>39787</v>
      </c>
      <c r="E31" s="91">
        <v>5</v>
      </c>
      <c r="F31" s="407">
        <f>IF(ISERROR(VLOOKUP(E31,Crop!$AC$3:$AD$70,2,FALSE)),0,VLOOKUP(E31,Crop!$AC$3:$AD$70,2,FALSE))</f>
        <v>22</v>
      </c>
      <c r="G31" s="100">
        <f>IF(ISERROR(HLOOKUP($D$5,Kc!$B$3:$AI$57,upland_rain!F31+3,FALSE)),0,HLOOKUP($D$5,Kc!$B$3:$AI$57,upland_rain!F31+3,FALSE))</f>
        <v>1.56</v>
      </c>
      <c r="H31" s="112">
        <f t="shared" si="4"/>
        <v>5</v>
      </c>
      <c r="I31" s="113">
        <f t="shared" si="14"/>
        <v>62</v>
      </c>
      <c r="J31" s="113">
        <f t="shared" si="14"/>
        <v>0</v>
      </c>
      <c r="K31" s="113">
        <f t="shared" si="14"/>
        <v>0</v>
      </c>
      <c r="L31" s="113">
        <f t="shared" si="14"/>
        <v>0</v>
      </c>
      <c r="M31" s="113">
        <f t="shared" si="14"/>
        <v>0</v>
      </c>
      <c r="N31" s="113">
        <f t="shared" si="14"/>
        <v>0</v>
      </c>
      <c r="O31" s="113">
        <f t="shared" si="14"/>
        <v>0</v>
      </c>
      <c r="P31" s="113">
        <f t="shared" si="14"/>
        <v>0</v>
      </c>
      <c r="Q31" s="113">
        <f t="shared" si="14"/>
        <v>0</v>
      </c>
      <c r="R31" s="113">
        <f t="shared" si="14"/>
        <v>0</v>
      </c>
      <c r="S31" s="113">
        <f t="shared" si="15"/>
        <v>0</v>
      </c>
      <c r="T31" s="113">
        <f t="shared" si="15"/>
        <v>0</v>
      </c>
      <c r="U31" s="113">
        <f t="shared" si="15"/>
        <v>0</v>
      </c>
      <c r="V31" s="113">
        <f t="shared" si="15"/>
        <v>0</v>
      </c>
      <c r="W31" s="113">
        <f t="shared" si="15"/>
        <v>0</v>
      </c>
      <c r="X31" s="113">
        <f t="shared" si="15"/>
        <v>0</v>
      </c>
      <c r="Y31" s="113">
        <f t="shared" si="15"/>
        <v>0</v>
      </c>
      <c r="Z31" s="113">
        <f t="shared" si="15"/>
        <v>0</v>
      </c>
      <c r="AA31" s="113">
        <f t="shared" si="15"/>
        <v>0</v>
      </c>
      <c r="AB31" s="117">
        <f t="shared" si="16"/>
        <v>67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1.5599999999999998</v>
      </c>
      <c r="AD31" s="100">
        <f>VLOOKUP($D$7,ETo!$B$4:$P$88,MONTH(D31)+2,FALSE)/4</f>
        <v>25.152990420694501</v>
      </c>
      <c r="AE31" s="100">
        <f t="shared" si="7"/>
        <v>53.238665056283416</v>
      </c>
      <c r="AF31" s="101">
        <f t="shared" si="8"/>
        <v>5707.1848940335831</v>
      </c>
      <c r="AG31" s="101">
        <f t="shared" si="9"/>
        <v>0</v>
      </c>
      <c r="AH31" s="101">
        <f t="shared" si="10"/>
        <v>0</v>
      </c>
      <c r="AI31" s="101">
        <f t="shared" si="11"/>
        <v>5707.1848940335831</v>
      </c>
      <c r="AJ31" s="101">
        <f>VLOOKUP(MONTH(D31),[0]!rainforuplandcrop,4)/1000*AB31*1600*7</f>
        <v>87.143225806451611</v>
      </c>
    </row>
    <row r="32" spans="2:36" x14ac:dyDescent="0.15">
      <c r="B32" s="106">
        <f t="shared" si="12"/>
        <v>39788</v>
      </c>
      <c r="C32" s="107">
        <f t="shared" si="13"/>
        <v>39794</v>
      </c>
      <c r="D32" s="99">
        <f t="shared" si="3"/>
        <v>39794</v>
      </c>
      <c r="E32" s="91">
        <v>6</v>
      </c>
      <c r="F32" s="407">
        <f>IF(ISERROR(VLOOKUP(E32,Crop!$AC$3:$AD$70,2,FALSE)),0,VLOOKUP(E32,Crop!$AC$3:$AD$70,2,FALSE))</f>
        <v>23</v>
      </c>
      <c r="G32" s="100">
        <f>IF(ISERROR(HLOOKUP($D$5,Kc!$B$3:$AI$57,upland_rain!F32+3,FALSE)),0,HLOOKUP($D$5,Kc!$B$3:$AI$57,upland_rain!F32+3,FALSE))</f>
        <v>1.29</v>
      </c>
      <c r="H32" s="112">
        <f t="shared" si="4"/>
        <v>5</v>
      </c>
      <c r="I32" s="113">
        <f t="shared" si="14"/>
        <v>62</v>
      </c>
      <c r="J32" s="113">
        <f t="shared" si="14"/>
        <v>0</v>
      </c>
      <c r="K32" s="113">
        <f t="shared" si="14"/>
        <v>0</v>
      </c>
      <c r="L32" s="113">
        <f t="shared" si="14"/>
        <v>0</v>
      </c>
      <c r="M32" s="113">
        <f t="shared" si="14"/>
        <v>0</v>
      </c>
      <c r="N32" s="113">
        <f t="shared" si="14"/>
        <v>0</v>
      </c>
      <c r="O32" s="113">
        <f t="shared" si="14"/>
        <v>0</v>
      </c>
      <c r="P32" s="113">
        <f t="shared" si="14"/>
        <v>0</v>
      </c>
      <c r="Q32" s="113">
        <f t="shared" si="14"/>
        <v>0</v>
      </c>
      <c r="R32" s="113">
        <f t="shared" si="14"/>
        <v>0</v>
      </c>
      <c r="S32" s="113">
        <f t="shared" si="15"/>
        <v>0</v>
      </c>
      <c r="T32" s="113">
        <f t="shared" si="15"/>
        <v>0</v>
      </c>
      <c r="U32" s="113">
        <f t="shared" si="15"/>
        <v>0</v>
      </c>
      <c r="V32" s="113">
        <f t="shared" si="15"/>
        <v>0</v>
      </c>
      <c r="W32" s="113">
        <f t="shared" si="15"/>
        <v>0</v>
      </c>
      <c r="X32" s="113">
        <f t="shared" si="15"/>
        <v>0</v>
      </c>
      <c r="Y32" s="113">
        <f t="shared" si="15"/>
        <v>0</v>
      </c>
      <c r="Z32" s="113">
        <f t="shared" si="15"/>
        <v>0</v>
      </c>
      <c r="AA32" s="113">
        <f t="shared" si="15"/>
        <v>0</v>
      </c>
      <c r="AB32" s="117">
        <f t="shared" si="16"/>
        <v>67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1.5398507462686568</v>
      </c>
      <c r="AD32" s="100">
        <f>VLOOKUP($D$7,ETo!$B$4:$P$88,MONTH(D32)+2,FALSE)/4</f>
        <v>25.152990420694501</v>
      </c>
      <c r="AE32" s="100">
        <f t="shared" si="7"/>
        <v>52.7318510701948</v>
      </c>
      <c r="AF32" s="101">
        <f t="shared" si="8"/>
        <v>5652.8544347248826</v>
      </c>
      <c r="AG32" s="101">
        <f t="shared" si="9"/>
        <v>0</v>
      </c>
      <c r="AH32" s="101">
        <f t="shared" si="10"/>
        <v>0</v>
      </c>
      <c r="AI32" s="101">
        <f t="shared" si="11"/>
        <v>5652.8544347248826</v>
      </c>
      <c r="AJ32" s="101">
        <f>VLOOKUP(MONTH(D32),[0]!rainforuplandcrop,4)/1000*AB32*1600*7</f>
        <v>87.143225806451611</v>
      </c>
    </row>
    <row r="33" spans="2:36" x14ac:dyDescent="0.15">
      <c r="B33" s="106">
        <f t="shared" si="12"/>
        <v>39795</v>
      </c>
      <c r="C33" s="107">
        <f t="shared" si="13"/>
        <v>39801</v>
      </c>
      <c r="D33" s="99">
        <f t="shared" si="3"/>
        <v>39801</v>
      </c>
      <c r="E33" s="91">
        <v>7</v>
      </c>
      <c r="F33" s="407">
        <f>IF(ISERROR(VLOOKUP(E33,Crop!$AC$3:$AD$70,2,FALSE)),0,VLOOKUP(E33,Crop!$AC$3:$AD$70,2,FALSE))</f>
        <v>24</v>
      </c>
      <c r="G33" s="100">
        <f>IF(ISERROR(HLOOKUP($D$5,Kc!$B$3:$AI$57,upland_rain!F33+3,FALSE)),0,HLOOKUP($D$5,Kc!$B$3:$AI$57,upland_rain!F33+3,FALSE))</f>
        <v>1.29</v>
      </c>
      <c r="H33" s="112">
        <f t="shared" si="4"/>
        <v>5</v>
      </c>
      <c r="I33" s="113">
        <f t="shared" si="14"/>
        <v>62</v>
      </c>
      <c r="J33" s="113">
        <f t="shared" si="14"/>
        <v>0</v>
      </c>
      <c r="K33" s="113">
        <f t="shared" si="14"/>
        <v>0</v>
      </c>
      <c r="L33" s="113">
        <f t="shared" si="14"/>
        <v>0</v>
      </c>
      <c r="M33" s="113">
        <f t="shared" si="14"/>
        <v>0</v>
      </c>
      <c r="N33" s="113">
        <f t="shared" si="14"/>
        <v>0</v>
      </c>
      <c r="O33" s="113">
        <f t="shared" si="14"/>
        <v>0</v>
      </c>
      <c r="P33" s="113">
        <f t="shared" si="14"/>
        <v>0</v>
      </c>
      <c r="Q33" s="113">
        <f t="shared" si="14"/>
        <v>0</v>
      </c>
      <c r="R33" s="113">
        <f t="shared" si="14"/>
        <v>0</v>
      </c>
      <c r="S33" s="113">
        <f t="shared" si="15"/>
        <v>0</v>
      </c>
      <c r="T33" s="113">
        <f t="shared" si="15"/>
        <v>0</v>
      </c>
      <c r="U33" s="113">
        <f t="shared" si="15"/>
        <v>0</v>
      </c>
      <c r="V33" s="113">
        <f t="shared" si="15"/>
        <v>0</v>
      </c>
      <c r="W33" s="113">
        <f t="shared" si="15"/>
        <v>0</v>
      </c>
      <c r="X33" s="113">
        <f t="shared" si="15"/>
        <v>0</v>
      </c>
      <c r="Y33" s="113">
        <f t="shared" si="15"/>
        <v>0</v>
      </c>
      <c r="Z33" s="113">
        <f t="shared" si="15"/>
        <v>0</v>
      </c>
      <c r="AA33" s="113">
        <f t="shared" si="15"/>
        <v>0</v>
      </c>
      <c r="AB33" s="117">
        <f t="shared" si="16"/>
        <v>67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1.29</v>
      </c>
      <c r="AD33" s="100">
        <f>VLOOKUP($D$7,ETo!$B$4:$P$88,MONTH(D33)+2,FALSE)/4</f>
        <v>25.152990420694501</v>
      </c>
      <c r="AE33" s="100">
        <f t="shared" si="7"/>
        <v>46.447357642695906</v>
      </c>
      <c r="AF33" s="101">
        <f t="shared" si="8"/>
        <v>4979.1567392970019</v>
      </c>
      <c r="AG33" s="101">
        <f t="shared" si="9"/>
        <v>0</v>
      </c>
      <c r="AH33" s="101">
        <f t="shared" si="10"/>
        <v>0</v>
      </c>
      <c r="AI33" s="101">
        <f t="shared" si="11"/>
        <v>4979.1567392970019</v>
      </c>
      <c r="AJ33" s="101">
        <f>VLOOKUP(MONTH(D33),[0]!rainforuplandcrop,4)/1000*AB33*1600*7</f>
        <v>87.143225806451611</v>
      </c>
    </row>
    <row r="34" spans="2:36" x14ac:dyDescent="0.15">
      <c r="B34" s="106">
        <f t="shared" si="12"/>
        <v>39802</v>
      </c>
      <c r="C34" s="107">
        <f t="shared" si="13"/>
        <v>39808</v>
      </c>
      <c r="D34" s="99">
        <f t="shared" si="3"/>
        <v>39808</v>
      </c>
      <c r="E34" s="91">
        <v>8</v>
      </c>
      <c r="F34" s="407">
        <f>IF(ISERROR(VLOOKUP(E34,Crop!$AC$3:$AD$70,2,FALSE)),0,VLOOKUP(E34,Crop!$AC$3:$AD$70,2,FALSE))</f>
        <v>25</v>
      </c>
      <c r="G34" s="100">
        <f>IF(ISERROR(HLOOKUP($D$5,Kc!$B$3:$AI$57,upland_rain!F34+3,FALSE)),0,HLOOKUP($D$5,Kc!$B$3:$AI$57,upland_rain!F34+3,FALSE))</f>
        <v>1.29</v>
      </c>
      <c r="H34" s="112">
        <f t="shared" si="4"/>
        <v>5</v>
      </c>
      <c r="I34" s="113">
        <f t="shared" si="14"/>
        <v>62</v>
      </c>
      <c r="J34" s="113">
        <f t="shared" si="14"/>
        <v>0</v>
      </c>
      <c r="K34" s="113">
        <f t="shared" si="14"/>
        <v>0</v>
      </c>
      <c r="L34" s="113">
        <f t="shared" si="14"/>
        <v>0</v>
      </c>
      <c r="M34" s="113">
        <f t="shared" si="14"/>
        <v>0</v>
      </c>
      <c r="N34" s="113">
        <f t="shared" si="14"/>
        <v>0</v>
      </c>
      <c r="O34" s="113">
        <f t="shared" si="14"/>
        <v>0</v>
      </c>
      <c r="P34" s="113">
        <f t="shared" si="14"/>
        <v>0</v>
      </c>
      <c r="Q34" s="113">
        <f t="shared" si="14"/>
        <v>0</v>
      </c>
      <c r="R34" s="113">
        <f t="shared" si="14"/>
        <v>0</v>
      </c>
      <c r="S34" s="113">
        <f t="shared" si="15"/>
        <v>0</v>
      </c>
      <c r="T34" s="113">
        <f t="shared" si="15"/>
        <v>0</v>
      </c>
      <c r="U34" s="113">
        <f t="shared" si="15"/>
        <v>0</v>
      </c>
      <c r="V34" s="113">
        <f t="shared" si="15"/>
        <v>0</v>
      </c>
      <c r="W34" s="113">
        <f t="shared" si="15"/>
        <v>0</v>
      </c>
      <c r="X34" s="113">
        <f t="shared" si="15"/>
        <v>0</v>
      </c>
      <c r="Y34" s="113">
        <f t="shared" si="15"/>
        <v>0</v>
      </c>
      <c r="Z34" s="113">
        <f t="shared" si="15"/>
        <v>0</v>
      </c>
      <c r="AA34" s="113">
        <f t="shared" si="15"/>
        <v>0</v>
      </c>
      <c r="AB34" s="117">
        <f t="shared" si="16"/>
        <v>67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1.29</v>
      </c>
      <c r="AD34" s="100">
        <f>VLOOKUP($D$7,ETo!$B$4:$P$88,MONTH(D34)+2,FALSE)/4</f>
        <v>25.152990420694501</v>
      </c>
      <c r="AE34" s="100">
        <f t="shared" si="7"/>
        <v>46.447357642695906</v>
      </c>
      <c r="AF34" s="101">
        <f t="shared" si="8"/>
        <v>4979.1567392970019</v>
      </c>
      <c r="AG34" s="101">
        <f t="shared" si="9"/>
        <v>0</v>
      </c>
      <c r="AH34" s="101">
        <f t="shared" si="10"/>
        <v>0</v>
      </c>
      <c r="AI34" s="101">
        <f t="shared" si="11"/>
        <v>4979.1567392970019</v>
      </c>
      <c r="AJ34" s="101">
        <f>VLOOKUP(MONTH(D34),[0]!rainforuplandcrop,4)/1000*AB34*1600*7</f>
        <v>87.143225806451611</v>
      </c>
    </row>
    <row r="35" spans="2:36" x14ac:dyDescent="0.15">
      <c r="B35" s="106">
        <f t="shared" si="12"/>
        <v>39809</v>
      </c>
      <c r="C35" s="107">
        <f t="shared" si="13"/>
        <v>39815</v>
      </c>
      <c r="D35" s="99">
        <f t="shared" si="3"/>
        <v>39815</v>
      </c>
      <c r="E35" s="91">
        <v>9</v>
      </c>
      <c r="F35" s="407">
        <f>IF(ISERROR(VLOOKUP(E35,Crop!$AC$3:$AD$70,2,FALSE)),0,VLOOKUP(E35,Crop!$AC$3:$AD$70,2,FALSE))</f>
        <v>26</v>
      </c>
      <c r="G35" s="100">
        <f>IF(ISERROR(HLOOKUP($D$5,Kc!$B$3:$AI$57,upland_rain!F35+3,FALSE)),0,HLOOKUP($D$5,Kc!$B$3:$AI$57,upland_rain!F35+3,FALSE))</f>
        <v>1.29</v>
      </c>
      <c r="H35" s="112">
        <f t="shared" si="4"/>
        <v>5</v>
      </c>
      <c r="I35" s="113">
        <f t="shared" si="14"/>
        <v>62</v>
      </c>
      <c r="J35" s="113">
        <f t="shared" si="14"/>
        <v>0</v>
      </c>
      <c r="K35" s="113">
        <f t="shared" si="14"/>
        <v>0</v>
      </c>
      <c r="L35" s="113">
        <f t="shared" si="14"/>
        <v>0</v>
      </c>
      <c r="M35" s="113">
        <f t="shared" si="14"/>
        <v>0</v>
      </c>
      <c r="N35" s="113">
        <f t="shared" si="14"/>
        <v>0</v>
      </c>
      <c r="O35" s="113">
        <f t="shared" si="14"/>
        <v>0</v>
      </c>
      <c r="P35" s="113">
        <f t="shared" si="14"/>
        <v>0</v>
      </c>
      <c r="Q35" s="113">
        <f t="shared" si="14"/>
        <v>0</v>
      </c>
      <c r="R35" s="113">
        <f t="shared" si="14"/>
        <v>0</v>
      </c>
      <c r="S35" s="113">
        <f t="shared" si="15"/>
        <v>0</v>
      </c>
      <c r="T35" s="113">
        <f t="shared" si="15"/>
        <v>0</v>
      </c>
      <c r="U35" s="113">
        <f t="shared" si="15"/>
        <v>0</v>
      </c>
      <c r="V35" s="113">
        <f t="shared" si="15"/>
        <v>0</v>
      </c>
      <c r="W35" s="113">
        <f t="shared" si="15"/>
        <v>0</v>
      </c>
      <c r="X35" s="113">
        <f t="shared" si="15"/>
        <v>0</v>
      </c>
      <c r="Y35" s="113">
        <f t="shared" si="15"/>
        <v>0</v>
      </c>
      <c r="Z35" s="113">
        <f t="shared" si="15"/>
        <v>0</v>
      </c>
      <c r="AA35" s="113">
        <f t="shared" si="15"/>
        <v>0</v>
      </c>
      <c r="AB35" s="117">
        <f t="shared" si="16"/>
        <v>67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1.29</v>
      </c>
      <c r="AD35" s="100">
        <f>VLOOKUP($D$7,ETo!$B$4:$P$88,MONTH(D35)+2,FALSE)/4</f>
        <v>26.227032335674728</v>
      </c>
      <c r="AE35" s="100">
        <f t="shared" si="7"/>
        <v>47.832871713020403</v>
      </c>
      <c r="AF35" s="101">
        <f t="shared" si="8"/>
        <v>5127.683847635788</v>
      </c>
      <c r="AG35" s="101">
        <f t="shared" si="9"/>
        <v>0</v>
      </c>
      <c r="AH35" s="101">
        <f t="shared" si="10"/>
        <v>0</v>
      </c>
      <c r="AI35" s="101">
        <f t="shared" si="11"/>
        <v>5127.683847635788</v>
      </c>
      <c r="AJ35" s="101">
        <f>VLOOKUP(MONTH(D35),[0]!rainforuplandcrop,4)/1000*AB35*1600*7</f>
        <v>111.34967741935485</v>
      </c>
    </row>
    <row r="36" spans="2:36" x14ac:dyDescent="0.15">
      <c r="B36" s="106">
        <f t="shared" si="12"/>
        <v>39816</v>
      </c>
      <c r="C36" s="107">
        <f t="shared" si="13"/>
        <v>39822</v>
      </c>
      <c r="D36" s="99">
        <f t="shared" si="3"/>
        <v>39822</v>
      </c>
      <c r="E36" s="91">
        <v>10</v>
      </c>
      <c r="F36" s="407">
        <f>IF(ISERROR(VLOOKUP(E36,Crop!$AC$3:$AD$70,2,FALSE)),0,VLOOKUP(E36,Crop!$AC$3:$AD$70,2,FALSE))</f>
        <v>27</v>
      </c>
      <c r="G36" s="100">
        <f>IF(ISERROR(HLOOKUP($D$5,Kc!$B$3:$AI$57,upland_rain!F36+3,FALSE)),0,HLOOKUP($D$5,Kc!$B$3:$AI$57,upland_rain!F36+3,FALSE))</f>
        <v>1.2</v>
      </c>
      <c r="H36" s="112">
        <f t="shared" ref="H36:H78" si="17">IF(G36&gt;0,IF(H$26&gt;$E$9,0,VLOOKUP(H$26,$F$3:$G$23,2,FALSE)),0)</f>
        <v>5</v>
      </c>
      <c r="I36" s="113">
        <f t="shared" si="14"/>
        <v>62</v>
      </c>
      <c r="J36" s="113">
        <f t="shared" si="14"/>
        <v>0</v>
      </c>
      <c r="K36" s="113">
        <f t="shared" si="14"/>
        <v>0</v>
      </c>
      <c r="L36" s="113">
        <f t="shared" si="14"/>
        <v>0</v>
      </c>
      <c r="M36" s="113">
        <f t="shared" si="14"/>
        <v>0</v>
      </c>
      <c r="N36" s="113">
        <f t="shared" si="14"/>
        <v>0</v>
      </c>
      <c r="O36" s="113">
        <f t="shared" si="14"/>
        <v>0</v>
      </c>
      <c r="P36" s="113">
        <f t="shared" si="14"/>
        <v>0</v>
      </c>
      <c r="Q36" s="113">
        <f t="shared" si="14"/>
        <v>0</v>
      </c>
      <c r="R36" s="113">
        <f t="shared" si="14"/>
        <v>0</v>
      </c>
      <c r="S36" s="113">
        <f t="shared" si="15"/>
        <v>0</v>
      </c>
      <c r="T36" s="113">
        <f t="shared" si="15"/>
        <v>0</v>
      </c>
      <c r="U36" s="113">
        <f t="shared" si="15"/>
        <v>0</v>
      </c>
      <c r="V36" s="113">
        <f t="shared" si="15"/>
        <v>0</v>
      </c>
      <c r="W36" s="113">
        <f t="shared" si="15"/>
        <v>0</v>
      </c>
      <c r="X36" s="113">
        <f t="shared" si="15"/>
        <v>0</v>
      </c>
      <c r="Y36" s="113">
        <f t="shared" si="15"/>
        <v>0</v>
      </c>
      <c r="Z36" s="113">
        <f t="shared" si="15"/>
        <v>0</v>
      </c>
      <c r="AA36" s="113">
        <f t="shared" si="15"/>
        <v>0</v>
      </c>
      <c r="AB36" s="117">
        <f t="shared" si="16"/>
        <v>67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1.2832835820895523</v>
      </c>
      <c r="AD36" s="100">
        <f>VLOOKUP($D$7,ETo!$B$4:$P$88,MONTH(D36)+2,FALSE)/4</f>
        <v>26.227032335674728</v>
      </c>
      <c r="AE36" s="100">
        <f t="shared" si="7"/>
        <v>47.656720003303185</v>
      </c>
      <c r="AF36" s="101">
        <f t="shared" si="8"/>
        <v>5108.8003843541019</v>
      </c>
      <c r="AG36" s="101">
        <f t="shared" si="9"/>
        <v>0</v>
      </c>
      <c r="AH36" s="101">
        <f t="shared" si="10"/>
        <v>0</v>
      </c>
      <c r="AI36" s="101">
        <f t="shared" si="11"/>
        <v>5108.8003843541019</v>
      </c>
      <c r="AJ36" s="101">
        <f>VLOOKUP(MONTH(D36),[0]!rainforuplandcrop,4)/1000*AB36*1600*7</f>
        <v>111.34967741935485</v>
      </c>
    </row>
    <row r="37" spans="2:36" x14ac:dyDescent="0.15">
      <c r="B37" s="106">
        <f t="shared" si="12"/>
        <v>39823</v>
      </c>
      <c r="C37" s="107">
        <f t="shared" si="13"/>
        <v>39829</v>
      </c>
      <c r="D37" s="99">
        <f t="shared" si="3"/>
        <v>39829</v>
      </c>
      <c r="E37" s="91">
        <v>11</v>
      </c>
      <c r="F37" s="407">
        <f>IF(ISERROR(VLOOKUP(E37,Crop!$AC$3:$AD$70,2,FALSE)),0,VLOOKUP(E37,Crop!$AC$3:$AD$70,2,FALSE))</f>
        <v>28</v>
      </c>
      <c r="G37" s="100">
        <f>IF(ISERROR(HLOOKUP($D$5,Kc!$B$3:$AI$57,upland_rain!F37+3,FALSE)),0,HLOOKUP($D$5,Kc!$B$3:$AI$57,upland_rain!F37+3,FALSE))</f>
        <v>1.2</v>
      </c>
      <c r="H37" s="112">
        <f t="shared" si="17"/>
        <v>5</v>
      </c>
      <c r="I37" s="113">
        <f t="shared" ref="I37:I78" si="18">IF(H36&gt;0,IF(I$26&gt;$E$9,0,VLOOKUP(I$26,$F$3:$G$23,2,FALSE)),0)</f>
        <v>62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16"/>
        <v>67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1.2</v>
      </c>
      <c r="AD37" s="100">
        <f>VLOOKUP($D$7,ETo!$B$4:$P$88,MONTH(D37)+2,FALSE)/4</f>
        <v>26.227032335674728</v>
      </c>
      <c r="AE37" s="100">
        <f t="shared" si="7"/>
        <v>45.472438802809677</v>
      </c>
      <c r="AF37" s="101">
        <f t="shared" si="8"/>
        <v>4874.645439661198</v>
      </c>
      <c r="AG37" s="101">
        <f t="shared" si="9"/>
        <v>0</v>
      </c>
      <c r="AH37" s="101">
        <f t="shared" si="10"/>
        <v>0</v>
      </c>
      <c r="AI37" s="101">
        <f t="shared" si="11"/>
        <v>4874.645439661198</v>
      </c>
      <c r="AJ37" s="101">
        <f>VLOOKUP(MONTH(D37),[0]!rainforuplandcrop,4)/1000*AB37*1600*7</f>
        <v>111.34967741935485</v>
      </c>
    </row>
    <row r="38" spans="2:36" x14ac:dyDescent="0.15">
      <c r="B38" s="106">
        <f t="shared" si="12"/>
        <v>39830</v>
      </c>
      <c r="C38" s="107">
        <f t="shared" si="13"/>
        <v>39836</v>
      </c>
      <c r="D38" s="99">
        <f t="shared" si="3"/>
        <v>39836</v>
      </c>
      <c r="E38" s="91">
        <v>12</v>
      </c>
      <c r="F38" s="407">
        <f>IF(ISERROR(VLOOKUP(E38,Crop!$AC$3:$AD$70,2,FALSE)),0,VLOOKUP(E38,Crop!$AC$3:$AD$70,2,FALSE))</f>
        <v>29</v>
      </c>
      <c r="G38" s="100">
        <f>IF(ISERROR(HLOOKUP($D$5,Kc!$B$3:$AI$57,upland_rain!F38+3,FALSE)),0,HLOOKUP($D$5,Kc!$B$3:$AI$57,upland_rain!F38+3,FALSE))</f>
        <v>1.2</v>
      </c>
      <c r="H38" s="112">
        <f t="shared" si="17"/>
        <v>5</v>
      </c>
      <c r="I38" s="113">
        <f t="shared" si="18"/>
        <v>62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16"/>
        <v>67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1.2</v>
      </c>
      <c r="AD38" s="100">
        <f>VLOOKUP($D$7,ETo!$B$4:$P$88,MONTH(D38)+2,FALSE)/4</f>
        <v>26.227032335674728</v>
      </c>
      <c r="AE38" s="100">
        <f t="shared" si="7"/>
        <v>45.472438802809677</v>
      </c>
      <c r="AF38" s="101">
        <f t="shared" si="8"/>
        <v>4874.645439661198</v>
      </c>
      <c r="AG38" s="101">
        <f t="shared" si="9"/>
        <v>0</v>
      </c>
      <c r="AH38" s="101">
        <f t="shared" si="10"/>
        <v>0</v>
      </c>
      <c r="AI38" s="101">
        <f t="shared" si="11"/>
        <v>4874.645439661198</v>
      </c>
      <c r="AJ38" s="101">
        <f>VLOOKUP(MONTH(D38),[0]!rainforuplandcrop,4)/1000*AB38*1600*7</f>
        <v>111.34967741935485</v>
      </c>
    </row>
    <row r="39" spans="2:36" x14ac:dyDescent="0.15">
      <c r="B39" s="106">
        <f t="shared" si="12"/>
        <v>39837</v>
      </c>
      <c r="C39" s="107">
        <f t="shared" si="13"/>
        <v>39843</v>
      </c>
      <c r="D39" s="99">
        <f t="shared" si="3"/>
        <v>39843</v>
      </c>
      <c r="E39" s="91">
        <v>13</v>
      </c>
      <c r="F39" s="407">
        <f>IF(ISERROR(VLOOKUP(E39,Crop!$AC$3:$AD$70,2,FALSE)),0,VLOOKUP(E39,Crop!$AC$3:$AD$70,2,FALSE))</f>
        <v>30</v>
      </c>
      <c r="G39" s="100">
        <f>IF(ISERROR(HLOOKUP($D$5,Kc!$B$3:$AI$57,upland_rain!F39+3,FALSE)),0,HLOOKUP($D$5,Kc!$B$3:$AI$57,upland_rain!F39+3,FALSE))</f>
        <v>1.2</v>
      </c>
      <c r="H39" s="112">
        <f t="shared" si="17"/>
        <v>5</v>
      </c>
      <c r="I39" s="113">
        <f t="shared" si="18"/>
        <v>62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16"/>
        <v>67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1.2</v>
      </c>
      <c r="AD39" s="100">
        <f>VLOOKUP($D$7,ETo!$B$4:$P$88,MONTH(D39)+2,FALSE)/4</f>
        <v>26.227032335674728</v>
      </c>
      <c r="AE39" s="100">
        <f t="shared" si="7"/>
        <v>45.472438802809677</v>
      </c>
      <c r="AF39" s="101">
        <f t="shared" si="8"/>
        <v>4874.645439661198</v>
      </c>
      <c r="AG39" s="101">
        <f t="shared" si="9"/>
        <v>0</v>
      </c>
      <c r="AH39" s="101">
        <f t="shared" si="10"/>
        <v>0</v>
      </c>
      <c r="AI39" s="101">
        <f t="shared" si="11"/>
        <v>4874.645439661198</v>
      </c>
      <c r="AJ39" s="101">
        <f>VLOOKUP(MONTH(D39),[0]!rainforuplandcrop,4)/1000*AB39*1600*7</f>
        <v>111.34967741935485</v>
      </c>
    </row>
    <row r="40" spans="2:36" x14ac:dyDescent="0.15">
      <c r="B40" s="106">
        <f t="shared" si="12"/>
        <v>39844</v>
      </c>
      <c r="C40" s="107">
        <f t="shared" si="13"/>
        <v>39850</v>
      </c>
      <c r="D40" s="99">
        <f t="shared" si="3"/>
        <v>39850</v>
      </c>
      <c r="E40" s="91">
        <v>14</v>
      </c>
      <c r="F40" s="407">
        <f>IF(ISERROR(VLOOKUP(E40,Crop!$AC$3:$AD$70,2,FALSE)),0,VLOOKUP(E40,Crop!$AC$3:$AD$70,2,FALSE))</f>
        <v>31</v>
      </c>
      <c r="G40" s="100">
        <f>IF(ISERROR(HLOOKUP($D$5,Kc!$B$3:$AI$57,upland_rain!F40+3,FALSE)),0,HLOOKUP($D$5,Kc!$B$3:$AI$57,upland_rain!F40+3,FALSE))</f>
        <v>1.2</v>
      </c>
      <c r="H40" s="112">
        <f t="shared" si="17"/>
        <v>5</v>
      </c>
      <c r="I40" s="113">
        <f t="shared" si="18"/>
        <v>62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16"/>
        <v>67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1.2</v>
      </c>
      <c r="AD40" s="100">
        <f>VLOOKUP($D$7,ETo!$B$4:$P$88,MONTH(D40)+2,FALSE)/4</f>
        <v>28.598453964472196</v>
      </c>
      <c r="AE40" s="100">
        <f t="shared" si="7"/>
        <v>48.318144757366632</v>
      </c>
      <c r="AF40" s="101">
        <f t="shared" si="8"/>
        <v>5179.7051179897035</v>
      </c>
      <c r="AG40" s="101">
        <f t="shared" si="9"/>
        <v>0</v>
      </c>
      <c r="AH40" s="101">
        <f t="shared" si="10"/>
        <v>0</v>
      </c>
      <c r="AI40" s="101">
        <f t="shared" si="11"/>
        <v>5179.7051179897035</v>
      </c>
      <c r="AJ40" s="101">
        <f>VLOOKUP(MONTH(D40),[0]!rainforuplandcrop,4)/1000*AB40*1600*7</f>
        <v>442.19999999999993</v>
      </c>
    </row>
    <row r="41" spans="2:36" x14ac:dyDescent="0.15">
      <c r="B41" s="106">
        <f t="shared" si="12"/>
        <v>39851</v>
      </c>
      <c r="C41" s="107">
        <f t="shared" si="13"/>
        <v>39857</v>
      </c>
      <c r="D41" s="99">
        <f t="shared" si="3"/>
        <v>39857</v>
      </c>
      <c r="E41" s="91">
        <v>15</v>
      </c>
      <c r="F41" s="407">
        <f>IF(ISERROR(VLOOKUP(E41,Crop!$AC$3:$AD$70,2,FALSE)),0,VLOOKUP(E41,Crop!$AC$3:$AD$70,2,FALSE))</f>
        <v>32</v>
      </c>
      <c r="G41" s="100">
        <f>IF(ISERROR(HLOOKUP($D$5,Kc!$B$3:$AI$57,upland_rain!F41+3,FALSE)),0,HLOOKUP($D$5,Kc!$B$3:$AI$57,upland_rain!F41+3,FALSE))</f>
        <v>0.93</v>
      </c>
      <c r="H41" s="112">
        <f t="shared" si="17"/>
        <v>5</v>
      </c>
      <c r="I41" s="113">
        <f t="shared" si="18"/>
        <v>62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16"/>
        <v>67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1.1798507462686567</v>
      </c>
      <c r="AD41" s="100">
        <f>VLOOKUP($D$7,ETo!$B$4:$P$88,MONTH(D41)+2,FALSE)/4</f>
        <v>28.598453964472196</v>
      </c>
      <c r="AE41" s="100">
        <f t="shared" si="7"/>
        <v>47.741907252112341</v>
      </c>
      <c r="AF41" s="101">
        <f t="shared" si="8"/>
        <v>5117.9324574264429</v>
      </c>
      <c r="AG41" s="101">
        <f t="shared" si="9"/>
        <v>0</v>
      </c>
      <c r="AH41" s="101">
        <f t="shared" si="10"/>
        <v>0</v>
      </c>
      <c r="AI41" s="101">
        <f t="shared" si="11"/>
        <v>5117.9324574264429</v>
      </c>
      <c r="AJ41" s="101">
        <f>VLOOKUP(MONTH(D41),[0]!rainforuplandcrop,4)/1000*AB41*1600*7</f>
        <v>442.19999999999993</v>
      </c>
    </row>
    <row r="42" spans="2:36" x14ac:dyDescent="0.15">
      <c r="B42" s="106">
        <f t="shared" si="12"/>
        <v>39858</v>
      </c>
      <c r="C42" s="107">
        <f t="shared" si="13"/>
        <v>39864</v>
      </c>
      <c r="D42" s="99">
        <f t="shared" si="3"/>
        <v>39864</v>
      </c>
      <c r="E42" s="91">
        <v>16</v>
      </c>
      <c r="F42" s="407">
        <f>IF(ISERROR(VLOOKUP(E42,Crop!$AC$3:$AD$70,2,FALSE)),0,VLOOKUP(E42,Crop!$AC$3:$AD$70,2,FALSE))</f>
        <v>33</v>
      </c>
      <c r="G42" s="100">
        <f>IF(ISERROR(HLOOKUP($D$5,Kc!$B$3:$AI$57,upland_rain!F42+3,FALSE)),0,HLOOKUP($D$5,Kc!$B$3:$AI$57,upland_rain!F42+3,FALSE))</f>
        <v>0.93</v>
      </c>
      <c r="H42" s="112">
        <f t="shared" si="17"/>
        <v>5</v>
      </c>
      <c r="I42" s="113">
        <f t="shared" si="18"/>
        <v>62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16"/>
        <v>67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0.93</v>
      </c>
      <c r="AD42" s="100">
        <f>VLOOKUP($D$7,ETo!$B$4:$P$88,MONTH(D42)+2,FALSE)/4</f>
        <v>28.598453964472196</v>
      </c>
      <c r="AE42" s="100">
        <f t="shared" si="7"/>
        <v>40.596562186959147</v>
      </c>
      <c r="AF42" s="101">
        <f t="shared" si="8"/>
        <v>4351.9514664420203</v>
      </c>
      <c r="AG42" s="101">
        <f t="shared" si="9"/>
        <v>0</v>
      </c>
      <c r="AH42" s="101">
        <f t="shared" si="10"/>
        <v>0</v>
      </c>
      <c r="AI42" s="101">
        <f t="shared" si="11"/>
        <v>4351.9514664420203</v>
      </c>
      <c r="AJ42" s="101">
        <f>VLOOKUP(MONTH(D42),[0]!rainforuplandcrop,4)/1000*AB42*1600*7</f>
        <v>442.19999999999993</v>
      </c>
    </row>
    <row r="43" spans="2:36" x14ac:dyDescent="0.15">
      <c r="B43" s="106">
        <f t="shared" si="12"/>
        <v>39865</v>
      </c>
      <c r="C43" s="107">
        <f t="shared" si="13"/>
        <v>39871</v>
      </c>
      <c r="D43" s="99">
        <f t="shared" si="3"/>
        <v>39871</v>
      </c>
      <c r="E43" s="91">
        <v>17</v>
      </c>
      <c r="F43" s="407">
        <f>IF(ISERROR(VLOOKUP(E43,Crop!$AC$3:$AD$70,2,FALSE)),0,VLOOKUP(E43,Crop!$AC$3:$AD$70,2,FALSE))</f>
        <v>0</v>
      </c>
      <c r="G43" s="100">
        <f>IF(ISERROR(HLOOKUP($D$5,Kc!$B$3:$AI$57,upland_rain!F43+3,FALSE)),0,HLOOKUP($D$5,Kc!$B$3:$AI$57,upland_rain!F43+3,FALSE))</f>
        <v>0</v>
      </c>
      <c r="H43" s="112">
        <f t="shared" si="17"/>
        <v>0</v>
      </c>
      <c r="I43" s="113">
        <f t="shared" si="18"/>
        <v>62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16"/>
        <v>62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0.93</v>
      </c>
      <c r="AD43" s="100">
        <f>VLOOKUP($D$7,ETo!$B$4:$P$88,MONTH(D43)+2,FALSE)/4</f>
        <v>28.598453964472196</v>
      </c>
      <c r="AE43" s="100">
        <f t="shared" si="7"/>
        <v>40.596562186959147</v>
      </c>
      <c r="AF43" s="101">
        <f t="shared" si="8"/>
        <v>4027.1789689463476</v>
      </c>
      <c r="AG43" s="101">
        <f t="shared" si="9"/>
        <v>0</v>
      </c>
      <c r="AH43" s="101">
        <f t="shared" si="10"/>
        <v>0</v>
      </c>
      <c r="AI43" s="101">
        <f t="shared" si="11"/>
        <v>4027.1789689463476</v>
      </c>
      <c r="AJ43" s="101">
        <f>VLOOKUP(MONTH(D43),[0]!rainforuplandcrop,4)/1000*AB43*1600*7</f>
        <v>409.2</v>
      </c>
    </row>
    <row r="44" spans="2:36" x14ac:dyDescent="0.15">
      <c r="B44" s="106">
        <f t="shared" si="12"/>
        <v>39872</v>
      </c>
      <c r="C44" s="107">
        <f t="shared" si="13"/>
        <v>39878</v>
      </c>
      <c r="D44" s="99">
        <f t="shared" si="3"/>
        <v>39878</v>
      </c>
      <c r="E44" s="91">
        <v>18</v>
      </c>
      <c r="F44" s="407">
        <f>IF(ISERROR(VLOOKUP(E44,Crop!$AC$3:$AD$70,2,FALSE)),0,VLOOKUP(E44,Crop!$AC$3:$AD$70,2,FALSE))</f>
        <v>0</v>
      </c>
      <c r="G44" s="100">
        <f>IF(ISERROR(HLOOKUP($D$5,Kc!$B$3:$AI$57,upland_rain!F44+3,FALSE)),0,HLOOKUP($D$5,Kc!$B$3:$AI$57,upland_rain!F44+3,FALSE))</f>
        <v>0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16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7"/>
        <v>0</v>
      </c>
      <c r="AF44" s="101">
        <f t="shared" si="8"/>
        <v>0</v>
      </c>
      <c r="AG44" s="101">
        <f t="shared" si="9"/>
        <v>0</v>
      </c>
      <c r="AH44" s="101">
        <f t="shared" si="10"/>
        <v>0</v>
      </c>
      <c r="AI44" s="101">
        <f t="shared" si="11"/>
        <v>0</v>
      </c>
      <c r="AJ44" s="101">
        <f>VLOOKUP(MONTH(D44),[0]!rainforuplandcrop,4)/1000*AB44*1600*7</f>
        <v>0</v>
      </c>
    </row>
    <row r="45" spans="2:36" x14ac:dyDescent="0.15">
      <c r="B45" s="106">
        <f t="shared" si="12"/>
        <v>39879</v>
      </c>
      <c r="C45" s="107">
        <f t="shared" si="13"/>
        <v>39885</v>
      </c>
      <c r="D45" s="99">
        <f t="shared" si="3"/>
        <v>39885</v>
      </c>
      <c r="E45" s="91">
        <v>19</v>
      </c>
      <c r="F45" s="407">
        <f>IF(ISERROR(VLOOKUP(E45,Crop!$AC$3:$AD$70,2,FALSE)),0,VLOOKUP(E45,Crop!$AC$3:$AD$70,2,FALSE))</f>
        <v>0</v>
      </c>
      <c r="G45" s="100">
        <f>IF(ISERROR(HLOOKUP($D$5,Kc!$B$3:$AI$57,upland_rain!F45+3,FALSE)),0,HLOOKUP($D$5,Kc!$B$3:$AI$57,upland_rain!F45+3,FALSE))</f>
        <v>0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16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7"/>
        <v>0</v>
      </c>
      <c r="AF45" s="101">
        <f t="shared" si="8"/>
        <v>0</v>
      </c>
      <c r="AG45" s="101">
        <f t="shared" si="9"/>
        <v>0</v>
      </c>
      <c r="AH45" s="101">
        <f t="shared" si="10"/>
        <v>0</v>
      </c>
      <c r="AI45" s="101">
        <f t="shared" si="11"/>
        <v>0</v>
      </c>
      <c r="AJ45" s="101">
        <f>VLOOKUP(MONTH(D45),[0]!rainforuplandcrop,4)/1000*AB45*1600*7</f>
        <v>0</v>
      </c>
    </row>
    <row r="46" spans="2:36" x14ac:dyDescent="0.15">
      <c r="B46" s="106">
        <f t="shared" si="12"/>
        <v>39886</v>
      </c>
      <c r="C46" s="107">
        <f t="shared" si="13"/>
        <v>39892</v>
      </c>
      <c r="D46" s="99">
        <f t="shared" si="3"/>
        <v>39892</v>
      </c>
      <c r="E46" s="91">
        <v>20</v>
      </c>
      <c r="F46" s="407">
        <f>IF(ISERROR(VLOOKUP(E46,Crop!$AC$3:$AD$70,2,FALSE)),0,VLOOKUP(E46,Crop!$AC$3:$AD$70,2,FALSE))</f>
        <v>0</v>
      </c>
      <c r="G46" s="100">
        <f>IF(ISERROR(HLOOKUP($D$5,Kc!$B$3:$AI$57,upland_rain!F46+3,FALSE)),0,HLOOKUP($D$5,Kc!$B$3:$AI$57,upland_rain!F46+3,FALSE))</f>
        <v>0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16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7"/>
        <v>0</v>
      </c>
      <c r="AF46" s="101">
        <f t="shared" si="8"/>
        <v>0</v>
      </c>
      <c r="AG46" s="101">
        <f t="shared" si="9"/>
        <v>0</v>
      </c>
      <c r="AH46" s="101">
        <f t="shared" si="10"/>
        <v>0</v>
      </c>
      <c r="AI46" s="101">
        <f t="shared" si="11"/>
        <v>0</v>
      </c>
      <c r="AJ46" s="101">
        <f>VLOOKUP(MONTH(D46),[0]!rainforuplandcrop,4)/1000*AB46*1600*7</f>
        <v>0</v>
      </c>
    </row>
    <row r="47" spans="2:36" x14ac:dyDescent="0.15">
      <c r="B47" s="106">
        <f t="shared" si="12"/>
        <v>39893</v>
      </c>
      <c r="C47" s="107">
        <f t="shared" si="13"/>
        <v>39899</v>
      </c>
      <c r="D47" s="99">
        <f t="shared" si="3"/>
        <v>39899</v>
      </c>
      <c r="E47" s="91">
        <v>21</v>
      </c>
      <c r="F47" s="407">
        <f>IF(ISERROR(VLOOKUP(E47,Crop!$AC$3:$AD$70,2,FALSE)),0,VLOOKUP(E47,Crop!$AC$3:$AD$70,2,FALSE))</f>
        <v>0</v>
      </c>
      <c r="G47" s="100">
        <f>IF(ISERROR(HLOOKUP($D$5,Kc!$B$3:$AI$57,upland_rain!F47+3,FALSE)),0,HLOOKUP($D$5,Kc!$B$3:$AI$57,upland_rain!F47+3,FALSE))</f>
        <v>0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16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7"/>
        <v>0</v>
      </c>
      <c r="AF47" s="101">
        <f t="shared" si="8"/>
        <v>0</v>
      </c>
      <c r="AG47" s="101">
        <f t="shared" si="9"/>
        <v>0</v>
      </c>
      <c r="AH47" s="101">
        <f t="shared" si="10"/>
        <v>0</v>
      </c>
      <c r="AI47" s="101">
        <f t="shared" si="11"/>
        <v>0</v>
      </c>
      <c r="AJ47" s="101">
        <f>VLOOKUP(MONTH(D47),[0]!rainforuplandcrop,4)/1000*AB47*1600*7</f>
        <v>0</v>
      </c>
    </row>
    <row r="48" spans="2:36" x14ac:dyDescent="0.15">
      <c r="B48" s="106">
        <f t="shared" si="12"/>
        <v>39900</v>
      </c>
      <c r="C48" s="107">
        <f t="shared" si="13"/>
        <v>39906</v>
      </c>
      <c r="D48" s="99">
        <f t="shared" si="3"/>
        <v>39906</v>
      </c>
      <c r="E48" s="91">
        <v>22</v>
      </c>
      <c r="F48" s="407">
        <f>IF(ISERROR(VLOOKUP(E48,Crop!$AC$3:$AD$70,2,FALSE)),0,VLOOKUP(E48,Crop!$AC$3:$AD$70,2,FALSE))</f>
        <v>0</v>
      </c>
      <c r="G48" s="100">
        <f>IF(ISERROR(HLOOKUP($D$5,Kc!$B$3:$AI$57,upland_rain!F48+3,FALSE)),0,HLOOKUP($D$5,Kc!$B$3:$AI$57,upland_rain!F48+3,FALSE))</f>
        <v>0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16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7"/>
        <v>0</v>
      </c>
      <c r="AF48" s="101">
        <f t="shared" si="8"/>
        <v>0</v>
      </c>
      <c r="AG48" s="101">
        <f t="shared" si="9"/>
        <v>0</v>
      </c>
      <c r="AH48" s="101">
        <f t="shared" si="10"/>
        <v>0</v>
      </c>
      <c r="AI48" s="101">
        <f t="shared" si="11"/>
        <v>0</v>
      </c>
      <c r="AJ48" s="101">
        <f>VLOOKUP(MONTH(D48),[0]!rainforuplandcrop,4)/1000*AB48*1600*7</f>
        <v>0</v>
      </c>
    </row>
    <row r="49" spans="2:36" x14ac:dyDescent="0.15">
      <c r="B49" s="106">
        <f t="shared" si="12"/>
        <v>39907</v>
      </c>
      <c r="C49" s="107">
        <f t="shared" si="13"/>
        <v>39913</v>
      </c>
      <c r="D49" s="99">
        <f t="shared" si="3"/>
        <v>39913</v>
      </c>
      <c r="E49" s="91">
        <v>23</v>
      </c>
      <c r="F49" s="407">
        <f>IF(ISERROR(VLOOKUP(E49,Crop!$AC$3:$AD$70,2,FALSE)),0,VLOOKUP(E49,Crop!$AC$3:$AD$70,2,FALSE))</f>
        <v>0</v>
      </c>
      <c r="G49" s="100">
        <f>IF(ISERROR(HLOOKUP($D$5,Kc!$B$3:$AI$57,upland_rain!F49+3,FALSE)),0,HLOOKUP($D$5,Kc!$B$3:$AI$57,upland_rain!F49+3,FALSE))</f>
        <v>0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16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7"/>
        <v>0</v>
      </c>
      <c r="AF49" s="101">
        <f t="shared" si="8"/>
        <v>0</v>
      </c>
      <c r="AG49" s="101">
        <f t="shared" si="9"/>
        <v>0</v>
      </c>
      <c r="AH49" s="101">
        <f t="shared" si="10"/>
        <v>0</v>
      </c>
      <c r="AI49" s="101">
        <f t="shared" si="11"/>
        <v>0</v>
      </c>
      <c r="AJ49" s="101">
        <f>VLOOKUP(MONTH(D49),[0]!rainforuplandcrop,4)/1000*AB49*1600*7</f>
        <v>0</v>
      </c>
    </row>
    <row r="50" spans="2:36" x14ac:dyDescent="0.15">
      <c r="B50" s="106">
        <f t="shared" si="12"/>
        <v>39914</v>
      </c>
      <c r="C50" s="107">
        <f t="shared" si="13"/>
        <v>39920</v>
      </c>
      <c r="D50" s="99">
        <f t="shared" si="3"/>
        <v>39920</v>
      </c>
      <c r="E50" s="91">
        <v>24</v>
      </c>
      <c r="F50" s="407">
        <f>IF(ISERROR(VLOOKUP(E50,Crop!$AC$3:$AD$70,2,FALSE)),0,VLOOKUP(E50,Crop!$AC$3:$AD$70,2,FALSE))</f>
        <v>0</v>
      </c>
      <c r="G50" s="100">
        <f>IF(ISERROR(HLOOKUP($D$5,Kc!$B$3:$AI$57,upland_rain!F50+3,FALSE)),0,HLOOKUP($D$5,Kc!$B$3:$AI$57,upland_rain!F50+3,FALSE))</f>
        <v>0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16"/>
        <v>0</v>
      </c>
      <c r="AC50" s="405">
        <f t="shared" si="24"/>
        <v>0</v>
      </c>
      <c r="AD50" s="100">
        <f>VLOOKUP($D$7,ETo!$B$4:$P$88,MONTH(D50)+2,FALSE)/4</f>
        <v>38.112530722170547</v>
      </c>
      <c r="AE50" s="100">
        <f t="shared" si="7"/>
        <v>0</v>
      </c>
      <c r="AF50" s="101">
        <f t="shared" si="8"/>
        <v>0</v>
      </c>
      <c r="AG50" s="101">
        <f t="shared" si="9"/>
        <v>0</v>
      </c>
      <c r="AH50" s="101">
        <f t="shared" si="10"/>
        <v>0</v>
      </c>
      <c r="AI50" s="101">
        <f t="shared" si="11"/>
        <v>0</v>
      </c>
      <c r="AJ50" s="101">
        <f>VLOOKUP(MONTH(D50),[0]!rainforuplandcrop,4)/1000*AB50*1600*7</f>
        <v>0</v>
      </c>
    </row>
    <row r="51" spans="2:36" x14ac:dyDescent="0.15">
      <c r="B51" s="106">
        <f t="shared" si="12"/>
        <v>39921</v>
      </c>
      <c r="C51" s="107">
        <f t="shared" si="13"/>
        <v>39927</v>
      </c>
      <c r="D51" s="99">
        <f t="shared" si="3"/>
        <v>39927</v>
      </c>
      <c r="E51" s="91">
        <v>25</v>
      </c>
      <c r="F51" s="407">
        <f>IF(ISERROR(VLOOKUP(E51,Crop!$AC$3:$AD$70,2,FALSE)),0,VLOOKUP(E51,Crop!$AC$3:$AD$70,2,FALSE))</f>
        <v>0</v>
      </c>
      <c r="G51" s="100">
        <f>IF(ISERROR(HLOOKUP($D$5,Kc!$B$3:$AI$57,upland_rain!F51+3,FALSE)),0,HLOOKUP($D$5,Kc!$B$3:$AI$57,upland_rain!F51+3,FALSE))</f>
        <v>0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16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7"/>
        <v>0</v>
      </c>
      <c r="AF51" s="101">
        <f t="shared" si="8"/>
        <v>0</v>
      </c>
      <c r="AG51" s="101">
        <f t="shared" si="9"/>
        <v>0</v>
      </c>
      <c r="AH51" s="101">
        <f t="shared" si="10"/>
        <v>0</v>
      </c>
      <c r="AI51" s="101">
        <f t="shared" si="11"/>
        <v>0</v>
      </c>
      <c r="AJ51" s="101">
        <f>VLOOKUP(MONTH(D51),[0]!rainforuplandcrop,4)/1000*AB51*1600*7</f>
        <v>0</v>
      </c>
    </row>
    <row r="52" spans="2:36" x14ac:dyDescent="0.15">
      <c r="B52" s="106">
        <f t="shared" si="12"/>
        <v>39928</v>
      </c>
      <c r="C52" s="107">
        <f t="shared" si="13"/>
        <v>39934</v>
      </c>
      <c r="D52" s="99">
        <f t="shared" si="3"/>
        <v>39934</v>
      </c>
      <c r="E52" s="91">
        <v>26</v>
      </c>
      <c r="F52" s="407">
        <f>IF(ISERROR(VLOOKUP(E52,Crop!$AC$3:$AD$70,2,FALSE)),0,VLOOKUP(E52,Crop!$AC$3:$AD$70,2,FALSE))</f>
        <v>0</v>
      </c>
      <c r="G52" s="100">
        <f>IF(ISERROR(HLOOKUP($D$5,Kc!$B$3:$AI$57,upland_rain!F52+3,FALSE)),0,HLOOKUP($D$5,Kc!$B$3:$AI$57,upland_rain!F52+3,FALSE))</f>
        <v>0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16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7"/>
        <v>0</v>
      </c>
      <c r="AF52" s="101">
        <f t="shared" si="8"/>
        <v>0</v>
      </c>
      <c r="AG52" s="101">
        <f t="shared" si="9"/>
        <v>0</v>
      </c>
      <c r="AH52" s="101">
        <f t="shared" si="10"/>
        <v>0</v>
      </c>
      <c r="AI52" s="101">
        <f t="shared" si="11"/>
        <v>0</v>
      </c>
      <c r="AJ52" s="101">
        <f>VLOOKUP(MONTH(D52),[0]!rainforuplandcrop,4)/1000*AB52*1600*7</f>
        <v>0</v>
      </c>
    </row>
    <row r="53" spans="2:36" x14ac:dyDescent="0.15">
      <c r="B53" s="106">
        <f t="shared" si="12"/>
        <v>39935</v>
      </c>
      <c r="C53" s="107">
        <f t="shared" si="13"/>
        <v>39941</v>
      </c>
      <c r="D53" s="99">
        <f t="shared" si="3"/>
        <v>39941</v>
      </c>
      <c r="E53" s="91">
        <v>27</v>
      </c>
      <c r="F53" s="407">
        <f>IF(ISERROR(VLOOKUP(E53,Crop!$AC$3:$AD$70,2,FALSE)),0,VLOOKUP(E53,Crop!$AC$3:$AD$70,2,FALSE))</f>
        <v>0</v>
      </c>
      <c r="G53" s="100">
        <f>IF(ISERROR(HLOOKUP($D$5,Kc!$B$3:$AI$57,upland_rain!F53+3,FALSE)),0,HLOOKUP($D$5,Kc!$B$3:$AI$57,upland_rain!F53+3,FALSE))</f>
        <v>0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16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7"/>
        <v>0</v>
      </c>
      <c r="AF53" s="101">
        <f t="shared" si="8"/>
        <v>0</v>
      </c>
      <c r="AG53" s="101">
        <f t="shared" si="9"/>
        <v>0</v>
      </c>
      <c r="AH53" s="101">
        <f t="shared" si="10"/>
        <v>0</v>
      </c>
      <c r="AI53" s="101">
        <f t="shared" si="11"/>
        <v>0</v>
      </c>
      <c r="AJ53" s="101">
        <f>VLOOKUP(MONTH(D53),[0]!rainforuplandcrop,4)/1000*AB53*1600*7</f>
        <v>0</v>
      </c>
    </row>
    <row r="54" spans="2:36" x14ac:dyDescent="0.15">
      <c r="B54" s="106">
        <f t="shared" si="12"/>
        <v>39942</v>
      </c>
      <c r="C54" s="107">
        <f t="shared" si="13"/>
        <v>39948</v>
      </c>
      <c r="D54" s="99">
        <f t="shared" si="3"/>
        <v>39948</v>
      </c>
      <c r="E54" s="91">
        <v>28</v>
      </c>
      <c r="F54" s="407">
        <f>IF(ISERROR(VLOOKUP(E54,Crop!$AC$3:$AD$70,2,FALSE)),0,VLOOKUP(E54,Crop!$AC$3:$AD$70,2,FALSE))</f>
        <v>0</v>
      </c>
      <c r="G54" s="100">
        <f>IF(ISERROR(HLOOKUP($D$5,Kc!$B$3:$AI$57,upland_rain!F54+3,FALSE)),0,HLOOKUP($D$5,Kc!$B$3:$AI$57,upland_rain!F54+3,FALSE))</f>
        <v>0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16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7"/>
        <v>0</v>
      </c>
      <c r="AF54" s="101">
        <f t="shared" si="8"/>
        <v>0</v>
      </c>
      <c r="AG54" s="101">
        <f t="shared" si="9"/>
        <v>0</v>
      </c>
      <c r="AH54" s="101">
        <f t="shared" si="10"/>
        <v>0</v>
      </c>
      <c r="AI54" s="101">
        <f t="shared" si="11"/>
        <v>0</v>
      </c>
      <c r="AJ54" s="101">
        <f>VLOOKUP(MONTH(D54),[0]!rainforuplandcrop,4)/1000*AB54*1600*7</f>
        <v>0</v>
      </c>
    </row>
    <row r="55" spans="2:36" x14ac:dyDescent="0.15">
      <c r="B55" s="106">
        <f t="shared" si="12"/>
        <v>39949</v>
      </c>
      <c r="C55" s="107">
        <f t="shared" si="13"/>
        <v>39955</v>
      </c>
      <c r="D55" s="99">
        <f t="shared" si="3"/>
        <v>39955</v>
      </c>
      <c r="E55" s="91">
        <v>29</v>
      </c>
      <c r="F55" s="407">
        <f>IF(ISERROR(VLOOKUP(E55,Crop!$AC$3:$AD$70,2,FALSE)),0,VLOOKUP(E55,Crop!$AC$3:$AD$70,2,FALSE))</f>
        <v>0</v>
      </c>
      <c r="G55" s="100">
        <f>IF(ISERROR(HLOOKUP($D$5,Kc!$B$3:$AI$57,upland_rain!F55+3,FALSE)),0,HLOOKUP($D$5,Kc!$B$3:$AI$57,upland_rain!F55+3,FALSE))</f>
        <v>0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16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7"/>
        <v>0</v>
      </c>
      <c r="AF55" s="101">
        <f t="shared" si="8"/>
        <v>0</v>
      </c>
      <c r="AG55" s="101">
        <f t="shared" si="9"/>
        <v>0</v>
      </c>
      <c r="AH55" s="101">
        <f t="shared" si="10"/>
        <v>0</v>
      </c>
      <c r="AI55" s="101">
        <f t="shared" si="11"/>
        <v>0</v>
      </c>
      <c r="AJ55" s="101">
        <f>VLOOKUP(MONTH(D55),[0]!rainforuplandcrop,4)/1000*AB55*1600*7</f>
        <v>0</v>
      </c>
    </row>
    <row r="56" spans="2:36" x14ac:dyDescent="0.15">
      <c r="B56" s="106">
        <f t="shared" si="12"/>
        <v>39956</v>
      </c>
      <c r="C56" s="107">
        <f t="shared" si="13"/>
        <v>39962</v>
      </c>
      <c r="D56" s="99">
        <f t="shared" si="3"/>
        <v>39962</v>
      </c>
      <c r="E56" s="91">
        <v>30</v>
      </c>
      <c r="F56" s="407">
        <f>IF(ISERROR(VLOOKUP(E56,Crop!$AC$3:$AD$70,2,FALSE)),0,VLOOKUP(E56,Crop!$AC$3:$AD$70,2,FALSE))</f>
        <v>0</v>
      </c>
      <c r="G56" s="100">
        <f>IF(ISERROR(HLOOKUP($D$5,Kc!$B$3:$AI$57,upland_rain!F56+3,FALSE)),0,HLOOKUP($D$5,Kc!$B$3:$AI$57,upland_rain!F56+3,FALSE))</f>
        <v>0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16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7"/>
        <v>0</v>
      </c>
      <c r="AF56" s="101">
        <f t="shared" si="8"/>
        <v>0</v>
      </c>
      <c r="AG56" s="101">
        <f t="shared" si="9"/>
        <v>0</v>
      </c>
      <c r="AH56" s="101">
        <f t="shared" si="10"/>
        <v>0</v>
      </c>
      <c r="AI56" s="101">
        <f t="shared" si="11"/>
        <v>0</v>
      </c>
      <c r="AJ56" s="101">
        <f>VLOOKUP(MONTH(D56),[0]!rainforuplandcrop,4)/1000*AB56*1600*7</f>
        <v>0</v>
      </c>
    </row>
    <row r="57" spans="2:36" x14ac:dyDescent="0.15">
      <c r="B57" s="106">
        <f t="shared" si="12"/>
        <v>39963</v>
      </c>
      <c r="C57" s="107">
        <f t="shared" si="13"/>
        <v>39969</v>
      </c>
      <c r="D57" s="99">
        <f t="shared" si="3"/>
        <v>39969</v>
      </c>
      <c r="E57" s="91">
        <v>31</v>
      </c>
      <c r="F57" s="407">
        <f>IF(ISERROR(VLOOKUP(E57,Crop!$AC$3:$AD$70,2,FALSE)),0,VLOOKUP(E57,Crop!$AC$3:$AD$70,2,FALSE))</f>
        <v>0</v>
      </c>
      <c r="G57" s="100">
        <f>IF(ISERROR(HLOOKUP($D$5,Kc!$B$3:$AI$57,upland_rain!F57+3,FALSE)),0,HLOOKUP($D$5,Kc!$B$3:$AI$57,upland_rain!F57+3,FALSE))</f>
        <v>0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16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7"/>
        <v>0</v>
      </c>
      <c r="AF57" s="101">
        <f t="shared" si="8"/>
        <v>0</v>
      </c>
      <c r="AG57" s="101">
        <f t="shared" si="9"/>
        <v>0</v>
      </c>
      <c r="AH57" s="101">
        <f t="shared" si="10"/>
        <v>0</v>
      </c>
      <c r="AI57" s="101">
        <f t="shared" si="11"/>
        <v>0</v>
      </c>
      <c r="AJ57" s="101">
        <f>VLOOKUP(MONTH(D57),[0]!rainforuplandcrop,4)/1000*AB57*1600*7</f>
        <v>0</v>
      </c>
    </row>
    <row r="58" spans="2:36" x14ac:dyDescent="0.15">
      <c r="B58" s="106">
        <f t="shared" si="12"/>
        <v>39970</v>
      </c>
      <c r="C58" s="107">
        <f t="shared" si="13"/>
        <v>39976</v>
      </c>
      <c r="D58" s="99">
        <f t="shared" si="3"/>
        <v>39976</v>
      </c>
      <c r="E58" s="91">
        <v>32</v>
      </c>
      <c r="F58" s="407">
        <f>IF(ISERROR(VLOOKUP(E58,Crop!$AC$3:$AD$70,2,FALSE)),0,VLOOKUP(E58,Crop!$AC$3:$AD$70,2,FALSE))</f>
        <v>0</v>
      </c>
      <c r="G58" s="100">
        <f>IF(ISERROR(HLOOKUP($D$5,Kc!$B$3:$AI$57,upland_rain!F58+3,FALSE)),0,HLOOKUP($D$5,Kc!$B$3:$AI$57,upland_rain!F58+3,FALSE))</f>
        <v>0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16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7"/>
        <v>0</v>
      </c>
      <c r="AF58" s="101">
        <f t="shared" si="8"/>
        <v>0</v>
      </c>
      <c r="AG58" s="101">
        <f t="shared" si="9"/>
        <v>0</v>
      </c>
      <c r="AH58" s="101">
        <f t="shared" si="10"/>
        <v>0</v>
      </c>
      <c r="AI58" s="101">
        <f t="shared" si="11"/>
        <v>0</v>
      </c>
      <c r="AJ58" s="101">
        <f>VLOOKUP(MONTH(D58),[0]!rainforuplandcrop,4)/1000*AB58*1600*7</f>
        <v>0</v>
      </c>
    </row>
    <row r="59" spans="2:36" x14ac:dyDescent="0.15">
      <c r="B59" s="106">
        <f t="shared" si="12"/>
        <v>39977</v>
      </c>
      <c r="C59" s="107">
        <f t="shared" si="13"/>
        <v>39983</v>
      </c>
      <c r="D59" s="99">
        <f t="shared" ref="D59:D78" si="27">+C59</f>
        <v>39983</v>
      </c>
      <c r="E59" s="91">
        <v>33</v>
      </c>
      <c r="F59" s="407">
        <f>IF(ISERROR(VLOOKUP(E59,Crop!$AC$3:$AD$70,2,FALSE)),0,VLOOKUP(E59,Crop!$AC$3:$AD$70,2,FALSE))</f>
        <v>0</v>
      </c>
      <c r="G59" s="100">
        <f>IF(ISERROR(HLOOKUP($D$5,Kc!$B$3:$AI$57,upland_rain!F59+3,FALSE)),0,HLOOKUP($D$5,Kc!$B$3:$AI$57,upland_rain!F59+3,FALSE))</f>
        <v>0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16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ref="AE59:AE78" si="28">IF(AC59*AD59=0,0,(AC59*AD59)+$E$10)</f>
        <v>0</v>
      </c>
      <c r="AF59" s="101">
        <f t="shared" ref="AF59:AF78" si="29">AE59*AB59*1.6</f>
        <v>0</v>
      </c>
      <c r="AG59" s="101">
        <f t="shared" ref="AG59:AG78" si="30">IF(ISERROR(INDEX(H59:L59,1,F59)),0,INDEX(H59:L59,1,F59))</f>
        <v>0</v>
      </c>
      <c r="AH59" s="101">
        <f t="shared" ref="AH59:AH78" si="31">AG59*$E$11*1.6</f>
        <v>0</v>
      </c>
      <c r="AI59" s="101">
        <f t="shared" ref="AI59:AI78" si="32">AF59+AH59</f>
        <v>0</v>
      </c>
      <c r="AJ59" s="101">
        <f>VLOOKUP(MONTH(D59),[0]!rainforuplandcrop,4)/1000*AB59*1600*7</f>
        <v>0</v>
      </c>
    </row>
    <row r="60" spans="2:36" x14ac:dyDescent="0.15">
      <c r="B60" s="106">
        <f t="shared" ref="B60:B78" si="33">C59+1</f>
        <v>39984</v>
      </c>
      <c r="C60" s="107">
        <f t="shared" ref="C60:C78" si="34">B60+6</f>
        <v>39990</v>
      </c>
      <c r="D60" s="99">
        <f t="shared" si="27"/>
        <v>39990</v>
      </c>
      <c r="E60" s="91">
        <v>34</v>
      </c>
      <c r="F60" s="407">
        <f>IF(ISERROR(VLOOKUP(E60,Crop!$AC$3:$AD$70,2,FALSE)),0,VLOOKUP(E60,Crop!$AC$3:$AD$70,2,FALSE))</f>
        <v>0</v>
      </c>
      <c r="G60" s="100">
        <f>IF(ISERROR(HLOOKUP($D$5,Kc!$B$3:$AI$57,upland_rain!F60+3,FALSE)),0,HLOOKUP($D$5,Kc!$B$3:$AI$57,upland_rain!F60+3,FALSE))</f>
        <v>0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16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28"/>
        <v>0</v>
      </c>
      <c r="AF60" s="101">
        <f t="shared" si="29"/>
        <v>0</v>
      </c>
      <c r="AG60" s="101">
        <f t="shared" si="30"/>
        <v>0</v>
      </c>
      <c r="AH60" s="101">
        <f t="shared" si="31"/>
        <v>0</v>
      </c>
      <c r="AI60" s="101">
        <f t="shared" si="32"/>
        <v>0</v>
      </c>
      <c r="AJ60" s="101">
        <f>VLOOKUP(MONTH(D60),[0]!rainforuplandcrop,4)/1000*AB60*1600*7</f>
        <v>0</v>
      </c>
    </row>
    <row r="61" spans="2:36" x14ac:dyDescent="0.15">
      <c r="B61" s="106">
        <f t="shared" si="33"/>
        <v>39991</v>
      </c>
      <c r="C61" s="107">
        <f t="shared" si="34"/>
        <v>39997</v>
      </c>
      <c r="D61" s="99">
        <f t="shared" si="27"/>
        <v>39997</v>
      </c>
      <c r="E61" s="91">
        <v>35</v>
      </c>
      <c r="F61" s="407">
        <f>IF(ISERROR(VLOOKUP(E61,Crop!$AC$3:$AD$70,2,FALSE)),0,VLOOKUP(E61,Crop!$AC$3:$AD$70,2,FALSE))</f>
        <v>0</v>
      </c>
      <c r="G61" s="100">
        <f>IF(ISERROR(HLOOKUP($D$5,Kc!$B$3:$AI$57,upland_rain!F61+3,FALSE)),0,HLOOKUP($D$5,Kc!$B$3:$AI$57,upland_rain!F61+3,FALSE))</f>
        <v>0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16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28"/>
        <v>0</v>
      </c>
      <c r="AF61" s="101">
        <f t="shared" si="29"/>
        <v>0</v>
      </c>
      <c r="AG61" s="101">
        <f t="shared" si="30"/>
        <v>0</v>
      </c>
      <c r="AH61" s="101">
        <f t="shared" si="31"/>
        <v>0</v>
      </c>
      <c r="AI61" s="101">
        <f t="shared" si="32"/>
        <v>0</v>
      </c>
      <c r="AJ61" s="101">
        <f>VLOOKUP(MONTH(D61),[0]!rainforuplandcrop,4)/1000*AB61*1600*7</f>
        <v>0</v>
      </c>
    </row>
    <row r="62" spans="2:36" x14ac:dyDescent="0.15">
      <c r="B62" s="106">
        <f t="shared" si="33"/>
        <v>39998</v>
      </c>
      <c r="C62" s="107">
        <f t="shared" si="34"/>
        <v>40004</v>
      </c>
      <c r="D62" s="99">
        <f t="shared" si="27"/>
        <v>40004</v>
      </c>
      <c r="E62" s="91">
        <v>36</v>
      </c>
      <c r="F62" s="407">
        <f>IF(ISERROR(VLOOKUP(E62,Crop!$AC$3:$AD$70,2,FALSE)),0,VLOOKUP(E62,Crop!$AC$3:$AD$70,2,FALSE))</f>
        <v>1</v>
      </c>
      <c r="G62" s="100">
        <f>IF(ISERROR(HLOOKUP($D$5,Kc!$B$3:$AI$57,upland_rain!F62+3,FALSE)),0,HLOOKUP($D$5,Kc!$B$3:$AI$57,upland_rain!F62+3,FALSE))</f>
        <v>0.65</v>
      </c>
      <c r="H62" s="112">
        <f t="shared" si="17"/>
        <v>5</v>
      </c>
      <c r="I62" s="113">
        <f t="shared" si="18"/>
        <v>0</v>
      </c>
      <c r="J62" s="113">
        <f t="shared" si="19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 t="shared" si="16"/>
        <v>5</v>
      </c>
      <c r="AC62" s="405">
        <f t="shared" si="24"/>
        <v>0.65</v>
      </c>
      <c r="AD62" s="100">
        <f>VLOOKUP($D$7,ETo!$B$4:$P$88,MONTH(D62)+2,FALSE)/4</f>
        <v>33.131638852547908</v>
      </c>
      <c r="AE62" s="100">
        <f t="shared" si="28"/>
        <v>35.53556525415614</v>
      </c>
      <c r="AF62" s="101">
        <f t="shared" si="29"/>
        <v>284.28452203324917</v>
      </c>
      <c r="AG62" s="101">
        <f t="shared" si="30"/>
        <v>5</v>
      </c>
      <c r="AH62" s="101">
        <f t="shared" si="31"/>
        <v>0</v>
      </c>
      <c r="AI62" s="101">
        <f t="shared" si="32"/>
        <v>284.28452203324917</v>
      </c>
      <c r="AJ62" s="101">
        <f>VLOOKUP(MONTH(D62),[0]!rainforuplandcrop,4)/1000*AB62*1600*7</f>
        <v>134.58064516129033</v>
      </c>
    </row>
    <row r="63" spans="2:36" x14ac:dyDescent="0.15">
      <c r="B63" s="106">
        <f t="shared" si="33"/>
        <v>40005</v>
      </c>
      <c r="C63" s="107">
        <f t="shared" si="34"/>
        <v>40011</v>
      </c>
      <c r="D63" s="99">
        <f t="shared" si="27"/>
        <v>40011</v>
      </c>
      <c r="E63" s="91">
        <v>37</v>
      </c>
      <c r="F63" s="407">
        <f>IF(ISERROR(VLOOKUP(E63,Crop!$AC$3:$AD$70,2,FALSE)),0,VLOOKUP(E63,Crop!$AC$3:$AD$70,2,FALSE))</f>
        <v>2</v>
      </c>
      <c r="G63" s="100">
        <f>IF(ISERROR(HLOOKUP($D$5,Kc!$B$3:$AI$57,upland_rain!F63+3,FALSE)),0,HLOOKUP($D$5,Kc!$B$3:$AI$57,upland_rain!F63+3,FALSE))</f>
        <v>0.65</v>
      </c>
      <c r="H63" s="112">
        <f t="shared" si="17"/>
        <v>5</v>
      </c>
      <c r="I63" s="113">
        <f t="shared" si="18"/>
        <v>62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16"/>
        <v>67</v>
      </c>
      <c r="AC63" s="405">
        <f t="shared" si="24"/>
        <v>0.65</v>
      </c>
      <c r="AD63" s="100">
        <f>VLOOKUP($D$7,ETo!$B$4:$P$88,MONTH(D63)+2,FALSE)/4</f>
        <v>33.131638852547908</v>
      </c>
      <c r="AE63" s="100">
        <f t="shared" si="28"/>
        <v>35.53556525415614</v>
      </c>
      <c r="AF63" s="101">
        <f t="shared" si="29"/>
        <v>3809.4125952455383</v>
      </c>
      <c r="AG63" s="101">
        <f t="shared" si="30"/>
        <v>62</v>
      </c>
      <c r="AH63" s="101">
        <f t="shared" si="31"/>
        <v>0</v>
      </c>
      <c r="AI63" s="101">
        <f t="shared" si="32"/>
        <v>3809.4125952455383</v>
      </c>
      <c r="AJ63" s="101">
        <f>VLOOKUP(MONTH(D63),[0]!rainforuplandcrop,4)/1000*AB63*1600*7</f>
        <v>1803.3806451612904</v>
      </c>
    </row>
    <row r="64" spans="2:36" x14ac:dyDescent="0.15">
      <c r="B64" s="106">
        <f t="shared" si="33"/>
        <v>40012</v>
      </c>
      <c r="C64" s="107">
        <f t="shared" si="34"/>
        <v>40018</v>
      </c>
      <c r="D64" s="99">
        <f t="shared" si="27"/>
        <v>40018</v>
      </c>
      <c r="E64" s="91">
        <v>38</v>
      </c>
      <c r="F64" s="407">
        <f>IF(ISERROR(VLOOKUP(E64,Crop!$AC$3:$AD$70,2,FALSE)),0,VLOOKUP(E64,Crop!$AC$3:$AD$70,2,FALSE))</f>
        <v>3</v>
      </c>
      <c r="G64" s="100">
        <f>IF(ISERROR(HLOOKUP($D$5,Kc!$B$3:$AI$57,upland_rain!F64+3,FALSE)),0,HLOOKUP($D$5,Kc!$B$3:$AI$57,upland_rain!F64+3,FALSE))</f>
        <v>0.65</v>
      </c>
      <c r="H64" s="112">
        <f t="shared" si="17"/>
        <v>5</v>
      </c>
      <c r="I64" s="113">
        <f t="shared" si="18"/>
        <v>62</v>
      </c>
      <c r="J64" s="113">
        <f t="shared" si="19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16"/>
        <v>67</v>
      </c>
      <c r="AC64" s="405">
        <f t="shared" si="24"/>
        <v>0.65</v>
      </c>
      <c r="AD64" s="100">
        <f>VLOOKUP($D$7,ETo!$B$4:$P$88,MONTH(D64)+2,FALSE)/4</f>
        <v>33.131638852547908</v>
      </c>
      <c r="AE64" s="100">
        <f t="shared" si="28"/>
        <v>35.53556525415614</v>
      </c>
      <c r="AF64" s="101">
        <f t="shared" si="29"/>
        <v>3809.4125952455383</v>
      </c>
      <c r="AG64" s="101">
        <f t="shared" si="30"/>
        <v>0</v>
      </c>
      <c r="AH64" s="101">
        <f t="shared" si="31"/>
        <v>0</v>
      </c>
      <c r="AI64" s="101">
        <f t="shared" si="32"/>
        <v>3809.4125952455383</v>
      </c>
      <c r="AJ64" s="101">
        <f>VLOOKUP(MONTH(D64),[0]!rainforuplandcrop,4)/1000*AB64*1600*7</f>
        <v>1803.3806451612904</v>
      </c>
    </row>
    <row r="65" spans="2:36" x14ac:dyDescent="0.15">
      <c r="B65" s="106">
        <f t="shared" si="33"/>
        <v>40019</v>
      </c>
      <c r="C65" s="107">
        <f t="shared" si="34"/>
        <v>40025</v>
      </c>
      <c r="D65" s="99">
        <f t="shared" si="27"/>
        <v>40025</v>
      </c>
      <c r="E65" s="91">
        <v>39</v>
      </c>
      <c r="F65" s="407">
        <f>IF(ISERROR(VLOOKUP(E65,Crop!$AC$3:$AD$70,2,FALSE)),0,VLOOKUP(E65,Crop!$AC$3:$AD$70,2,FALSE))</f>
        <v>4</v>
      </c>
      <c r="G65" s="100">
        <f>IF(ISERROR(HLOOKUP($D$5,Kc!$B$3:$AI$57,upland_rain!F65+3,FALSE)),0,HLOOKUP($D$5,Kc!$B$3:$AI$57,upland_rain!F65+3,FALSE))</f>
        <v>0.65</v>
      </c>
      <c r="H65" s="112">
        <f t="shared" si="17"/>
        <v>5</v>
      </c>
      <c r="I65" s="113">
        <f t="shared" si="18"/>
        <v>62</v>
      </c>
      <c r="J65" s="113">
        <f t="shared" si="19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16"/>
        <v>67</v>
      </c>
      <c r="AC65" s="405">
        <f t="shared" si="24"/>
        <v>0.65</v>
      </c>
      <c r="AD65" s="100">
        <f>VLOOKUP($D$7,ETo!$B$4:$P$88,MONTH(D65)+2,FALSE)/4</f>
        <v>33.131638852547908</v>
      </c>
      <c r="AE65" s="100">
        <f t="shared" si="28"/>
        <v>35.53556525415614</v>
      </c>
      <c r="AF65" s="101">
        <f t="shared" si="29"/>
        <v>3809.4125952455383</v>
      </c>
      <c r="AG65" s="101">
        <f t="shared" si="30"/>
        <v>0</v>
      </c>
      <c r="AH65" s="101">
        <f t="shared" si="31"/>
        <v>0</v>
      </c>
      <c r="AI65" s="101">
        <f t="shared" si="32"/>
        <v>3809.4125952455383</v>
      </c>
      <c r="AJ65" s="101">
        <f>VLOOKUP(MONTH(D65),[0]!rainforuplandcrop,4)/1000*AB65*1600*7</f>
        <v>1803.3806451612904</v>
      </c>
    </row>
    <row r="66" spans="2:36" x14ac:dyDescent="0.15">
      <c r="B66" s="106">
        <f t="shared" si="33"/>
        <v>40026</v>
      </c>
      <c r="C66" s="107">
        <f t="shared" si="34"/>
        <v>40032</v>
      </c>
      <c r="D66" s="99">
        <f t="shared" si="27"/>
        <v>40032</v>
      </c>
      <c r="E66" s="91">
        <v>40</v>
      </c>
      <c r="F66" s="407">
        <f>IF(ISERROR(VLOOKUP(E66,Crop!$AC$3:$AD$70,2,FALSE)),0,VLOOKUP(E66,Crop!$AC$3:$AD$70,2,FALSE))</f>
        <v>5</v>
      </c>
      <c r="G66" s="100">
        <f>IF(ISERROR(HLOOKUP($D$5,Kc!$B$3:$AI$57,upland_rain!F66+3,FALSE)),0,HLOOKUP($D$5,Kc!$B$3:$AI$57,upland_rain!F66+3,FALSE))</f>
        <v>0.65</v>
      </c>
      <c r="H66" s="112">
        <f t="shared" si="17"/>
        <v>5</v>
      </c>
      <c r="I66" s="113">
        <f t="shared" si="18"/>
        <v>62</v>
      </c>
      <c r="J66" s="113">
        <f t="shared" si="19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16"/>
        <v>67</v>
      </c>
      <c r="AC66" s="405">
        <f t="shared" si="24"/>
        <v>0.65</v>
      </c>
      <c r="AD66" s="100">
        <f>VLOOKUP($D$7,ETo!$B$4:$P$88,MONTH(D66)+2,FALSE)/4</f>
        <v>31.040695886359554</v>
      </c>
      <c r="AE66" s="100">
        <f t="shared" si="28"/>
        <v>34.176452326133713</v>
      </c>
      <c r="AF66" s="101">
        <f t="shared" si="29"/>
        <v>3663.7156893615343</v>
      </c>
      <c r="AG66" s="101">
        <f t="shared" si="30"/>
        <v>0</v>
      </c>
      <c r="AH66" s="101">
        <f t="shared" si="31"/>
        <v>0</v>
      </c>
      <c r="AI66" s="101">
        <f t="shared" si="32"/>
        <v>3663.7156893615343</v>
      </c>
      <c r="AJ66" s="101">
        <f>VLOOKUP(MONTH(D66),[0]!rainforuplandcrop,4)/1000*AB66*1600*7</f>
        <v>2161.6361290322579</v>
      </c>
    </row>
    <row r="67" spans="2:36" x14ac:dyDescent="0.15">
      <c r="B67" s="106">
        <f t="shared" si="33"/>
        <v>40033</v>
      </c>
      <c r="C67" s="107">
        <f t="shared" si="34"/>
        <v>40039</v>
      </c>
      <c r="D67" s="99">
        <f t="shared" si="27"/>
        <v>40039</v>
      </c>
      <c r="E67" s="91">
        <v>41</v>
      </c>
      <c r="F67" s="407">
        <f>IF(ISERROR(VLOOKUP(E67,Crop!$AC$3:$AD$70,2,FALSE)),0,VLOOKUP(E67,Crop!$AC$3:$AD$70,2,FALSE))</f>
        <v>6</v>
      </c>
      <c r="G67" s="100">
        <f>IF(ISERROR(HLOOKUP($D$5,Kc!$B$3:$AI$57,upland_rain!F67+3,FALSE)),0,HLOOKUP($D$5,Kc!$B$3:$AI$57,upland_rain!F67+3,FALSE))</f>
        <v>0.86</v>
      </c>
      <c r="H67" s="112">
        <f t="shared" si="17"/>
        <v>5</v>
      </c>
      <c r="I67" s="113">
        <f t="shared" si="18"/>
        <v>62</v>
      </c>
      <c r="J67" s="113">
        <f t="shared" si="19"/>
        <v>0</v>
      </c>
      <c r="K67" s="113">
        <f t="shared" ref="K67:T78" si="35">IF(J66&gt;0,IF(K$26&gt;$E$9,0,VLOOKUP(K$26,$F$3:$G$23,2,FALSE)),0)</f>
        <v>0</v>
      </c>
      <c r="L67" s="113">
        <f t="shared" si="35"/>
        <v>0</v>
      </c>
      <c r="M67" s="113">
        <f t="shared" si="35"/>
        <v>0</v>
      </c>
      <c r="N67" s="113">
        <f t="shared" si="35"/>
        <v>0</v>
      </c>
      <c r="O67" s="113">
        <f t="shared" si="35"/>
        <v>0</v>
      </c>
      <c r="P67" s="113">
        <f t="shared" si="35"/>
        <v>0</v>
      </c>
      <c r="Q67" s="113">
        <f t="shared" si="35"/>
        <v>0</v>
      </c>
      <c r="R67" s="113">
        <f t="shared" si="35"/>
        <v>0</v>
      </c>
      <c r="S67" s="113">
        <f t="shared" si="35"/>
        <v>0</v>
      </c>
      <c r="T67" s="113">
        <f t="shared" si="35"/>
        <v>0</v>
      </c>
      <c r="U67" s="113">
        <f t="shared" ref="U67:AA78" si="36">IF(T66&gt;0,IF(U$26&gt;$E$9,0,VLOOKUP(U$26,$F$3:$G$23,2,FALSE)),0)</f>
        <v>0</v>
      </c>
      <c r="V67" s="113">
        <f t="shared" si="36"/>
        <v>0</v>
      </c>
      <c r="W67" s="113">
        <f t="shared" si="36"/>
        <v>0</v>
      </c>
      <c r="X67" s="113">
        <f t="shared" si="36"/>
        <v>0</v>
      </c>
      <c r="Y67" s="113">
        <f t="shared" si="36"/>
        <v>0</v>
      </c>
      <c r="Z67" s="113">
        <f t="shared" si="36"/>
        <v>0</v>
      </c>
      <c r="AA67" s="113">
        <f t="shared" si="36"/>
        <v>0</v>
      </c>
      <c r="AB67" s="117">
        <f t="shared" si="16"/>
        <v>67</v>
      </c>
      <c r="AC67" s="405">
        <f t="shared" si="24"/>
        <v>0.66567164179104477</v>
      </c>
      <c r="AD67" s="100">
        <f>VLOOKUP($D$7,ETo!$B$4:$P$88,MONTH(D67)+2,FALSE)/4</f>
        <v>31.040695886359554</v>
      </c>
      <c r="AE67" s="100">
        <f t="shared" si="28"/>
        <v>34.66291099300949</v>
      </c>
      <c r="AF67" s="101">
        <f t="shared" si="29"/>
        <v>3715.8640584506174</v>
      </c>
      <c r="AG67" s="101">
        <f t="shared" si="30"/>
        <v>0</v>
      </c>
      <c r="AH67" s="101">
        <f t="shared" si="31"/>
        <v>0</v>
      </c>
      <c r="AI67" s="101">
        <f t="shared" si="32"/>
        <v>3715.8640584506174</v>
      </c>
      <c r="AJ67" s="101">
        <f>VLOOKUP(MONTH(D67),[0]!rainforuplandcrop,4)/1000*AB67*1600*7</f>
        <v>2161.6361290322579</v>
      </c>
    </row>
    <row r="68" spans="2:36" x14ac:dyDescent="0.15">
      <c r="B68" s="106">
        <f t="shared" si="33"/>
        <v>40040</v>
      </c>
      <c r="C68" s="107">
        <f t="shared" si="34"/>
        <v>40046</v>
      </c>
      <c r="D68" s="99">
        <f t="shared" si="27"/>
        <v>40046</v>
      </c>
      <c r="E68" s="91">
        <v>42</v>
      </c>
      <c r="F68" s="407">
        <f>IF(ISERROR(VLOOKUP(E68,Crop!$AC$3:$AD$70,2,FALSE)),0,VLOOKUP(E68,Crop!$AC$3:$AD$70,2,FALSE))</f>
        <v>7</v>
      </c>
      <c r="G68" s="100">
        <f>IF(ISERROR(HLOOKUP($D$5,Kc!$B$3:$AI$57,upland_rain!F68+3,FALSE)),0,HLOOKUP($D$5,Kc!$B$3:$AI$57,upland_rain!F68+3,FALSE))</f>
        <v>0.86</v>
      </c>
      <c r="H68" s="112">
        <f t="shared" si="17"/>
        <v>5</v>
      </c>
      <c r="I68" s="113">
        <f t="shared" si="18"/>
        <v>62</v>
      </c>
      <c r="J68" s="113">
        <f t="shared" si="19"/>
        <v>0</v>
      </c>
      <c r="K68" s="113">
        <f t="shared" si="35"/>
        <v>0</v>
      </c>
      <c r="L68" s="113">
        <f t="shared" si="35"/>
        <v>0</v>
      </c>
      <c r="M68" s="113">
        <f t="shared" si="35"/>
        <v>0</v>
      </c>
      <c r="N68" s="113">
        <f t="shared" si="35"/>
        <v>0</v>
      </c>
      <c r="O68" s="113">
        <f t="shared" si="35"/>
        <v>0</v>
      </c>
      <c r="P68" s="113">
        <f t="shared" si="35"/>
        <v>0</v>
      </c>
      <c r="Q68" s="113">
        <f t="shared" si="35"/>
        <v>0</v>
      </c>
      <c r="R68" s="113">
        <f t="shared" si="35"/>
        <v>0</v>
      </c>
      <c r="S68" s="113">
        <f t="shared" si="35"/>
        <v>0</v>
      </c>
      <c r="T68" s="113">
        <f t="shared" si="35"/>
        <v>0</v>
      </c>
      <c r="U68" s="113">
        <f t="shared" si="36"/>
        <v>0</v>
      </c>
      <c r="V68" s="113">
        <f t="shared" si="36"/>
        <v>0</v>
      </c>
      <c r="W68" s="113">
        <f t="shared" si="36"/>
        <v>0</v>
      </c>
      <c r="X68" s="113">
        <f t="shared" si="36"/>
        <v>0</v>
      </c>
      <c r="Y68" s="113">
        <f t="shared" si="36"/>
        <v>0</v>
      </c>
      <c r="Z68" s="113">
        <f t="shared" si="36"/>
        <v>0</v>
      </c>
      <c r="AA68" s="113">
        <f t="shared" si="36"/>
        <v>0</v>
      </c>
      <c r="AB68" s="117">
        <f t="shared" si="16"/>
        <v>67</v>
      </c>
      <c r="AC68" s="405">
        <f t="shared" si="24"/>
        <v>0.86</v>
      </c>
      <c r="AD68" s="100">
        <f>VLOOKUP($D$7,ETo!$B$4:$P$88,MONTH(D68)+2,FALSE)/4</f>
        <v>31.040695886359554</v>
      </c>
      <c r="AE68" s="100">
        <f t="shared" si="28"/>
        <v>40.694998462269211</v>
      </c>
      <c r="AF68" s="101">
        <f t="shared" si="29"/>
        <v>4362.5038351552603</v>
      </c>
      <c r="AG68" s="101">
        <f t="shared" si="30"/>
        <v>0</v>
      </c>
      <c r="AH68" s="101">
        <f t="shared" si="31"/>
        <v>0</v>
      </c>
      <c r="AI68" s="101">
        <f t="shared" si="32"/>
        <v>4362.5038351552603</v>
      </c>
      <c r="AJ68" s="101">
        <f>VLOOKUP(MONTH(D68),[0]!rainforuplandcrop,4)/1000*AB68*1600*7</f>
        <v>2161.6361290322579</v>
      </c>
    </row>
    <row r="69" spans="2:36" x14ac:dyDescent="0.15">
      <c r="B69" s="106">
        <f t="shared" si="33"/>
        <v>40047</v>
      </c>
      <c r="C69" s="107">
        <f t="shared" si="34"/>
        <v>40053</v>
      </c>
      <c r="D69" s="99">
        <f t="shared" si="27"/>
        <v>40053</v>
      </c>
      <c r="E69" s="91">
        <v>43</v>
      </c>
      <c r="F69" s="407">
        <f>IF(ISERROR(VLOOKUP(E69,Crop!$AC$3:$AD$70,2,FALSE)),0,VLOOKUP(E69,Crop!$AC$3:$AD$70,2,FALSE))</f>
        <v>8</v>
      </c>
      <c r="G69" s="100">
        <f>IF(ISERROR(HLOOKUP($D$5,Kc!$B$3:$AI$57,upland_rain!F69+3,FALSE)),0,HLOOKUP($D$5,Kc!$B$3:$AI$57,upland_rain!F69+3,FALSE))</f>
        <v>0.86</v>
      </c>
      <c r="H69" s="112">
        <f t="shared" si="17"/>
        <v>5</v>
      </c>
      <c r="I69" s="113">
        <f t="shared" si="18"/>
        <v>62</v>
      </c>
      <c r="J69" s="113">
        <f t="shared" si="19"/>
        <v>0</v>
      </c>
      <c r="K69" s="113">
        <f t="shared" si="35"/>
        <v>0</v>
      </c>
      <c r="L69" s="113">
        <f t="shared" si="35"/>
        <v>0</v>
      </c>
      <c r="M69" s="113">
        <f t="shared" si="35"/>
        <v>0</v>
      </c>
      <c r="N69" s="113">
        <f t="shared" si="35"/>
        <v>0</v>
      </c>
      <c r="O69" s="113">
        <f t="shared" si="35"/>
        <v>0</v>
      </c>
      <c r="P69" s="113">
        <f t="shared" si="35"/>
        <v>0</v>
      </c>
      <c r="Q69" s="113">
        <f t="shared" si="35"/>
        <v>0</v>
      </c>
      <c r="R69" s="113">
        <f t="shared" si="35"/>
        <v>0</v>
      </c>
      <c r="S69" s="113">
        <f t="shared" si="35"/>
        <v>0</v>
      </c>
      <c r="T69" s="113">
        <f t="shared" si="35"/>
        <v>0</v>
      </c>
      <c r="U69" s="113">
        <f t="shared" si="36"/>
        <v>0</v>
      </c>
      <c r="V69" s="113">
        <f t="shared" si="36"/>
        <v>0</v>
      </c>
      <c r="W69" s="113">
        <f t="shared" si="36"/>
        <v>0</v>
      </c>
      <c r="X69" s="113">
        <f t="shared" si="36"/>
        <v>0</v>
      </c>
      <c r="Y69" s="113">
        <f t="shared" si="36"/>
        <v>0</v>
      </c>
      <c r="Z69" s="113">
        <f t="shared" si="36"/>
        <v>0</v>
      </c>
      <c r="AA69" s="113">
        <f t="shared" si="36"/>
        <v>0</v>
      </c>
      <c r="AB69" s="117">
        <f t="shared" si="16"/>
        <v>67</v>
      </c>
      <c r="AC69" s="405">
        <f t="shared" si="24"/>
        <v>0.86</v>
      </c>
      <c r="AD69" s="100">
        <f>VLOOKUP($D$7,ETo!$B$4:$P$88,MONTH(D69)+2,FALSE)/4</f>
        <v>31.040695886359554</v>
      </c>
      <c r="AE69" s="100">
        <f t="shared" si="28"/>
        <v>40.694998462269211</v>
      </c>
      <c r="AF69" s="101">
        <f t="shared" si="29"/>
        <v>4362.5038351552603</v>
      </c>
      <c r="AG69" s="101">
        <f t="shared" si="30"/>
        <v>0</v>
      </c>
      <c r="AH69" s="101">
        <f t="shared" si="31"/>
        <v>0</v>
      </c>
      <c r="AI69" s="101">
        <f t="shared" si="32"/>
        <v>4362.5038351552603</v>
      </c>
      <c r="AJ69" s="101">
        <f>VLOOKUP(MONTH(D69),[0]!rainforuplandcrop,4)/1000*AB69*1600*7</f>
        <v>2161.6361290322579</v>
      </c>
    </row>
    <row r="70" spans="2:36" x14ac:dyDescent="0.15">
      <c r="B70" s="106">
        <f t="shared" si="33"/>
        <v>40054</v>
      </c>
      <c r="C70" s="107">
        <f t="shared" si="34"/>
        <v>40060</v>
      </c>
      <c r="D70" s="99">
        <f t="shared" si="27"/>
        <v>40060</v>
      </c>
      <c r="E70" s="91">
        <v>44</v>
      </c>
      <c r="F70" s="407">
        <f>IF(ISERROR(VLOOKUP(E70,Crop!$AC$3:$AD$70,2,FALSE)),0,VLOOKUP(E70,Crop!$AC$3:$AD$70,2,FALSE))</f>
        <v>9</v>
      </c>
      <c r="G70" s="100">
        <f>IF(ISERROR(HLOOKUP($D$5,Kc!$B$3:$AI$57,upland_rain!F70+3,FALSE)),0,HLOOKUP($D$5,Kc!$B$3:$AI$57,upland_rain!F70+3,FALSE))</f>
        <v>0.86</v>
      </c>
      <c r="H70" s="112">
        <f t="shared" si="17"/>
        <v>5</v>
      </c>
      <c r="I70" s="113">
        <f t="shared" si="18"/>
        <v>62</v>
      </c>
      <c r="J70" s="113">
        <f t="shared" si="19"/>
        <v>0</v>
      </c>
      <c r="K70" s="113">
        <f t="shared" si="35"/>
        <v>0</v>
      </c>
      <c r="L70" s="113">
        <f t="shared" si="35"/>
        <v>0</v>
      </c>
      <c r="M70" s="113">
        <f t="shared" si="35"/>
        <v>0</v>
      </c>
      <c r="N70" s="113">
        <f t="shared" si="35"/>
        <v>0</v>
      </c>
      <c r="O70" s="113">
        <f t="shared" si="35"/>
        <v>0</v>
      </c>
      <c r="P70" s="113">
        <f t="shared" si="35"/>
        <v>0</v>
      </c>
      <c r="Q70" s="113">
        <f t="shared" si="35"/>
        <v>0</v>
      </c>
      <c r="R70" s="113">
        <f t="shared" si="35"/>
        <v>0</v>
      </c>
      <c r="S70" s="113">
        <f t="shared" si="35"/>
        <v>0</v>
      </c>
      <c r="T70" s="113">
        <f t="shared" si="35"/>
        <v>0</v>
      </c>
      <c r="U70" s="113">
        <f t="shared" si="36"/>
        <v>0</v>
      </c>
      <c r="V70" s="113">
        <f t="shared" si="36"/>
        <v>0</v>
      </c>
      <c r="W70" s="113">
        <f t="shared" si="36"/>
        <v>0</v>
      </c>
      <c r="X70" s="113">
        <f t="shared" si="36"/>
        <v>0</v>
      </c>
      <c r="Y70" s="113">
        <f t="shared" si="36"/>
        <v>0</v>
      </c>
      <c r="Z70" s="113">
        <f t="shared" si="36"/>
        <v>0</v>
      </c>
      <c r="AA70" s="113">
        <f t="shared" si="36"/>
        <v>0</v>
      </c>
      <c r="AB70" s="117">
        <f t="shared" si="16"/>
        <v>67</v>
      </c>
      <c r="AC70" s="405">
        <f t="shared" si="24"/>
        <v>0.86</v>
      </c>
      <c r="AD70" s="100">
        <f>VLOOKUP($D$7,ETo!$B$4:$P$88,MONTH(D70)+2,FALSE)/4</f>
        <v>28.50368641826438</v>
      </c>
      <c r="AE70" s="100">
        <f t="shared" si="28"/>
        <v>38.51317031970737</v>
      </c>
      <c r="AF70" s="101">
        <f t="shared" si="29"/>
        <v>4128.6118582726303</v>
      </c>
      <c r="AG70" s="101">
        <f t="shared" si="30"/>
        <v>0</v>
      </c>
      <c r="AH70" s="101">
        <f t="shared" si="31"/>
        <v>0</v>
      </c>
      <c r="AI70" s="101">
        <f t="shared" si="32"/>
        <v>4128.6118582726303</v>
      </c>
      <c r="AJ70" s="101">
        <f>VLOOKUP(MONTH(D70),[0]!rainforuplandcrop,4)/1000*AB70*1600*7</f>
        <v>3566.9013333333332</v>
      </c>
    </row>
    <row r="71" spans="2:36" x14ac:dyDescent="0.15">
      <c r="B71" s="106">
        <f t="shared" si="33"/>
        <v>40061</v>
      </c>
      <c r="C71" s="107">
        <f t="shared" si="34"/>
        <v>40067</v>
      </c>
      <c r="D71" s="99">
        <f t="shared" si="27"/>
        <v>40067</v>
      </c>
      <c r="E71" s="91">
        <v>45</v>
      </c>
      <c r="F71" s="407">
        <f>IF(ISERROR(VLOOKUP(E71,Crop!$AC$3:$AD$70,2,FALSE)),0,VLOOKUP(E71,Crop!$AC$3:$AD$70,2,FALSE))</f>
        <v>10</v>
      </c>
      <c r="G71" s="100">
        <f>IF(ISERROR(HLOOKUP($D$5,Kc!$B$3:$AI$57,upland_rain!F71+3,FALSE)),0,HLOOKUP($D$5,Kc!$B$3:$AI$57,upland_rain!F71+3,FALSE))</f>
        <v>1.1299999999999999</v>
      </c>
      <c r="H71" s="112">
        <f t="shared" si="17"/>
        <v>5</v>
      </c>
      <c r="I71" s="113">
        <f t="shared" si="18"/>
        <v>62</v>
      </c>
      <c r="J71" s="113">
        <f t="shared" si="19"/>
        <v>0</v>
      </c>
      <c r="K71" s="113">
        <f t="shared" si="35"/>
        <v>0</v>
      </c>
      <c r="L71" s="113">
        <f t="shared" si="35"/>
        <v>0</v>
      </c>
      <c r="M71" s="113">
        <f t="shared" si="35"/>
        <v>0</v>
      </c>
      <c r="N71" s="113">
        <f t="shared" si="35"/>
        <v>0</v>
      </c>
      <c r="O71" s="113">
        <f t="shared" si="35"/>
        <v>0</v>
      </c>
      <c r="P71" s="113">
        <f t="shared" si="35"/>
        <v>0</v>
      </c>
      <c r="Q71" s="113">
        <f t="shared" si="35"/>
        <v>0</v>
      </c>
      <c r="R71" s="113">
        <f t="shared" si="35"/>
        <v>0</v>
      </c>
      <c r="S71" s="113">
        <f t="shared" si="35"/>
        <v>0</v>
      </c>
      <c r="T71" s="113">
        <f t="shared" si="35"/>
        <v>0</v>
      </c>
      <c r="U71" s="113">
        <f t="shared" si="36"/>
        <v>0</v>
      </c>
      <c r="V71" s="113">
        <f t="shared" si="36"/>
        <v>0</v>
      </c>
      <c r="W71" s="113">
        <f t="shared" si="36"/>
        <v>0</v>
      </c>
      <c r="X71" s="113">
        <f t="shared" si="36"/>
        <v>0</v>
      </c>
      <c r="Y71" s="113">
        <f t="shared" si="36"/>
        <v>0</v>
      </c>
      <c r="Z71" s="113">
        <f t="shared" si="36"/>
        <v>0</v>
      </c>
      <c r="AA71" s="113">
        <f t="shared" si="36"/>
        <v>0</v>
      </c>
      <c r="AB71" s="117">
        <f t="shared" si="16"/>
        <v>67</v>
      </c>
      <c r="AC71" s="405">
        <f t="shared" si="24"/>
        <v>0.88014925373134323</v>
      </c>
      <c r="AD71" s="100">
        <f>VLOOKUP($D$7,ETo!$B$4:$P$88,MONTH(D71)+2,FALSE)/4</f>
        <v>28.50368641826438</v>
      </c>
      <c r="AE71" s="100">
        <f t="shared" si="28"/>
        <v>39.087498329627621</v>
      </c>
      <c r="AF71" s="101">
        <f t="shared" si="29"/>
        <v>4190.1798209360813</v>
      </c>
      <c r="AG71" s="101">
        <f t="shared" si="30"/>
        <v>0</v>
      </c>
      <c r="AH71" s="101">
        <f t="shared" si="31"/>
        <v>0</v>
      </c>
      <c r="AI71" s="101">
        <f t="shared" si="32"/>
        <v>4190.1798209360813</v>
      </c>
      <c r="AJ71" s="101">
        <f>VLOOKUP(MONTH(D71),[0]!rainforuplandcrop,4)/1000*AB71*1600*7</f>
        <v>3566.9013333333332</v>
      </c>
    </row>
    <row r="72" spans="2:36" x14ac:dyDescent="0.15">
      <c r="B72" s="106">
        <f t="shared" si="33"/>
        <v>40068</v>
      </c>
      <c r="C72" s="107">
        <f t="shared" si="34"/>
        <v>40074</v>
      </c>
      <c r="D72" s="99">
        <f t="shared" si="27"/>
        <v>40074</v>
      </c>
      <c r="E72" s="91">
        <v>46</v>
      </c>
      <c r="F72" s="407">
        <f>IF(ISERROR(VLOOKUP(E72,Crop!$AC$3:$AD$70,2,FALSE)),0,VLOOKUP(E72,Crop!$AC$3:$AD$70,2,FALSE))</f>
        <v>11</v>
      </c>
      <c r="G72" s="100">
        <f>IF(ISERROR(HLOOKUP($D$5,Kc!$B$3:$AI$57,upland_rain!F72+3,FALSE)),0,HLOOKUP($D$5,Kc!$B$3:$AI$57,upland_rain!F72+3,FALSE))</f>
        <v>1.1299999999999999</v>
      </c>
      <c r="H72" s="112">
        <f t="shared" si="17"/>
        <v>5</v>
      </c>
      <c r="I72" s="113">
        <f t="shared" si="18"/>
        <v>62</v>
      </c>
      <c r="J72" s="113">
        <f t="shared" si="19"/>
        <v>0</v>
      </c>
      <c r="K72" s="113">
        <f t="shared" si="35"/>
        <v>0</v>
      </c>
      <c r="L72" s="113">
        <f t="shared" si="35"/>
        <v>0</v>
      </c>
      <c r="M72" s="113">
        <f t="shared" si="35"/>
        <v>0</v>
      </c>
      <c r="N72" s="113">
        <f t="shared" si="35"/>
        <v>0</v>
      </c>
      <c r="O72" s="113">
        <f t="shared" si="35"/>
        <v>0</v>
      </c>
      <c r="P72" s="113">
        <f t="shared" si="35"/>
        <v>0</v>
      </c>
      <c r="Q72" s="113">
        <f t="shared" si="35"/>
        <v>0</v>
      </c>
      <c r="R72" s="113">
        <f t="shared" si="35"/>
        <v>0</v>
      </c>
      <c r="S72" s="113">
        <f t="shared" si="35"/>
        <v>0</v>
      </c>
      <c r="T72" s="113">
        <f t="shared" si="35"/>
        <v>0</v>
      </c>
      <c r="U72" s="113">
        <f t="shared" si="36"/>
        <v>0</v>
      </c>
      <c r="V72" s="113">
        <f t="shared" si="36"/>
        <v>0</v>
      </c>
      <c r="W72" s="113">
        <f t="shared" si="36"/>
        <v>0</v>
      </c>
      <c r="X72" s="113">
        <f t="shared" si="36"/>
        <v>0</v>
      </c>
      <c r="Y72" s="113">
        <f t="shared" si="36"/>
        <v>0</v>
      </c>
      <c r="Z72" s="113">
        <f t="shared" si="36"/>
        <v>0</v>
      </c>
      <c r="AA72" s="113">
        <f t="shared" si="36"/>
        <v>0</v>
      </c>
      <c r="AB72" s="117">
        <f t="shared" si="16"/>
        <v>67</v>
      </c>
      <c r="AC72" s="405">
        <f t="shared" si="24"/>
        <v>1.1299999999999999</v>
      </c>
      <c r="AD72" s="100">
        <f>VLOOKUP($D$7,ETo!$B$4:$P$88,MONTH(D72)+2,FALSE)/4</f>
        <v>28.50368641826438</v>
      </c>
      <c r="AE72" s="100">
        <f t="shared" si="28"/>
        <v>46.209165652638745</v>
      </c>
      <c r="AF72" s="101">
        <f t="shared" si="29"/>
        <v>4953.6225579628735</v>
      </c>
      <c r="AG72" s="101">
        <f t="shared" si="30"/>
        <v>0</v>
      </c>
      <c r="AH72" s="101">
        <f t="shared" si="31"/>
        <v>0</v>
      </c>
      <c r="AI72" s="101">
        <f t="shared" si="32"/>
        <v>4953.6225579628735</v>
      </c>
      <c r="AJ72" s="101">
        <f>VLOOKUP(MONTH(D72),[0]!rainforuplandcrop,4)/1000*AB72*1600*7</f>
        <v>3566.9013333333332</v>
      </c>
    </row>
    <row r="73" spans="2:36" x14ac:dyDescent="0.15">
      <c r="B73" s="106">
        <f t="shared" si="33"/>
        <v>40075</v>
      </c>
      <c r="C73" s="107">
        <f t="shared" si="34"/>
        <v>40081</v>
      </c>
      <c r="D73" s="99">
        <f t="shared" si="27"/>
        <v>40081</v>
      </c>
      <c r="E73" s="91">
        <v>47</v>
      </c>
      <c r="F73" s="407">
        <f>IF(ISERROR(VLOOKUP(E73,Crop!$AC$3:$AD$70,2,FALSE)),0,VLOOKUP(E73,Crop!$AC$3:$AD$70,2,FALSE))</f>
        <v>12</v>
      </c>
      <c r="G73" s="100">
        <f>IF(ISERROR(HLOOKUP($D$5,Kc!$B$3:$AI$57,upland_rain!F73+3,FALSE)),0,HLOOKUP($D$5,Kc!$B$3:$AI$57,upland_rain!F73+3,FALSE))</f>
        <v>1.1299999999999999</v>
      </c>
      <c r="H73" s="112">
        <f t="shared" si="17"/>
        <v>5</v>
      </c>
      <c r="I73" s="113">
        <f t="shared" si="18"/>
        <v>62</v>
      </c>
      <c r="J73" s="113">
        <f t="shared" si="19"/>
        <v>0</v>
      </c>
      <c r="K73" s="113">
        <f t="shared" si="35"/>
        <v>0</v>
      </c>
      <c r="L73" s="113">
        <f t="shared" si="35"/>
        <v>0</v>
      </c>
      <c r="M73" s="113">
        <f t="shared" si="35"/>
        <v>0</v>
      </c>
      <c r="N73" s="113">
        <f t="shared" si="35"/>
        <v>0</v>
      </c>
      <c r="O73" s="113">
        <f t="shared" si="35"/>
        <v>0</v>
      </c>
      <c r="P73" s="113">
        <f t="shared" si="35"/>
        <v>0</v>
      </c>
      <c r="Q73" s="113">
        <f t="shared" si="35"/>
        <v>0</v>
      </c>
      <c r="R73" s="113">
        <f t="shared" si="35"/>
        <v>0</v>
      </c>
      <c r="S73" s="113">
        <f t="shared" si="35"/>
        <v>0</v>
      </c>
      <c r="T73" s="113">
        <f t="shared" si="35"/>
        <v>0</v>
      </c>
      <c r="U73" s="113">
        <f t="shared" si="36"/>
        <v>0</v>
      </c>
      <c r="V73" s="113">
        <f t="shared" si="36"/>
        <v>0</v>
      </c>
      <c r="W73" s="113">
        <f t="shared" si="36"/>
        <v>0</v>
      </c>
      <c r="X73" s="113">
        <f t="shared" si="36"/>
        <v>0</v>
      </c>
      <c r="Y73" s="113">
        <f t="shared" si="36"/>
        <v>0</v>
      </c>
      <c r="Z73" s="113">
        <f t="shared" si="36"/>
        <v>0</v>
      </c>
      <c r="AA73" s="113">
        <f t="shared" si="36"/>
        <v>0</v>
      </c>
      <c r="AB73" s="117">
        <f t="shared" si="16"/>
        <v>67</v>
      </c>
      <c r="AC73" s="405">
        <f t="shared" si="24"/>
        <v>1.1299999999999999</v>
      </c>
      <c r="AD73" s="100">
        <f>VLOOKUP($D$7,ETo!$B$4:$P$88,MONTH(D73)+2,FALSE)/4</f>
        <v>28.50368641826438</v>
      </c>
      <c r="AE73" s="100">
        <f t="shared" si="28"/>
        <v>46.209165652638745</v>
      </c>
      <c r="AF73" s="101">
        <f t="shared" si="29"/>
        <v>4953.6225579628735</v>
      </c>
      <c r="AG73" s="101">
        <f t="shared" si="30"/>
        <v>0</v>
      </c>
      <c r="AH73" s="101">
        <f t="shared" si="31"/>
        <v>0</v>
      </c>
      <c r="AI73" s="101">
        <f t="shared" si="32"/>
        <v>4953.6225579628735</v>
      </c>
      <c r="AJ73" s="101">
        <f>VLOOKUP(MONTH(D73),[0]!rainforuplandcrop,4)/1000*AB73*1600*7</f>
        <v>3566.9013333333332</v>
      </c>
    </row>
    <row r="74" spans="2:36" x14ac:dyDescent="0.15">
      <c r="B74" s="106">
        <f t="shared" si="33"/>
        <v>40082</v>
      </c>
      <c r="C74" s="107">
        <f t="shared" si="34"/>
        <v>40088</v>
      </c>
      <c r="D74" s="99">
        <f t="shared" si="27"/>
        <v>40088</v>
      </c>
      <c r="E74" s="91">
        <v>48</v>
      </c>
      <c r="F74" s="407">
        <f>IF(ISERROR(VLOOKUP(E74,Crop!$AC$3:$AD$70,2,FALSE)),0,VLOOKUP(E74,Crop!$AC$3:$AD$70,2,FALSE))</f>
        <v>13</v>
      </c>
      <c r="G74" s="100">
        <f>IF(ISERROR(HLOOKUP($D$5,Kc!$B$3:$AI$57,upland_rain!F74+3,FALSE)),0,HLOOKUP($D$5,Kc!$B$3:$AI$57,upland_rain!F74+3,FALSE))</f>
        <v>1.1299999999999999</v>
      </c>
      <c r="H74" s="112">
        <f t="shared" si="17"/>
        <v>5</v>
      </c>
      <c r="I74" s="113">
        <f t="shared" si="18"/>
        <v>62</v>
      </c>
      <c r="J74" s="113">
        <f t="shared" si="19"/>
        <v>0</v>
      </c>
      <c r="K74" s="113">
        <f t="shared" si="35"/>
        <v>0</v>
      </c>
      <c r="L74" s="113">
        <f t="shared" si="35"/>
        <v>0</v>
      </c>
      <c r="M74" s="113">
        <f t="shared" si="35"/>
        <v>0</v>
      </c>
      <c r="N74" s="113">
        <f t="shared" si="35"/>
        <v>0</v>
      </c>
      <c r="O74" s="113">
        <f t="shared" si="35"/>
        <v>0</v>
      </c>
      <c r="P74" s="113">
        <f t="shared" si="35"/>
        <v>0</v>
      </c>
      <c r="Q74" s="113">
        <f t="shared" si="35"/>
        <v>0</v>
      </c>
      <c r="R74" s="113">
        <f t="shared" si="35"/>
        <v>0</v>
      </c>
      <c r="S74" s="113">
        <f t="shared" si="35"/>
        <v>0</v>
      </c>
      <c r="T74" s="113">
        <f t="shared" si="35"/>
        <v>0</v>
      </c>
      <c r="U74" s="113">
        <f t="shared" si="36"/>
        <v>0</v>
      </c>
      <c r="V74" s="113">
        <f t="shared" si="36"/>
        <v>0</v>
      </c>
      <c r="W74" s="113">
        <f t="shared" si="36"/>
        <v>0</v>
      </c>
      <c r="X74" s="113">
        <f t="shared" si="36"/>
        <v>0</v>
      </c>
      <c r="Y74" s="113">
        <f t="shared" si="36"/>
        <v>0</v>
      </c>
      <c r="Z74" s="113">
        <f t="shared" si="36"/>
        <v>0</v>
      </c>
      <c r="AA74" s="113">
        <f t="shared" si="36"/>
        <v>0</v>
      </c>
      <c r="AB74" s="117">
        <f t="shared" si="16"/>
        <v>67</v>
      </c>
      <c r="AC74" s="405">
        <f t="shared" si="24"/>
        <v>1.1299999999999999</v>
      </c>
      <c r="AD74" s="100">
        <f>VLOOKUP($D$7,ETo!$B$4:$P$88,MONTH(D74)+2,FALSE)/4</f>
        <v>29.411745068861798</v>
      </c>
      <c r="AE74" s="100">
        <f t="shared" si="28"/>
        <v>47.235271927813827</v>
      </c>
      <c r="AF74" s="101">
        <f t="shared" si="29"/>
        <v>5063.6211506616419</v>
      </c>
      <c r="AG74" s="101">
        <f t="shared" si="30"/>
        <v>0</v>
      </c>
      <c r="AH74" s="101">
        <f t="shared" si="31"/>
        <v>0</v>
      </c>
      <c r="AI74" s="101">
        <f t="shared" si="32"/>
        <v>5063.6211506616419</v>
      </c>
      <c r="AJ74" s="101">
        <f>VLOOKUP(MONTH(D74),[0]!rainforuplandcrop,4)/1000*AB74*1600*7</f>
        <v>1980.0877419354838</v>
      </c>
    </row>
    <row r="75" spans="2:36" x14ac:dyDescent="0.15">
      <c r="B75" s="106">
        <f t="shared" si="33"/>
        <v>40089</v>
      </c>
      <c r="C75" s="107">
        <f t="shared" si="34"/>
        <v>40095</v>
      </c>
      <c r="D75" s="99">
        <f t="shared" si="27"/>
        <v>40095</v>
      </c>
      <c r="E75" s="91">
        <v>49</v>
      </c>
      <c r="F75" s="407">
        <f>IF(ISERROR(VLOOKUP(E75,Crop!$AC$3:$AD$70,2,FALSE)),0,VLOOKUP(E75,Crop!$AC$3:$AD$70,2,FALSE))</f>
        <v>14</v>
      </c>
      <c r="G75" s="100">
        <f>IF(ISERROR(HLOOKUP($D$5,Kc!$B$3:$AI$57,upland_rain!F75+3,FALSE)),0,HLOOKUP($D$5,Kc!$B$3:$AI$57,upland_rain!F75+3,FALSE))</f>
        <v>1.35</v>
      </c>
      <c r="H75" s="112">
        <f t="shared" si="17"/>
        <v>5</v>
      </c>
      <c r="I75" s="113">
        <f t="shared" si="18"/>
        <v>62</v>
      </c>
      <c r="J75" s="113">
        <f t="shared" si="19"/>
        <v>0</v>
      </c>
      <c r="K75" s="113">
        <f t="shared" si="35"/>
        <v>0</v>
      </c>
      <c r="L75" s="113">
        <f t="shared" si="35"/>
        <v>0</v>
      </c>
      <c r="M75" s="113">
        <f t="shared" si="35"/>
        <v>0</v>
      </c>
      <c r="N75" s="113">
        <f t="shared" si="35"/>
        <v>0</v>
      </c>
      <c r="O75" s="113">
        <f t="shared" si="35"/>
        <v>0</v>
      </c>
      <c r="P75" s="113">
        <f t="shared" si="35"/>
        <v>0</v>
      </c>
      <c r="Q75" s="113">
        <f t="shared" si="35"/>
        <v>0</v>
      </c>
      <c r="R75" s="113">
        <f t="shared" si="35"/>
        <v>0</v>
      </c>
      <c r="S75" s="113">
        <f t="shared" si="35"/>
        <v>0</v>
      </c>
      <c r="T75" s="113">
        <f t="shared" si="35"/>
        <v>0</v>
      </c>
      <c r="U75" s="113">
        <f t="shared" si="36"/>
        <v>0</v>
      </c>
      <c r="V75" s="113">
        <f t="shared" si="36"/>
        <v>0</v>
      </c>
      <c r="W75" s="113">
        <f t="shared" si="36"/>
        <v>0</v>
      </c>
      <c r="X75" s="113">
        <f t="shared" si="36"/>
        <v>0</v>
      </c>
      <c r="Y75" s="113">
        <f t="shared" si="36"/>
        <v>0</v>
      </c>
      <c r="Z75" s="113">
        <f t="shared" si="36"/>
        <v>0</v>
      </c>
      <c r="AA75" s="113">
        <f t="shared" si="36"/>
        <v>0</v>
      </c>
      <c r="AB75" s="117">
        <f t="shared" si="16"/>
        <v>67</v>
      </c>
      <c r="AC75" s="405">
        <f t="shared" si="24"/>
        <v>1.146417910447761</v>
      </c>
      <c r="AD75" s="100">
        <f>VLOOKUP($D$7,ETo!$B$4:$P$88,MONTH(D75)+2,FALSE)/4</f>
        <v>29.411745068861798</v>
      </c>
      <c r="AE75" s="100">
        <f t="shared" si="28"/>
        <v>47.718151324466781</v>
      </c>
      <c r="AF75" s="101">
        <f t="shared" si="29"/>
        <v>5115.3858219828398</v>
      </c>
      <c r="AG75" s="101">
        <f t="shared" si="30"/>
        <v>0</v>
      </c>
      <c r="AH75" s="101">
        <f t="shared" si="31"/>
        <v>0</v>
      </c>
      <c r="AI75" s="101">
        <f t="shared" si="32"/>
        <v>5115.3858219828398</v>
      </c>
      <c r="AJ75" s="101">
        <f>VLOOKUP(MONTH(D75),[0]!rainforuplandcrop,4)/1000*AB75*1600*7</f>
        <v>1980.0877419354838</v>
      </c>
    </row>
    <row r="76" spans="2:36" x14ac:dyDescent="0.15">
      <c r="B76" s="106">
        <f t="shared" si="33"/>
        <v>40096</v>
      </c>
      <c r="C76" s="107">
        <f t="shared" si="34"/>
        <v>40102</v>
      </c>
      <c r="D76" s="99">
        <f t="shared" si="27"/>
        <v>40102</v>
      </c>
      <c r="E76" s="91">
        <v>50</v>
      </c>
      <c r="F76" s="407">
        <f>IF(ISERROR(VLOOKUP(E76,Crop!$AC$3:$AD$70,2,FALSE)),0,VLOOKUP(E76,Crop!$AC$3:$AD$70,2,FALSE))</f>
        <v>15</v>
      </c>
      <c r="G76" s="100">
        <f>IF(ISERROR(HLOOKUP($D$5,Kc!$B$3:$AI$57,upland_rain!F76+3,FALSE)),0,HLOOKUP($D$5,Kc!$B$3:$AI$57,upland_rain!F76+3,FALSE))</f>
        <v>1.35</v>
      </c>
      <c r="H76" s="112">
        <f t="shared" si="17"/>
        <v>5</v>
      </c>
      <c r="I76" s="113">
        <f t="shared" si="18"/>
        <v>62</v>
      </c>
      <c r="J76" s="113">
        <f t="shared" si="19"/>
        <v>0</v>
      </c>
      <c r="K76" s="113">
        <f t="shared" si="35"/>
        <v>0</v>
      </c>
      <c r="L76" s="113">
        <f t="shared" si="35"/>
        <v>0</v>
      </c>
      <c r="M76" s="113">
        <f t="shared" si="35"/>
        <v>0</v>
      </c>
      <c r="N76" s="113">
        <f t="shared" si="35"/>
        <v>0</v>
      </c>
      <c r="O76" s="113">
        <f t="shared" si="35"/>
        <v>0</v>
      </c>
      <c r="P76" s="113">
        <f t="shared" si="35"/>
        <v>0</v>
      </c>
      <c r="Q76" s="113">
        <f t="shared" si="35"/>
        <v>0</v>
      </c>
      <c r="R76" s="113">
        <f t="shared" si="35"/>
        <v>0</v>
      </c>
      <c r="S76" s="113">
        <f t="shared" si="35"/>
        <v>0</v>
      </c>
      <c r="T76" s="113">
        <f t="shared" si="35"/>
        <v>0</v>
      </c>
      <c r="U76" s="113">
        <f t="shared" si="36"/>
        <v>0</v>
      </c>
      <c r="V76" s="113">
        <f t="shared" si="36"/>
        <v>0</v>
      </c>
      <c r="W76" s="113">
        <f t="shared" si="36"/>
        <v>0</v>
      </c>
      <c r="X76" s="113">
        <f t="shared" si="36"/>
        <v>0</v>
      </c>
      <c r="Y76" s="113">
        <f t="shared" si="36"/>
        <v>0</v>
      </c>
      <c r="Z76" s="113">
        <f t="shared" si="36"/>
        <v>0</v>
      </c>
      <c r="AA76" s="113">
        <f t="shared" si="36"/>
        <v>0</v>
      </c>
      <c r="AB76" s="117">
        <f t="shared" si="16"/>
        <v>67</v>
      </c>
      <c r="AC76" s="405">
        <f t="shared" si="24"/>
        <v>1.35</v>
      </c>
      <c r="AD76" s="100">
        <f>VLOOKUP($D$7,ETo!$B$4:$P$88,MONTH(D76)+2,FALSE)/4</f>
        <v>29.411745068861798</v>
      </c>
      <c r="AE76" s="100">
        <f t="shared" si="28"/>
        <v>53.70585584296343</v>
      </c>
      <c r="AF76" s="101">
        <f t="shared" si="29"/>
        <v>5757.2677463656801</v>
      </c>
      <c r="AG76" s="101">
        <f t="shared" si="30"/>
        <v>0</v>
      </c>
      <c r="AH76" s="101">
        <f t="shared" si="31"/>
        <v>0</v>
      </c>
      <c r="AI76" s="101">
        <f t="shared" si="32"/>
        <v>5757.2677463656801</v>
      </c>
      <c r="AJ76" s="101">
        <f>VLOOKUP(MONTH(D76),[0]!rainforuplandcrop,4)/1000*AB76*1600*7</f>
        <v>1980.0877419354838</v>
      </c>
    </row>
    <row r="77" spans="2:36" x14ac:dyDescent="0.15">
      <c r="B77" s="106">
        <f t="shared" si="33"/>
        <v>40103</v>
      </c>
      <c r="C77" s="107">
        <f t="shared" si="34"/>
        <v>40109</v>
      </c>
      <c r="D77" s="99">
        <f t="shared" si="27"/>
        <v>40109</v>
      </c>
      <c r="E77" s="91">
        <v>51</v>
      </c>
      <c r="F77" s="407">
        <f>IF(ISERROR(VLOOKUP(E77,Crop!$AC$3:$AD$70,2,FALSE)),0,VLOOKUP(E77,Crop!$AC$3:$AD$70,2,FALSE))</f>
        <v>16</v>
      </c>
      <c r="G77" s="100">
        <f>IF(ISERROR(HLOOKUP($D$5,Kc!$B$3:$AI$57,upland_rain!F77+3,FALSE)),0,HLOOKUP($D$5,Kc!$B$3:$AI$57,upland_rain!F77+3,FALSE))</f>
        <v>1.35</v>
      </c>
      <c r="H77" s="112">
        <f t="shared" si="17"/>
        <v>5</v>
      </c>
      <c r="I77" s="113">
        <f t="shared" si="18"/>
        <v>62</v>
      </c>
      <c r="J77" s="113">
        <f t="shared" si="19"/>
        <v>0</v>
      </c>
      <c r="K77" s="113">
        <f t="shared" si="35"/>
        <v>0</v>
      </c>
      <c r="L77" s="113">
        <f t="shared" si="35"/>
        <v>0</v>
      </c>
      <c r="M77" s="113">
        <f t="shared" si="35"/>
        <v>0</v>
      </c>
      <c r="N77" s="113">
        <f t="shared" si="35"/>
        <v>0</v>
      </c>
      <c r="O77" s="113">
        <f t="shared" si="35"/>
        <v>0</v>
      </c>
      <c r="P77" s="113">
        <f t="shared" si="35"/>
        <v>0</v>
      </c>
      <c r="Q77" s="113">
        <f t="shared" si="35"/>
        <v>0</v>
      </c>
      <c r="R77" s="113">
        <f t="shared" si="35"/>
        <v>0</v>
      </c>
      <c r="S77" s="113">
        <f t="shared" si="35"/>
        <v>0</v>
      </c>
      <c r="T77" s="113">
        <f t="shared" si="35"/>
        <v>0</v>
      </c>
      <c r="U77" s="113">
        <f t="shared" si="36"/>
        <v>0</v>
      </c>
      <c r="V77" s="113">
        <f t="shared" si="36"/>
        <v>0</v>
      </c>
      <c r="W77" s="113">
        <f t="shared" si="36"/>
        <v>0</v>
      </c>
      <c r="X77" s="113">
        <f t="shared" si="36"/>
        <v>0</v>
      </c>
      <c r="Y77" s="113">
        <f t="shared" si="36"/>
        <v>0</v>
      </c>
      <c r="Z77" s="113">
        <f t="shared" si="36"/>
        <v>0</v>
      </c>
      <c r="AA77" s="113">
        <f t="shared" si="36"/>
        <v>0</v>
      </c>
      <c r="AB77" s="117">
        <f t="shared" si="16"/>
        <v>67</v>
      </c>
      <c r="AC77" s="405">
        <f t="shared" si="24"/>
        <v>1.35</v>
      </c>
      <c r="AD77" s="100">
        <f>VLOOKUP($D$7,ETo!$B$4:$P$88,MONTH(D77)+2,FALSE)/4</f>
        <v>29.411745068861798</v>
      </c>
      <c r="AE77" s="100">
        <f t="shared" si="28"/>
        <v>53.70585584296343</v>
      </c>
      <c r="AF77" s="101">
        <f t="shared" si="29"/>
        <v>5757.2677463656801</v>
      </c>
      <c r="AG77" s="101">
        <f t="shared" si="30"/>
        <v>0</v>
      </c>
      <c r="AH77" s="101">
        <f t="shared" si="31"/>
        <v>0</v>
      </c>
      <c r="AI77" s="101">
        <f t="shared" si="32"/>
        <v>5757.2677463656801</v>
      </c>
      <c r="AJ77" s="101">
        <f>VLOOKUP(MONTH(D77),[0]!rainforuplandcrop,4)/1000*AB77*1600*7</f>
        <v>1980.0877419354838</v>
      </c>
    </row>
    <row r="78" spans="2:36" x14ac:dyDescent="0.15">
      <c r="B78" s="108">
        <f t="shared" si="33"/>
        <v>40110</v>
      </c>
      <c r="C78" s="109">
        <f t="shared" si="34"/>
        <v>40116</v>
      </c>
      <c r="D78" s="154">
        <f t="shared" si="27"/>
        <v>40116</v>
      </c>
      <c r="E78" s="92">
        <v>52</v>
      </c>
      <c r="F78" s="408">
        <f>IF(ISERROR(VLOOKUP(E78,Crop!$AC$3:$AD$70,2,FALSE)),0,VLOOKUP(E78,Crop!$AC$3:$AD$70,2,FALSE))</f>
        <v>17</v>
      </c>
      <c r="G78" s="102">
        <f>IF(ISERROR(HLOOKUP($D$5,Kc!$B$3:$AI$57,upland_rain!F78+3,FALSE)),0,HLOOKUP($D$5,Kc!$B$3:$AI$57,upland_rain!F78+3,FALSE))</f>
        <v>1.35</v>
      </c>
      <c r="H78" s="114">
        <f t="shared" si="17"/>
        <v>5</v>
      </c>
      <c r="I78" s="115">
        <f t="shared" si="18"/>
        <v>62</v>
      </c>
      <c r="J78" s="115">
        <f t="shared" si="19"/>
        <v>0</v>
      </c>
      <c r="K78" s="115">
        <f t="shared" si="35"/>
        <v>0</v>
      </c>
      <c r="L78" s="115">
        <f t="shared" si="35"/>
        <v>0</v>
      </c>
      <c r="M78" s="115">
        <f t="shared" si="35"/>
        <v>0</v>
      </c>
      <c r="N78" s="115">
        <f t="shared" si="35"/>
        <v>0</v>
      </c>
      <c r="O78" s="115">
        <f t="shared" si="35"/>
        <v>0</v>
      </c>
      <c r="P78" s="115">
        <f t="shared" si="35"/>
        <v>0</v>
      </c>
      <c r="Q78" s="115">
        <f t="shared" si="35"/>
        <v>0</v>
      </c>
      <c r="R78" s="115">
        <f t="shared" si="35"/>
        <v>0</v>
      </c>
      <c r="S78" s="115">
        <f t="shared" si="35"/>
        <v>0</v>
      </c>
      <c r="T78" s="115">
        <f t="shared" si="35"/>
        <v>0</v>
      </c>
      <c r="U78" s="115">
        <f t="shared" si="36"/>
        <v>0</v>
      </c>
      <c r="V78" s="115">
        <f t="shared" si="36"/>
        <v>0</v>
      </c>
      <c r="W78" s="115">
        <f t="shared" si="36"/>
        <v>0</v>
      </c>
      <c r="X78" s="115">
        <f t="shared" si="36"/>
        <v>0</v>
      </c>
      <c r="Y78" s="115">
        <f t="shared" si="36"/>
        <v>0</v>
      </c>
      <c r="Z78" s="115">
        <f t="shared" si="36"/>
        <v>0</v>
      </c>
      <c r="AA78" s="115">
        <f t="shared" si="36"/>
        <v>0</v>
      </c>
      <c r="AB78" s="118">
        <f t="shared" si="16"/>
        <v>67</v>
      </c>
      <c r="AC78" s="406">
        <f t="shared" si="24"/>
        <v>1.35</v>
      </c>
      <c r="AD78" s="102">
        <f>VLOOKUP($D$7,ETo!$B$4:$P$88,MONTH(D78)+2,FALSE)/4</f>
        <v>29.411745068861798</v>
      </c>
      <c r="AE78" s="102">
        <f t="shared" si="28"/>
        <v>53.70585584296343</v>
      </c>
      <c r="AF78" s="103">
        <f t="shared" si="29"/>
        <v>5757.2677463656801</v>
      </c>
      <c r="AG78" s="103">
        <f t="shared" si="30"/>
        <v>0</v>
      </c>
      <c r="AH78" s="103">
        <f t="shared" si="31"/>
        <v>0</v>
      </c>
      <c r="AI78" s="103">
        <f t="shared" si="32"/>
        <v>5757.2677463656801</v>
      </c>
      <c r="AJ78" s="103">
        <f>VLOOKUP(MONTH(D78),[0]!rainforuplandcrop,4)/1000*AB78*1600*7</f>
        <v>1980.0877419354838</v>
      </c>
    </row>
    <row r="79" spans="2:36" x14ac:dyDescent="0.15">
      <c r="AI79" s="49">
        <f>SUM(AI27:AI78)</f>
        <v>160827.39702660637</v>
      </c>
      <c r="AJ79" s="49">
        <f>SUM(AJ27:AJ78)</f>
        <v>43142.458212796279</v>
      </c>
    </row>
    <row r="80" spans="2:36" x14ac:dyDescent="0.15">
      <c r="AI80" s="50"/>
    </row>
  </sheetData>
  <sheetProtection password="DD72" sheet="1" objects="1" scenarios="1"/>
  <mergeCells count="3">
    <mergeCell ref="D7:E7"/>
    <mergeCell ref="D4:E4"/>
    <mergeCell ref="D5:E5"/>
  </mergeCells>
  <phoneticPr fontId="2" type="noConversion"/>
  <conditionalFormatting sqref="F27:AJ78">
    <cfRule type="cellIs" dxfId="3" priority="1" stopIfTrue="1" operator="equal">
      <formula>0</formula>
    </cfRule>
  </conditionalFormatting>
  <dataValidations count="4">
    <dataValidation type="list" allowBlank="1" showInputMessage="1" showErrorMessage="1" sqref="E6" xr:uid="{1FDA0351-E93B-8347-9E9F-C9E24741EE55}">
      <formula1>Week</formula1>
    </dataValidation>
    <dataValidation type="list" allowBlank="1" showInputMessage="1" showErrorMessage="1" sqref="D5" xr:uid="{750432E3-47E7-6A4B-B932-7C295137CC90}">
      <formula1>croptype</formula1>
    </dataValidation>
    <dataValidation type="list" allowBlank="1" showInputMessage="1" showErrorMessage="1" sqref="D4" xr:uid="{00493AAB-EFF0-9A48-86E1-A957728D2AE6}">
      <formula1>province</formula1>
    </dataValidation>
    <dataValidation type="list" allowBlank="1" showInputMessage="1" showErrorMessage="1" sqref="E9" xr:uid="{E22F55BE-3275-A64D-8F1D-ECA427616600}">
      <formula1>"1,2,3,4,5,6,7,8,9,10"</formula1>
    </dataValidation>
  </dataValidations>
  <printOptions horizontalCentered="1"/>
  <pageMargins left="0.51181102362204722" right="0.51181102362204722" top="0.31496062992125984" bottom="0.35" header="0.19685039370078741" footer="0.15748031496062992"/>
  <pageSetup paperSize="9" scale="63" fitToHeight="2" orientation="landscape"/>
  <headerFooter alignWithMargins="0">
    <oddFooter>&amp;L&amp;Z&amp;F&amp;A&amp;C&amp;P/&amp;N&amp;R&amp;D</oddFooter>
  </headerFooter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8941-94DA-6249-BDA3-2D51973A1343}">
  <sheetPr codeName="Sheet3">
    <tabColor indexed="57"/>
  </sheetPr>
  <dimension ref="B1:Z69"/>
  <sheetViews>
    <sheetView showGridLines="0" workbookViewId="0">
      <pane xSplit="5" ySplit="15" topLeftCell="F61" activePane="bottomRight" state="frozen"/>
      <selection activeCell="M26" sqref="M26"/>
      <selection pane="topRight" activeCell="M26" sqref="M26"/>
      <selection pane="bottomLeft" activeCell="M26" sqref="M26"/>
      <selection pane="bottomRight" activeCell="E10" sqref="E10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17" width="5.6640625" customWidth="1"/>
    <col min="18" max="18" width="8.33203125" customWidth="1"/>
    <col min="19" max="19" width="8.83203125" customWidth="1"/>
    <col min="20" max="20" width="7.83203125" customWidth="1"/>
    <col min="21" max="21" width="9.5" customWidth="1"/>
    <col min="22" max="22" width="10.5" customWidth="1"/>
    <col min="23" max="23" width="8.83203125" customWidth="1"/>
    <col min="24" max="24" width="10.5" customWidth="1"/>
    <col min="25" max="25" width="13.1640625" bestFit="1" customWidth="1"/>
    <col min="26" max="26" width="12" customWidth="1"/>
    <col min="27" max="256" width="8.83203125" customWidth="1"/>
  </cols>
  <sheetData>
    <row r="1" spans="2:26" ht="17" thickBot="1" x14ac:dyDescent="0.25">
      <c r="B1" s="51" t="s">
        <v>175</v>
      </c>
    </row>
    <row r="2" spans="2:26" ht="16" x14ac:dyDescent="0.2">
      <c r="B2" s="51"/>
      <c r="F2" s="120" t="s">
        <v>2</v>
      </c>
      <c r="G2" s="121" t="s">
        <v>371</v>
      </c>
    </row>
    <row r="3" spans="2:26" ht="14" thickBot="1" x14ac:dyDescent="0.2">
      <c r="F3" s="122">
        <v>1</v>
      </c>
      <c r="G3" s="123">
        <f>+E8</f>
        <v>0</v>
      </c>
      <c r="H3" s="46"/>
    </row>
    <row r="4" spans="2:26" x14ac:dyDescent="0.15">
      <c r="B4" s="127" t="s">
        <v>108</v>
      </c>
      <c r="C4" s="128"/>
      <c r="D4" s="166" t="str">
        <f>+fill_data!C4</f>
        <v>นครราชสีมา</v>
      </c>
      <c r="E4" s="167"/>
      <c r="F4" s="95" t="str">
        <f t="shared" ref="F4:F12" si="0">IF(F3="","",IF(F3+1&lt;=$E$9,F3+1,""))</f>
        <v/>
      </c>
      <c r="G4" s="124"/>
      <c r="H4" s="46"/>
    </row>
    <row r="5" spans="2:26" x14ac:dyDescent="0.15">
      <c r="B5" s="129" t="s">
        <v>146</v>
      </c>
      <c r="D5" s="168" t="str">
        <f>+fill_data!C53</f>
        <v>มะม่วง</v>
      </c>
      <c r="E5" s="169"/>
      <c r="F5" s="95" t="str">
        <f t="shared" si="0"/>
        <v/>
      </c>
      <c r="G5" s="124"/>
      <c r="H5" s="46"/>
    </row>
    <row r="6" spans="2:26" x14ac:dyDescent="0.15">
      <c r="B6" s="130" t="s">
        <v>147</v>
      </c>
      <c r="D6" s="46">
        <f>VLOOKUP(D5,Crop!$B$3:$C$35,2,FALSE)</f>
        <v>52</v>
      </c>
      <c r="E6" s="131">
        <v>1</v>
      </c>
      <c r="F6" s="95" t="str">
        <f t="shared" si="0"/>
        <v/>
      </c>
      <c r="G6" s="124"/>
      <c r="H6" s="46"/>
    </row>
    <row r="7" spans="2:26" x14ac:dyDescent="0.15">
      <c r="B7" s="132" t="s">
        <v>377</v>
      </c>
      <c r="D7" s="164" t="str">
        <f>VLOOKUP(D4,Prv!$D$3:$E$78,2,FALSE)</f>
        <v>นครราชสีมา</v>
      </c>
      <c r="E7" s="165"/>
      <c r="F7" s="95" t="str">
        <f t="shared" si="0"/>
        <v/>
      </c>
      <c r="G7" s="124"/>
      <c r="H7" s="46"/>
    </row>
    <row r="8" spans="2:26" x14ac:dyDescent="0.15">
      <c r="B8" s="133" t="s">
        <v>373</v>
      </c>
      <c r="C8" s="93"/>
      <c r="D8" s="47"/>
      <c r="E8" s="134">
        <f>+fill_data!D54</f>
        <v>0</v>
      </c>
      <c r="F8" s="95" t="str">
        <f t="shared" si="0"/>
        <v/>
      </c>
      <c r="G8" s="124"/>
      <c r="H8" s="46"/>
    </row>
    <row r="9" spans="2:26" x14ac:dyDescent="0.15">
      <c r="B9" s="133" t="s">
        <v>376</v>
      </c>
      <c r="D9" s="94"/>
      <c r="E9" s="140">
        <v>1</v>
      </c>
      <c r="F9" s="95" t="str">
        <f t="shared" si="0"/>
        <v/>
      </c>
      <c r="G9" s="124"/>
      <c r="H9" s="46"/>
    </row>
    <row r="10" spans="2:26" x14ac:dyDescent="0.15">
      <c r="B10" s="132" t="s">
        <v>374</v>
      </c>
      <c r="D10" s="94"/>
      <c r="E10" s="135">
        <f>+fill_data!D6</f>
        <v>14</v>
      </c>
      <c r="F10" s="95" t="str">
        <f t="shared" si="0"/>
        <v/>
      </c>
      <c r="G10" s="124"/>
      <c r="H10" s="46"/>
      <c r="I10" s="43" t="s">
        <v>351</v>
      </c>
      <c r="M10" s="43"/>
      <c r="N10" s="43"/>
      <c r="O10" s="43"/>
      <c r="P10" s="43"/>
      <c r="Q10" s="43"/>
    </row>
    <row r="11" spans="2:26" ht="14" thickBot="1" x14ac:dyDescent="0.2">
      <c r="B11" s="136" t="s">
        <v>375</v>
      </c>
      <c r="C11" s="137"/>
      <c r="D11" s="138"/>
      <c r="E11" s="139"/>
      <c r="F11" s="95" t="str">
        <f t="shared" si="0"/>
        <v/>
      </c>
      <c r="G11" s="124"/>
      <c r="H11" s="46"/>
      <c r="I11" s="48" t="s">
        <v>174</v>
      </c>
      <c r="M11" s="48"/>
      <c r="N11" s="48"/>
      <c r="O11" s="48"/>
      <c r="P11" s="48"/>
      <c r="Q11" s="48"/>
    </row>
    <row r="12" spans="2:26" ht="14" thickBot="1" x14ac:dyDescent="0.2">
      <c r="B12" s="44"/>
      <c r="C12" s="44"/>
      <c r="D12" s="44"/>
      <c r="E12" s="45"/>
      <c r="F12" s="125" t="str">
        <f t="shared" si="0"/>
        <v/>
      </c>
      <c r="G12" s="126"/>
      <c r="H12" s="46"/>
    </row>
    <row r="13" spans="2:26" x14ac:dyDescent="0.15">
      <c r="B13" s="119" t="s">
        <v>352</v>
      </c>
      <c r="C13" s="119" t="s">
        <v>353</v>
      </c>
      <c r="D13" s="119" t="s">
        <v>354</v>
      </c>
      <c r="E13" s="119" t="s">
        <v>355</v>
      </c>
      <c r="F13" s="119" t="s">
        <v>356</v>
      </c>
      <c r="G13" s="119" t="s">
        <v>357</v>
      </c>
      <c r="H13" s="119" t="s">
        <v>366</v>
      </c>
      <c r="I13" s="119" t="s">
        <v>367</v>
      </c>
      <c r="J13" s="119" t="s">
        <v>368</v>
      </c>
      <c r="K13" s="119" t="s">
        <v>369</v>
      </c>
      <c r="L13" s="119" t="s">
        <v>370</v>
      </c>
      <c r="M13" s="119" t="s">
        <v>378</v>
      </c>
      <c r="N13" s="119" t="s">
        <v>379</v>
      </c>
      <c r="O13" s="119" t="s">
        <v>380</v>
      </c>
      <c r="P13" s="119" t="s">
        <v>381</v>
      </c>
      <c r="Q13" s="119" t="s">
        <v>382</v>
      </c>
      <c r="R13" s="119" t="s">
        <v>358</v>
      </c>
      <c r="S13" s="119" t="s">
        <v>359</v>
      </c>
      <c r="T13" s="119" t="s">
        <v>360</v>
      </c>
      <c r="U13" s="119" t="s">
        <v>361</v>
      </c>
      <c r="V13" s="119" t="s">
        <v>362</v>
      </c>
      <c r="W13" s="119" t="s">
        <v>363</v>
      </c>
      <c r="X13" s="119" t="s">
        <v>364</v>
      </c>
      <c r="Y13" s="119" t="s">
        <v>365</v>
      </c>
      <c r="Z13" s="119" t="s">
        <v>425</v>
      </c>
    </row>
    <row r="14" spans="2:26" x14ac:dyDescent="0.15">
      <c r="B14" s="33" t="s">
        <v>163</v>
      </c>
      <c r="C14" s="34"/>
      <c r="D14" s="35" t="s">
        <v>166</v>
      </c>
      <c r="E14" s="35" t="s">
        <v>2</v>
      </c>
      <c r="F14" s="35" t="s">
        <v>2</v>
      </c>
      <c r="G14" s="35" t="s">
        <v>145</v>
      </c>
      <c r="H14" s="85" t="s">
        <v>167</v>
      </c>
      <c r="I14" s="86"/>
      <c r="J14" s="86"/>
      <c r="K14" s="87"/>
      <c r="L14" s="88"/>
      <c r="M14" s="88"/>
      <c r="N14" s="88"/>
      <c r="O14" s="88"/>
      <c r="P14" s="88"/>
      <c r="Q14" s="88"/>
      <c r="R14" s="35" t="s">
        <v>168</v>
      </c>
      <c r="S14" s="35" t="s">
        <v>161</v>
      </c>
      <c r="T14" s="36" t="s">
        <v>162</v>
      </c>
      <c r="U14" s="37" t="s">
        <v>170</v>
      </c>
      <c r="V14" s="37"/>
      <c r="W14" s="37" t="s">
        <v>173</v>
      </c>
      <c r="X14" s="37"/>
      <c r="Y14" s="35" t="s">
        <v>170</v>
      </c>
      <c r="Z14" s="37" t="s">
        <v>601</v>
      </c>
    </row>
    <row r="15" spans="2:26" x14ac:dyDescent="0.15">
      <c r="B15" s="38" t="s">
        <v>164</v>
      </c>
      <c r="C15" s="39" t="s">
        <v>165</v>
      </c>
      <c r="D15" s="40"/>
      <c r="E15" s="40"/>
      <c r="F15" s="41" t="s">
        <v>372</v>
      </c>
      <c r="G15" s="40"/>
      <c r="H15" s="89">
        <v>1</v>
      </c>
      <c r="I15" s="89">
        <v>2</v>
      </c>
      <c r="J15" s="89">
        <v>3</v>
      </c>
      <c r="K15" s="89">
        <v>4</v>
      </c>
      <c r="L15" s="89">
        <v>5</v>
      </c>
      <c r="M15" s="89">
        <v>6</v>
      </c>
      <c r="N15" s="89">
        <v>7</v>
      </c>
      <c r="O15" s="89">
        <v>8</v>
      </c>
      <c r="P15" s="89">
        <v>9</v>
      </c>
      <c r="Q15" s="89">
        <v>10</v>
      </c>
      <c r="R15" s="41" t="s">
        <v>169</v>
      </c>
      <c r="S15" s="40" t="s">
        <v>145</v>
      </c>
      <c r="T15" s="40"/>
      <c r="U15" s="38" t="s">
        <v>171</v>
      </c>
      <c r="V15" s="42" t="s">
        <v>172</v>
      </c>
      <c r="W15" s="38" t="s">
        <v>169</v>
      </c>
      <c r="X15" s="42" t="s">
        <v>172</v>
      </c>
      <c r="Y15" s="40" t="s">
        <v>172</v>
      </c>
      <c r="Z15" s="41" t="s">
        <v>172</v>
      </c>
    </row>
    <row r="16" spans="2:26" x14ac:dyDescent="0.15">
      <c r="B16" s="104">
        <v>39753</v>
      </c>
      <c r="C16" s="105">
        <f>B16+6</f>
        <v>39759</v>
      </c>
      <c r="D16" s="99">
        <f>+C16</f>
        <v>39759</v>
      </c>
      <c r="E16" s="90">
        <v>1</v>
      </c>
      <c r="F16" s="96">
        <f>IF(ISERROR(VLOOKUP(E16,Crop!$S$3:$T$70,2,FALSE)),0,VLOOKUP(E16,Crop!$S$3:$T$70,2,FALSE))</f>
        <v>1</v>
      </c>
      <c r="G16" s="97">
        <f>IF(ISERROR(HLOOKUP($D$5,Kc!$B$3:$AI$57,plant!F16+3,FALSE)),0,HLOOKUP($D$5,Kc!$B$3:$AI$57,plant!F16+3,FALSE))</f>
        <v>2.1</v>
      </c>
      <c r="H16" s="110">
        <f t="shared" ref="H16:H47" si="1">IF(G16&gt;0,IF(H$15&gt;$E$9,0,VLOOKUP(H$15,$F$3:$G$12,2,FALSE)),0)</f>
        <v>0</v>
      </c>
      <c r="I16" s="111">
        <f t="shared" ref="I16:Q16" si="2">IF(H67&gt;0,IF(I$15&gt;$E$9,0,VLOOKUP(I$15,$F$3:$G$12,2,FALSE)),0)</f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6">
        <f t="shared" ref="R16:R47" si="3">SUM(H16:Q16)</f>
        <v>0</v>
      </c>
      <c r="S16" s="100">
        <f>IF(ISERROR((H16*G16+I16*G67+J16*G66+K16*G65+L16*G64+M16*G63+N16*G62+O16*G61+P16*G60+Q16*G59)/R16),0,(H16*G16+I16*G67+J16*G66+K16*G65+L16*G64+M16*G63+N16*G62+O16*G61+P16*G60+Q16*G59)/R16)</f>
        <v>0</v>
      </c>
      <c r="T16" s="97">
        <f>VLOOKUP($D$7,ETo!$B$4:$P$88,MONTH(D16)+2,FALSE)/4</f>
        <v>26.334910938750578</v>
      </c>
      <c r="U16" s="97">
        <f t="shared" ref="U16:U47" si="4">IF(S16*T16=0,0,(S16*T16)+$E$10)</f>
        <v>0</v>
      </c>
      <c r="V16" s="98">
        <f t="shared" ref="V16:V66" si="5">U16*R16*1.6*0.45</f>
        <v>0</v>
      </c>
      <c r="W16" s="98">
        <f t="shared" ref="W16:W47" si="6">IF(ISERROR(INDEX(H16:L16,1,F16)),0,INDEX(H16:L16,1,F16))</f>
        <v>0</v>
      </c>
      <c r="X16" s="98">
        <f t="shared" ref="X16:X47" si="7">W16*$E$11*1.6</f>
        <v>0</v>
      </c>
      <c r="Y16" s="98">
        <f t="shared" ref="Y16:Y47" si="8">V16+X16</f>
        <v>0</v>
      </c>
      <c r="Z16" s="98">
        <f>VLOOKUP(MONTH(D16),[0]!rainforuplandcrop,4)/1000*R16*1600*7</f>
        <v>0</v>
      </c>
    </row>
    <row r="17" spans="2:26" x14ac:dyDescent="0.15">
      <c r="B17" s="106">
        <f t="shared" ref="B17:B48" si="9">C16+1</f>
        <v>39760</v>
      </c>
      <c r="C17" s="107">
        <f t="shared" ref="C17:C48" si="10">B17+6</f>
        <v>39766</v>
      </c>
      <c r="D17" s="99">
        <f>+C17</f>
        <v>39766</v>
      </c>
      <c r="E17" s="91">
        <v>2</v>
      </c>
      <c r="F17" s="96">
        <f>IF(ISERROR(VLOOKUP(E17,Crop!$S$3:$T$70,2,FALSE)),0,VLOOKUP(E17,Crop!$S$3:$T$70,2,FALSE))</f>
        <v>2</v>
      </c>
      <c r="G17" s="100">
        <f>IF(ISERROR(HLOOKUP($D$5,Kc!$B$3:$AI$57,plant!F17+3,FALSE)),0,HLOOKUP($D$5,Kc!$B$3:$AI$57,plant!F17+3,FALSE))</f>
        <v>2.1</v>
      </c>
      <c r="H17" s="112">
        <f t="shared" si="1"/>
        <v>0</v>
      </c>
      <c r="I17" s="113">
        <f t="shared" ref="I17:Q26" si="11">IF(H16&gt;0,IF(I$15&gt;$E$9,0,VLOOKUP(I$15,$F$3:$G$12,2,FALSE)),0)</f>
        <v>0</v>
      </c>
      <c r="J17" s="113">
        <f t="shared" si="11"/>
        <v>0</v>
      </c>
      <c r="K17" s="113">
        <f t="shared" si="11"/>
        <v>0</v>
      </c>
      <c r="L17" s="113">
        <f t="shared" si="11"/>
        <v>0</v>
      </c>
      <c r="M17" s="113">
        <f t="shared" si="11"/>
        <v>0</v>
      </c>
      <c r="N17" s="113">
        <f t="shared" si="11"/>
        <v>0</v>
      </c>
      <c r="O17" s="113">
        <f t="shared" si="11"/>
        <v>0</v>
      </c>
      <c r="P17" s="113">
        <f t="shared" si="11"/>
        <v>0</v>
      </c>
      <c r="Q17" s="113">
        <f t="shared" si="11"/>
        <v>0</v>
      </c>
      <c r="R17" s="117">
        <f t="shared" si="3"/>
        <v>0</v>
      </c>
      <c r="S17" s="100">
        <f>IF(ISERROR((H17*G17+I17*G16+J17*G67+K17*G66+L17*G65+M17*G64+N17*G63+O17*G62+P17*G61+Q17*G60)/R17),0,(H17*G17+I17*G16+J17*G67+K17*G66+L17*G65+M17*G64+N17*G63+O17*G62+P17*G61+Q17*G60)/R17)</f>
        <v>0</v>
      </c>
      <c r="T17" s="97">
        <f>VLOOKUP($D$7,ETo!$B$4:$P$88,MONTH(D17)+2,FALSE)/4</f>
        <v>26.334910938750578</v>
      </c>
      <c r="U17" s="100">
        <f t="shared" si="4"/>
        <v>0</v>
      </c>
      <c r="V17" s="98">
        <f t="shared" si="5"/>
        <v>0</v>
      </c>
      <c r="W17" s="101">
        <f t="shared" si="6"/>
        <v>0</v>
      </c>
      <c r="X17" s="101">
        <f t="shared" si="7"/>
        <v>0</v>
      </c>
      <c r="Y17" s="101">
        <f t="shared" si="8"/>
        <v>0</v>
      </c>
      <c r="Z17" s="101">
        <f>VLOOKUP(MONTH(D17),[0]!rainforuplandcrop,4)/1000*R17*1600*7</f>
        <v>0</v>
      </c>
    </row>
    <row r="18" spans="2:26" x14ac:dyDescent="0.15">
      <c r="B18" s="106">
        <f t="shared" si="9"/>
        <v>39767</v>
      </c>
      <c r="C18" s="107">
        <f t="shared" si="10"/>
        <v>39773</v>
      </c>
      <c r="D18" s="99">
        <f t="shared" ref="D18:D67" si="12">+C18</f>
        <v>39773</v>
      </c>
      <c r="E18" s="91">
        <v>3</v>
      </c>
      <c r="F18" s="96">
        <f>IF(ISERROR(VLOOKUP(E18,Crop!$S$3:$T$70,2,FALSE)),0,VLOOKUP(E18,Crop!$S$3:$T$70,2,FALSE))</f>
        <v>3</v>
      </c>
      <c r="G18" s="100">
        <f>IF(ISERROR(HLOOKUP($D$5,Kc!$B$3:$AI$57,plant!F18+3,FALSE)),0,HLOOKUP($D$5,Kc!$B$3:$AI$57,plant!F18+3,FALSE))</f>
        <v>2.1</v>
      </c>
      <c r="H18" s="112">
        <f t="shared" si="1"/>
        <v>0</v>
      </c>
      <c r="I18" s="113">
        <f t="shared" si="11"/>
        <v>0</v>
      </c>
      <c r="J18" s="113">
        <f t="shared" si="11"/>
        <v>0</v>
      </c>
      <c r="K18" s="113">
        <f t="shared" si="11"/>
        <v>0</v>
      </c>
      <c r="L18" s="113">
        <f t="shared" si="11"/>
        <v>0</v>
      </c>
      <c r="M18" s="113">
        <f t="shared" si="11"/>
        <v>0</v>
      </c>
      <c r="N18" s="113">
        <f t="shared" si="11"/>
        <v>0</v>
      </c>
      <c r="O18" s="113">
        <f t="shared" si="11"/>
        <v>0</v>
      </c>
      <c r="P18" s="113">
        <f t="shared" si="11"/>
        <v>0</v>
      </c>
      <c r="Q18" s="113">
        <f t="shared" si="11"/>
        <v>0</v>
      </c>
      <c r="R18" s="117">
        <f t="shared" si="3"/>
        <v>0</v>
      </c>
      <c r="S18" s="100">
        <f>IF(ISERROR((H18*G18+I18*G17+J18*G16+K18*G67+L18*G66+M18*G65+N18*G64+O18*G63+P18*G62+Q18*G61)/R18),0,(H18*G18+I18*G17+J18*G16+K18*G67+L18*G66+M18*G65+N18*G64+O18*G63+P18*G62+Q18*G61)/R18)</f>
        <v>0</v>
      </c>
      <c r="T18" s="97">
        <f>VLOOKUP($D$7,ETo!$B$4:$P$88,MONTH(D18)+2,FALSE)/4</f>
        <v>26.334910938750578</v>
      </c>
      <c r="U18" s="100">
        <f t="shared" si="4"/>
        <v>0</v>
      </c>
      <c r="V18" s="98">
        <f t="shared" si="5"/>
        <v>0</v>
      </c>
      <c r="W18" s="101">
        <f t="shared" si="6"/>
        <v>0</v>
      </c>
      <c r="X18" s="101">
        <f t="shared" si="7"/>
        <v>0</v>
      </c>
      <c r="Y18" s="101">
        <f t="shared" si="8"/>
        <v>0</v>
      </c>
      <c r="Z18" s="101">
        <f>VLOOKUP(MONTH(D18),[0]!rainforuplandcrop,4)/1000*R18*1600*7</f>
        <v>0</v>
      </c>
    </row>
    <row r="19" spans="2:26" x14ac:dyDescent="0.15">
      <c r="B19" s="106">
        <f t="shared" si="9"/>
        <v>39774</v>
      </c>
      <c r="C19" s="107">
        <f t="shared" si="10"/>
        <v>39780</v>
      </c>
      <c r="D19" s="99">
        <f t="shared" si="12"/>
        <v>39780</v>
      </c>
      <c r="E19" s="91">
        <v>4</v>
      </c>
      <c r="F19" s="96">
        <f>IF(ISERROR(VLOOKUP(E19,Crop!$S$3:$T$70,2,FALSE)),0,VLOOKUP(E19,Crop!$S$3:$T$70,2,FALSE))</f>
        <v>4</v>
      </c>
      <c r="G19" s="100">
        <f>IF(ISERROR(HLOOKUP($D$5,Kc!$B$3:$AI$57,plant!F19+3,FALSE)),0,HLOOKUP($D$5,Kc!$B$3:$AI$57,plant!F19+3,FALSE))</f>
        <v>2.1</v>
      </c>
      <c r="H19" s="112">
        <f t="shared" si="1"/>
        <v>0</v>
      </c>
      <c r="I19" s="113">
        <f t="shared" si="11"/>
        <v>0</v>
      </c>
      <c r="J19" s="113">
        <f t="shared" si="11"/>
        <v>0</v>
      </c>
      <c r="K19" s="113">
        <f t="shared" si="11"/>
        <v>0</v>
      </c>
      <c r="L19" s="113">
        <f t="shared" si="11"/>
        <v>0</v>
      </c>
      <c r="M19" s="113">
        <f t="shared" si="11"/>
        <v>0</v>
      </c>
      <c r="N19" s="113">
        <f t="shared" si="11"/>
        <v>0</v>
      </c>
      <c r="O19" s="113">
        <f t="shared" si="11"/>
        <v>0</v>
      </c>
      <c r="P19" s="113">
        <f t="shared" si="11"/>
        <v>0</v>
      </c>
      <c r="Q19" s="113">
        <f t="shared" si="11"/>
        <v>0</v>
      </c>
      <c r="R19" s="117">
        <f t="shared" si="3"/>
        <v>0</v>
      </c>
      <c r="S19" s="100">
        <f>IF(ISERROR((H19*G19+I19*G18+J19*G17+K19*G16+L19*G67+M19*G66+N19*G65+O19*G64+P19*G63+Q19*G62)/R19),0,(H19*G19+I19*G18+J19*G17+K19*G16+L19*G67+M19*G66+N19*G65+O19*G64+P19*G63+Q19*G62)/R19)</f>
        <v>0</v>
      </c>
      <c r="T19" s="97">
        <f>VLOOKUP($D$7,ETo!$B$4:$P$88,MONTH(D19)+2,FALSE)/4</f>
        <v>26.334910938750578</v>
      </c>
      <c r="U19" s="100">
        <f t="shared" si="4"/>
        <v>0</v>
      </c>
      <c r="V19" s="98">
        <f t="shared" si="5"/>
        <v>0</v>
      </c>
      <c r="W19" s="101">
        <f t="shared" si="6"/>
        <v>0</v>
      </c>
      <c r="X19" s="101">
        <f t="shared" si="7"/>
        <v>0</v>
      </c>
      <c r="Y19" s="101">
        <f t="shared" si="8"/>
        <v>0</v>
      </c>
      <c r="Z19" s="101">
        <f>VLOOKUP(MONTH(D19),[0]!rainforuplandcrop,4)/1000*R19*1600*7</f>
        <v>0</v>
      </c>
    </row>
    <row r="20" spans="2:26" x14ac:dyDescent="0.15">
      <c r="B20" s="106">
        <f t="shared" si="9"/>
        <v>39781</v>
      </c>
      <c r="C20" s="107">
        <f t="shared" si="10"/>
        <v>39787</v>
      </c>
      <c r="D20" s="99">
        <f t="shared" si="12"/>
        <v>39787</v>
      </c>
      <c r="E20" s="91">
        <v>5</v>
      </c>
      <c r="F20" s="96">
        <f>IF(ISERROR(VLOOKUP(E20,Crop!$S$3:$T$70,2,FALSE)),0,VLOOKUP(E20,Crop!$S$3:$T$70,2,FALSE))</f>
        <v>5</v>
      </c>
      <c r="G20" s="100">
        <f>IF(ISERROR(HLOOKUP($D$5,Kc!$B$3:$AI$57,plant!F20+3,FALSE)),0,HLOOKUP($D$5,Kc!$B$3:$AI$57,plant!F20+3,FALSE))</f>
        <v>2.1</v>
      </c>
      <c r="H20" s="112">
        <f t="shared" si="1"/>
        <v>0</v>
      </c>
      <c r="I20" s="113">
        <f t="shared" si="11"/>
        <v>0</v>
      </c>
      <c r="J20" s="113">
        <f t="shared" si="11"/>
        <v>0</v>
      </c>
      <c r="K20" s="113">
        <f t="shared" si="11"/>
        <v>0</v>
      </c>
      <c r="L20" s="113">
        <f t="shared" si="11"/>
        <v>0</v>
      </c>
      <c r="M20" s="113">
        <f t="shared" si="11"/>
        <v>0</v>
      </c>
      <c r="N20" s="113">
        <f t="shared" si="11"/>
        <v>0</v>
      </c>
      <c r="O20" s="113">
        <f t="shared" si="11"/>
        <v>0</v>
      </c>
      <c r="P20" s="113">
        <f t="shared" si="11"/>
        <v>0</v>
      </c>
      <c r="Q20" s="113">
        <f t="shared" si="11"/>
        <v>0</v>
      </c>
      <c r="R20" s="117">
        <f t="shared" si="3"/>
        <v>0</v>
      </c>
      <c r="S20" s="100">
        <f>IF(ISERROR((H20*G20+I20*G19+J20*G18+K20*G17+L20*G16+M20*G67+N20*G66+O20*G65+P20*G64+Q20*G63)/R20),0,(H20*G20+I20*G19+J20*G18+K20*G17+L20*G16+M20*G67+N20*G66+O20*G65+P20*G64+Q20*G63)/R20)</f>
        <v>0</v>
      </c>
      <c r="T20" s="97">
        <f>VLOOKUP($D$7,ETo!$B$4:$P$88,MONTH(D20)+2,FALSE)/4</f>
        <v>25.152990420694501</v>
      </c>
      <c r="U20" s="100">
        <f t="shared" si="4"/>
        <v>0</v>
      </c>
      <c r="V20" s="98">
        <f t="shared" si="5"/>
        <v>0</v>
      </c>
      <c r="W20" s="101">
        <f t="shared" si="6"/>
        <v>0</v>
      </c>
      <c r="X20" s="101">
        <f t="shared" si="7"/>
        <v>0</v>
      </c>
      <c r="Y20" s="101">
        <f t="shared" si="8"/>
        <v>0</v>
      </c>
      <c r="Z20" s="101">
        <f>VLOOKUP(MONTH(D20),[0]!rainforuplandcrop,4)/1000*R20*1600*7</f>
        <v>0</v>
      </c>
    </row>
    <row r="21" spans="2:26" x14ac:dyDescent="0.15">
      <c r="B21" s="106">
        <f t="shared" si="9"/>
        <v>39788</v>
      </c>
      <c r="C21" s="107">
        <f t="shared" si="10"/>
        <v>39794</v>
      </c>
      <c r="D21" s="99">
        <f t="shared" si="12"/>
        <v>39794</v>
      </c>
      <c r="E21" s="91">
        <v>6</v>
      </c>
      <c r="F21" s="96">
        <f>IF(ISERROR(VLOOKUP(E21,Crop!$S$3:$T$70,2,FALSE)),0,VLOOKUP(E21,Crop!$S$3:$T$70,2,FALSE))</f>
        <v>6</v>
      </c>
      <c r="G21" s="100">
        <f>IF(ISERROR(HLOOKUP($D$5,Kc!$B$3:$AI$57,plant!F21+3,FALSE)),0,HLOOKUP($D$5,Kc!$B$3:$AI$57,plant!F21+3,FALSE))</f>
        <v>2.46</v>
      </c>
      <c r="H21" s="112">
        <f t="shared" si="1"/>
        <v>0</v>
      </c>
      <c r="I21" s="113">
        <f t="shared" si="11"/>
        <v>0</v>
      </c>
      <c r="J21" s="113">
        <f t="shared" si="11"/>
        <v>0</v>
      </c>
      <c r="K21" s="113">
        <f t="shared" si="11"/>
        <v>0</v>
      </c>
      <c r="L21" s="113">
        <f t="shared" si="11"/>
        <v>0</v>
      </c>
      <c r="M21" s="113">
        <f t="shared" si="11"/>
        <v>0</v>
      </c>
      <c r="N21" s="113">
        <f t="shared" si="11"/>
        <v>0</v>
      </c>
      <c r="O21" s="113">
        <f t="shared" si="11"/>
        <v>0</v>
      </c>
      <c r="P21" s="113">
        <f t="shared" si="11"/>
        <v>0</v>
      </c>
      <c r="Q21" s="113">
        <f t="shared" si="11"/>
        <v>0</v>
      </c>
      <c r="R21" s="117">
        <f t="shared" si="3"/>
        <v>0</v>
      </c>
      <c r="S21" s="100">
        <f>IF(ISERROR((H21*G21+I21*G20+J21*G19+K21*G18+L21*G17+M21*G16+N21*G67+O21*G66+P21*G65+Q21*G64)/R21),0,(H21*G21+I21*G20+J21*G19+K21*G18+L21*G17+M21*G16+N21*G67+O21*G66+P21*G65+Q21*G64)/R21)</f>
        <v>0</v>
      </c>
      <c r="T21" s="97">
        <f>VLOOKUP($D$7,ETo!$B$4:$P$88,MONTH(D21)+2,FALSE)/4</f>
        <v>25.152990420694501</v>
      </c>
      <c r="U21" s="100">
        <f t="shared" si="4"/>
        <v>0</v>
      </c>
      <c r="V21" s="98">
        <f t="shared" si="5"/>
        <v>0</v>
      </c>
      <c r="W21" s="101">
        <f t="shared" si="6"/>
        <v>0</v>
      </c>
      <c r="X21" s="101">
        <f t="shared" si="7"/>
        <v>0</v>
      </c>
      <c r="Y21" s="101">
        <f t="shared" si="8"/>
        <v>0</v>
      </c>
      <c r="Z21" s="101">
        <f>VLOOKUP(MONTH(D21),[0]!rainforuplandcrop,4)/1000*R21*1600*7</f>
        <v>0</v>
      </c>
    </row>
    <row r="22" spans="2:26" x14ac:dyDescent="0.15">
      <c r="B22" s="106">
        <f t="shared" si="9"/>
        <v>39795</v>
      </c>
      <c r="C22" s="107">
        <f t="shared" si="10"/>
        <v>39801</v>
      </c>
      <c r="D22" s="99">
        <f t="shared" si="12"/>
        <v>39801</v>
      </c>
      <c r="E22" s="91">
        <v>7</v>
      </c>
      <c r="F22" s="96">
        <f>IF(ISERROR(VLOOKUP(E22,Crop!$S$3:$T$70,2,FALSE)),0,VLOOKUP(E22,Crop!$S$3:$T$70,2,FALSE))</f>
        <v>7</v>
      </c>
      <c r="G22" s="100">
        <f>IF(ISERROR(HLOOKUP($D$5,Kc!$B$3:$AI$57,plant!F22+3,FALSE)),0,HLOOKUP($D$5,Kc!$B$3:$AI$57,plant!F22+3,FALSE))</f>
        <v>2.46</v>
      </c>
      <c r="H22" s="112">
        <f t="shared" si="1"/>
        <v>0</v>
      </c>
      <c r="I22" s="113">
        <f t="shared" si="11"/>
        <v>0</v>
      </c>
      <c r="J22" s="113">
        <f t="shared" si="11"/>
        <v>0</v>
      </c>
      <c r="K22" s="113">
        <f t="shared" si="11"/>
        <v>0</v>
      </c>
      <c r="L22" s="113">
        <f t="shared" si="11"/>
        <v>0</v>
      </c>
      <c r="M22" s="113">
        <f t="shared" si="11"/>
        <v>0</v>
      </c>
      <c r="N22" s="113">
        <f t="shared" si="11"/>
        <v>0</v>
      </c>
      <c r="O22" s="113">
        <f t="shared" si="11"/>
        <v>0</v>
      </c>
      <c r="P22" s="113">
        <f t="shared" si="11"/>
        <v>0</v>
      </c>
      <c r="Q22" s="113">
        <f t="shared" si="11"/>
        <v>0</v>
      </c>
      <c r="R22" s="117">
        <f t="shared" si="3"/>
        <v>0</v>
      </c>
      <c r="S22" s="100">
        <f>IF(ISERROR((H22*G22+I22*G21+J22*G20+K22*G19+L22*G18+M22*G17+N22*G16+O22*G67+P22*G66+Q22*G65)/R22),0,(H22*G22+I22*G21+J22*G20+K22*G19+L22*G18+M22*G17+N22*G16+O22*G67+P22*G66+Q22*G65)/R22)</f>
        <v>0</v>
      </c>
      <c r="T22" s="97">
        <f>VLOOKUP($D$7,ETo!$B$4:$P$88,MONTH(D22)+2,FALSE)/4</f>
        <v>25.152990420694501</v>
      </c>
      <c r="U22" s="100">
        <f t="shared" si="4"/>
        <v>0</v>
      </c>
      <c r="V22" s="98">
        <f t="shared" si="5"/>
        <v>0</v>
      </c>
      <c r="W22" s="101">
        <f t="shared" si="6"/>
        <v>0</v>
      </c>
      <c r="X22" s="101">
        <f t="shared" si="7"/>
        <v>0</v>
      </c>
      <c r="Y22" s="101">
        <f t="shared" si="8"/>
        <v>0</v>
      </c>
      <c r="Z22" s="101">
        <f>VLOOKUP(MONTH(D22),[0]!rainforuplandcrop,4)/1000*R22*1600*7</f>
        <v>0</v>
      </c>
    </row>
    <row r="23" spans="2:26" x14ac:dyDescent="0.15">
      <c r="B23" s="106">
        <f t="shared" si="9"/>
        <v>39802</v>
      </c>
      <c r="C23" s="107">
        <f t="shared" si="10"/>
        <v>39808</v>
      </c>
      <c r="D23" s="99">
        <f t="shared" si="12"/>
        <v>39808</v>
      </c>
      <c r="E23" s="91">
        <v>8</v>
      </c>
      <c r="F23" s="96">
        <f>IF(ISERROR(VLOOKUP(E23,Crop!$S$3:$T$70,2,FALSE)),0,VLOOKUP(E23,Crop!$S$3:$T$70,2,FALSE))</f>
        <v>8</v>
      </c>
      <c r="G23" s="100">
        <f>IF(ISERROR(HLOOKUP($D$5,Kc!$B$3:$AI$57,plant!F23+3,FALSE)),0,HLOOKUP($D$5,Kc!$B$3:$AI$57,plant!F23+3,FALSE))</f>
        <v>2.46</v>
      </c>
      <c r="H23" s="112">
        <f t="shared" si="1"/>
        <v>0</v>
      </c>
      <c r="I23" s="113">
        <f t="shared" si="11"/>
        <v>0</v>
      </c>
      <c r="J23" s="113">
        <f t="shared" si="11"/>
        <v>0</v>
      </c>
      <c r="K23" s="113">
        <f t="shared" si="11"/>
        <v>0</v>
      </c>
      <c r="L23" s="113">
        <f t="shared" si="11"/>
        <v>0</v>
      </c>
      <c r="M23" s="113">
        <f t="shared" si="11"/>
        <v>0</v>
      </c>
      <c r="N23" s="113">
        <f t="shared" si="11"/>
        <v>0</v>
      </c>
      <c r="O23" s="113">
        <f t="shared" si="11"/>
        <v>0</v>
      </c>
      <c r="P23" s="113">
        <f t="shared" si="11"/>
        <v>0</v>
      </c>
      <c r="Q23" s="113">
        <f t="shared" si="11"/>
        <v>0</v>
      </c>
      <c r="R23" s="117">
        <f t="shared" si="3"/>
        <v>0</v>
      </c>
      <c r="S23" s="100">
        <f>IF(ISERROR((H23*G23+I23*G22+J23*G21+K23*G20+L23*G19+M23*G18+N23*G17+O23*G16+P23*G67+Q23*G66)/R23),0,(H23*G23+I23*G22+J23*G21+K23*G20+L23*G19+M23*G18+N23*G17+O23*G16+P23*G67+Q23*G66)/R23)</f>
        <v>0</v>
      </c>
      <c r="T23" s="97">
        <f>VLOOKUP($D$7,ETo!$B$4:$P$88,MONTH(D23)+2,FALSE)/4</f>
        <v>25.152990420694501</v>
      </c>
      <c r="U23" s="100">
        <f t="shared" si="4"/>
        <v>0</v>
      </c>
      <c r="V23" s="98">
        <f t="shared" si="5"/>
        <v>0</v>
      </c>
      <c r="W23" s="101">
        <f t="shared" si="6"/>
        <v>0</v>
      </c>
      <c r="X23" s="101">
        <f t="shared" si="7"/>
        <v>0</v>
      </c>
      <c r="Y23" s="101">
        <f t="shared" si="8"/>
        <v>0</v>
      </c>
      <c r="Z23" s="101">
        <f>VLOOKUP(MONTH(D23),[0]!rainforuplandcrop,4)/1000*R23*1600*7</f>
        <v>0</v>
      </c>
    </row>
    <row r="24" spans="2:26" x14ac:dyDescent="0.15">
      <c r="B24" s="106">
        <f t="shared" si="9"/>
        <v>39809</v>
      </c>
      <c r="C24" s="107">
        <f t="shared" si="10"/>
        <v>39815</v>
      </c>
      <c r="D24" s="99">
        <f t="shared" si="12"/>
        <v>39815</v>
      </c>
      <c r="E24" s="91">
        <v>9</v>
      </c>
      <c r="F24" s="96">
        <f>IF(ISERROR(VLOOKUP(E24,Crop!$S$3:$T$70,2,FALSE)),0,VLOOKUP(E24,Crop!$S$3:$T$70,2,FALSE))</f>
        <v>9</v>
      </c>
      <c r="G24" s="100">
        <f>IF(ISERROR(HLOOKUP($D$5,Kc!$B$3:$AI$57,plant!F24+3,FALSE)),0,HLOOKUP($D$5,Kc!$B$3:$AI$57,plant!F24+3,FALSE))</f>
        <v>2.46</v>
      </c>
      <c r="H24" s="112">
        <f t="shared" si="1"/>
        <v>0</v>
      </c>
      <c r="I24" s="113">
        <f t="shared" si="11"/>
        <v>0</v>
      </c>
      <c r="J24" s="113">
        <f t="shared" si="11"/>
        <v>0</v>
      </c>
      <c r="K24" s="113">
        <f t="shared" si="11"/>
        <v>0</v>
      </c>
      <c r="L24" s="113">
        <f t="shared" si="11"/>
        <v>0</v>
      </c>
      <c r="M24" s="113">
        <f t="shared" si="11"/>
        <v>0</v>
      </c>
      <c r="N24" s="113">
        <f t="shared" si="11"/>
        <v>0</v>
      </c>
      <c r="O24" s="113">
        <f t="shared" si="11"/>
        <v>0</v>
      </c>
      <c r="P24" s="113">
        <f t="shared" si="11"/>
        <v>0</v>
      </c>
      <c r="Q24" s="113">
        <f t="shared" si="11"/>
        <v>0</v>
      </c>
      <c r="R24" s="117">
        <f t="shared" si="3"/>
        <v>0</v>
      </c>
      <c r="S24" s="100">
        <f>IF(ISERROR((H24*G24+I24*G23+J24*G22+K24*G21+L24*G20+M24*G19+N24*G18+O24*G17+P24*G16+Q24*G67)/R24),0,(H24*G24+I24*G23+J24*G22+K24*G21+L24*G20+M24*G19+N24*G18+O24*G17+P24*G16+Q24*G67)/R24)</f>
        <v>0</v>
      </c>
      <c r="T24" s="97">
        <f>VLOOKUP($D$7,ETo!$B$4:$P$88,MONTH(D24)+2,FALSE)/4</f>
        <v>26.227032335674728</v>
      </c>
      <c r="U24" s="100">
        <f t="shared" si="4"/>
        <v>0</v>
      </c>
      <c r="V24" s="98">
        <f t="shared" si="5"/>
        <v>0</v>
      </c>
      <c r="W24" s="101">
        <f t="shared" si="6"/>
        <v>0</v>
      </c>
      <c r="X24" s="101">
        <f t="shared" si="7"/>
        <v>0</v>
      </c>
      <c r="Y24" s="101">
        <f t="shared" si="8"/>
        <v>0</v>
      </c>
      <c r="Z24" s="101">
        <f>VLOOKUP(MONTH(D24),[0]!rainforuplandcrop,4)/1000*R24*1600*7</f>
        <v>0</v>
      </c>
    </row>
    <row r="25" spans="2:26" x14ac:dyDescent="0.15">
      <c r="B25" s="106">
        <f t="shared" si="9"/>
        <v>39816</v>
      </c>
      <c r="C25" s="107">
        <f t="shared" si="10"/>
        <v>39822</v>
      </c>
      <c r="D25" s="99">
        <f t="shared" si="12"/>
        <v>39822</v>
      </c>
      <c r="E25" s="91">
        <v>10</v>
      </c>
      <c r="F25" s="96">
        <f>IF(ISERROR(VLOOKUP(E25,Crop!$S$3:$T$70,2,FALSE)),0,VLOOKUP(E25,Crop!$S$3:$T$70,2,FALSE))</f>
        <v>10</v>
      </c>
      <c r="G25" s="100">
        <f>IF(ISERROR(HLOOKUP($D$5,Kc!$B$3:$AI$57,plant!F25+3,FALSE)),0,HLOOKUP($D$5,Kc!$B$3:$AI$57,plant!F25+3,FALSE))</f>
        <v>2.5299999999999998</v>
      </c>
      <c r="H25" s="112">
        <f t="shared" si="1"/>
        <v>0</v>
      </c>
      <c r="I25" s="113">
        <f t="shared" si="11"/>
        <v>0</v>
      </c>
      <c r="J25" s="113">
        <f t="shared" si="11"/>
        <v>0</v>
      </c>
      <c r="K25" s="113">
        <f t="shared" si="11"/>
        <v>0</v>
      </c>
      <c r="L25" s="113">
        <f t="shared" si="11"/>
        <v>0</v>
      </c>
      <c r="M25" s="113">
        <f t="shared" si="11"/>
        <v>0</v>
      </c>
      <c r="N25" s="113">
        <f t="shared" si="11"/>
        <v>0</v>
      </c>
      <c r="O25" s="113">
        <f t="shared" si="11"/>
        <v>0</v>
      </c>
      <c r="P25" s="113">
        <f t="shared" si="11"/>
        <v>0</v>
      </c>
      <c r="Q25" s="113">
        <f t="shared" si="11"/>
        <v>0</v>
      </c>
      <c r="R25" s="117">
        <f t="shared" si="3"/>
        <v>0</v>
      </c>
      <c r="S25" s="100">
        <f t="shared" ref="S25:S67" si="13">IF(ISERROR((H25*G25+I25*G24+J25*G23+K25*G22+L25*G21+M25*G20+N25*G19+O25*G18+P25*G17+Q25*G16)/R25),0,(H25*G25+I25*G24+J25*G23+K25*G22+L25*G21+M25*G20+N25*G19+O25*G18+P25*G17+Q25*G16)/R25)</f>
        <v>0</v>
      </c>
      <c r="T25" s="97">
        <f>VLOOKUP($D$7,ETo!$B$4:$P$88,MONTH(D25)+2,FALSE)/4</f>
        <v>26.227032335674728</v>
      </c>
      <c r="U25" s="100">
        <f t="shared" si="4"/>
        <v>0</v>
      </c>
      <c r="V25" s="98">
        <f t="shared" si="5"/>
        <v>0</v>
      </c>
      <c r="W25" s="101">
        <f t="shared" si="6"/>
        <v>0</v>
      </c>
      <c r="X25" s="101">
        <f t="shared" si="7"/>
        <v>0</v>
      </c>
      <c r="Y25" s="101">
        <f t="shared" si="8"/>
        <v>0</v>
      </c>
      <c r="Z25" s="101">
        <f>VLOOKUP(MONTH(D25),[0]!rainforuplandcrop,4)/1000*R25*1600*7</f>
        <v>0</v>
      </c>
    </row>
    <row r="26" spans="2:26" x14ac:dyDescent="0.15">
      <c r="B26" s="106">
        <f t="shared" si="9"/>
        <v>39823</v>
      </c>
      <c r="C26" s="107">
        <f t="shared" si="10"/>
        <v>39829</v>
      </c>
      <c r="D26" s="99">
        <f t="shared" si="12"/>
        <v>39829</v>
      </c>
      <c r="E26" s="91">
        <v>11</v>
      </c>
      <c r="F26" s="96">
        <f>IF(ISERROR(VLOOKUP(E26,Crop!$S$3:$T$70,2,FALSE)),0,VLOOKUP(E26,Crop!$S$3:$T$70,2,FALSE))</f>
        <v>11</v>
      </c>
      <c r="G26" s="100">
        <f>IF(ISERROR(HLOOKUP($D$5,Kc!$B$3:$AI$57,plant!F26+3,FALSE)),0,HLOOKUP($D$5,Kc!$B$3:$AI$57,plant!F26+3,FALSE))</f>
        <v>2.5299999999999998</v>
      </c>
      <c r="H26" s="112">
        <f t="shared" si="1"/>
        <v>0</v>
      </c>
      <c r="I26" s="113">
        <f t="shared" si="11"/>
        <v>0</v>
      </c>
      <c r="J26" s="113">
        <f t="shared" si="11"/>
        <v>0</v>
      </c>
      <c r="K26" s="113">
        <f t="shared" si="11"/>
        <v>0</v>
      </c>
      <c r="L26" s="113">
        <f t="shared" si="11"/>
        <v>0</v>
      </c>
      <c r="M26" s="113">
        <f t="shared" si="11"/>
        <v>0</v>
      </c>
      <c r="N26" s="113">
        <f t="shared" si="11"/>
        <v>0</v>
      </c>
      <c r="O26" s="113">
        <f t="shared" si="11"/>
        <v>0</v>
      </c>
      <c r="P26" s="113">
        <f t="shared" si="11"/>
        <v>0</v>
      </c>
      <c r="Q26" s="113">
        <f t="shared" si="11"/>
        <v>0</v>
      </c>
      <c r="R26" s="117">
        <f t="shared" si="3"/>
        <v>0</v>
      </c>
      <c r="S26" s="100">
        <f t="shared" si="13"/>
        <v>0</v>
      </c>
      <c r="T26" s="97">
        <f>VLOOKUP($D$7,ETo!$B$4:$P$88,MONTH(D26)+2,FALSE)/4</f>
        <v>26.227032335674728</v>
      </c>
      <c r="U26" s="100">
        <f t="shared" si="4"/>
        <v>0</v>
      </c>
      <c r="V26" s="98">
        <f t="shared" si="5"/>
        <v>0</v>
      </c>
      <c r="W26" s="101">
        <f t="shared" si="6"/>
        <v>0</v>
      </c>
      <c r="X26" s="101">
        <f t="shared" si="7"/>
        <v>0</v>
      </c>
      <c r="Y26" s="101">
        <f t="shared" si="8"/>
        <v>0</v>
      </c>
      <c r="Z26" s="101">
        <f>VLOOKUP(MONTH(D26),[0]!rainforuplandcrop,4)/1000*R26*1600*7</f>
        <v>0</v>
      </c>
    </row>
    <row r="27" spans="2:26" x14ac:dyDescent="0.15">
      <c r="B27" s="106">
        <f t="shared" si="9"/>
        <v>39830</v>
      </c>
      <c r="C27" s="107">
        <f t="shared" si="10"/>
        <v>39836</v>
      </c>
      <c r="D27" s="99">
        <f t="shared" si="12"/>
        <v>39836</v>
      </c>
      <c r="E27" s="91">
        <v>12</v>
      </c>
      <c r="F27" s="96">
        <f>IF(ISERROR(VLOOKUP(E27,Crop!$S$3:$T$70,2,FALSE)),0,VLOOKUP(E27,Crop!$S$3:$T$70,2,FALSE))</f>
        <v>12</v>
      </c>
      <c r="G27" s="100">
        <f>IF(ISERROR(HLOOKUP($D$5,Kc!$B$3:$AI$57,plant!F27+3,FALSE)),0,HLOOKUP($D$5,Kc!$B$3:$AI$57,plant!F27+3,FALSE))</f>
        <v>2.5299999999999998</v>
      </c>
      <c r="H27" s="112">
        <f t="shared" si="1"/>
        <v>0</v>
      </c>
      <c r="I27" s="113">
        <f t="shared" ref="I27:Q36" si="14">IF(H26&gt;0,IF(I$15&gt;$E$9,0,VLOOKUP(I$15,$F$3:$G$12,2,FALSE)),0)</f>
        <v>0</v>
      </c>
      <c r="J27" s="113">
        <f t="shared" si="14"/>
        <v>0</v>
      </c>
      <c r="K27" s="113">
        <f t="shared" si="14"/>
        <v>0</v>
      </c>
      <c r="L27" s="113">
        <f t="shared" si="14"/>
        <v>0</v>
      </c>
      <c r="M27" s="113">
        <f t="shared" si="14"/>
        <v>0</v>
      </c>
      <c r="N27" s="113">
        <f t="shared" si="14"/>
        <v>0</v>
      </c>
      <c r="O27" s="113">
        <f t="shared" si="14"/>
        <v>0</v>
      </c>
      <c r="P27" s="113">
        <f t="shared" si="14"/>
        <v>0</v>
      </c>
      <c r="Q27" s="113">
        <f t="shared" si="14"/>
        <v>0</v>
      </c>
      <c r="R27" s="117">
        <f t="shared" si="3"/>
        <v>0</v>
      </c>
      <c r="S27" s="100">
        <f t="shared" si="13"/>
        <v>0</v>
      </c>
      <c r="T27" s="97">
        <f>VLOOKUP($D$7,ETo!$B$4:$P$88,MONTH(D27)+2,FALSE)/4</f>
        <v>26.227032335674728</v>
      </c>
      <c r="U27" s="100">
        <f t="shared" si="4"/>
        <v>0</v>
      </c>
      <c r="V27" s="98">
        <f t="shared" si="5"/>
        <v>0</v>
      </c>
      <c r="W27" s="101">
        <f t="shared" si="6"/>
        <v>0</v>
      </c>
      <c r="X27" s="101">
        <f t="shared" si="7"/>
        <v>0</v>
      </c>
      <c r="Y27" s="101">
        <f t="shared" si="8"/>
        <v>0</v>
      </c>
      <c r="Z27" s="101">
        <f>VLOOKUP(MONTH(D27),[0]!rainforuplandcrop,4)/1000*R27*1600*7</f>
        <v>0</v>
      </c>
    </row>
    <row r="28" spans="2:26" x14ac:dyDescent="0.15">
      <c r="B28" s="106">
        <f t="shared" si="9"/>
        <v>39837</v>
      </c>
      <c r="C28" s="107">
        <f t="shared" si="10"/>
        <v>39843</v>
      </c>
      <c r="D28" s="99">
        <f t="shared" si="12"/>
        <v>39843</v>
      </c>
      <c r="E28" s="91">
        <v>13</v>
      </c>
      <c r="F28" s="96">
        <f>IF(ISERROR(VLOOKUP(E28,Crop!$S$3:$T$70,2,FALSE)),0,VLOOKUP(E28,Crop!$S$3:$T$70,2,FALSE))</f>
        <v>13</v>
      </c>
      <c r="G28" s="100">
        <f>IF(ISERROR(HLOOKUP($D$5,Kc!$B$3:$AI$57,plant!F28+3,FALSE)),0,HLOOKUP($D$5,Kc!$B$3:$AI$57,plant!F28+3,FALSE))</f>
        <v>2.5299999999999998</v>
      </c>
      <c r="H28" s="112">
        <f t="shared" si="1"/>
        <v>0</v>
      </c>
      <c r="I28" s="113">
        <f t="shared" si="14"/>
        <v>0</v>
      </c>
      <c r="J28" s="113">
        <f t="shared" si="14"/>
        <v>0</v>
      </c>
      <c r="K28" s="113">
        <f t="shared" si="14"/>
        <v>0</v>
      </c>
      <c r="L28" s="113">
        <f t="shared" si="14"/>
        <v>0</v>
      </c>
      <c r="M28" s="113">
        <f t="shared" si="14"/>
        <v>0</v>
      </c>
      <c r="N28" s="113">
        <f t="shared" si="14"/>
        <v>0</v>
      </c>
      <c r="O28" s="113">
        <f t="shared" si="14"/>
        <v>0</v>
      </c>
      <c r="P28" s="113">
        <f t="shared" si="14"/>
        <v>0</v>
      </c>
      <c r="Q28" s="113">
        <f t="shared" si="14"/>
        <v>0</v>
      </c>
      <c r="R28" s="117">
        <f t="shared" si="3"/>
        <v>0</v>
      </c>
      <c r="S28" s="100">
        <f t="shared" si="13"/>
        <v>0</v>
      </c>
      <c r="T28" s="97">
        <f>VLOOKUP($D$7,ETo!$B$4:$P$88,MONTH(D28)+2,FALSE)/4</f>
        <v>26.227032335674728</v>
      </c>
      <c r="U28" s="100">
        <f t="shared" si="4"/>
        <v>0</v>
      </c>
      <c r="V28" s="98">
        <f t="shared" si="5"/>
        <v>0</v>
      </c>
      <c r="W28" s="101">
        <f t="shared" si="6"/>
        <v>0</v>
      </c>
      <c r="X28" s="101">
        <f t="shared" si="7"/>
        <v>0</v>
      </c>
      <c r="Y28" s="101">
        <f t="shared" si="8"/>
        <v>0</v>
      </c>
      <c r="Z28" s="101">
        <f>VLOOKUP(MONTH(D28),[0]!rainforuplandcrop,4)/1000*R28*1600*7</f>
        <v>0</v>
      </c>
    </row>
    <row r="29" spans="2:26" x14ac:dyDescent="0.15">
      <c r="B29" s="106">
        <f t="shared" si="9"/>
        <v>39844</v>
      </c>
      <c r="C29" s="107">
        <f t="shared" si="10"/>
        <v>39850</v>
      </c>
      <c r="D29" s="99">
        <f t="shared" si="12"/>
        <v>39850</v>
      </c>
      <c r="E29" s="91">
        <v>14</v>
      </c>
      <c r="F29" s="96">
        <f>IF(ISERROR(VLOOKUP(E29,Crop!$S$3:$T$70,2,FALSE)),0,VLOOKUP(E29,Crop!$S$3:$T$70,2,FALSE))</f>
        <v>14</v>
      </c>
      <c r="G29" s="100">
        <f>IF(ISERROR(HLOOKUP($D$5,Kc!$B$3:$AI$57,plant!F29+3,FALSE)),0,HLOOKUP($D$5,Kc!$B$3:$AI$57,plant!F29+3,FALSE))</f>
        <v>2.2799999999999998</v>
      </c>
      <c r="H29" s="112">
        <f t="shared" si="1"/>
        <v>0</v>
      </c>
      <c r="I29" s="113">
        <f t="shared" si="14"/>
        <v>0</v>
      </c>
      <c r="J29" s="113">
        <f t="shared" si="14"/>
        <v>0</v>
      </c>
      <c r="K29" s="113">
        <f t="shared" si="14"/>
        <v>0</v>
      </c>
      <c r="L29" s="113">
        <f t="shared" si="14"/>
        <v>0</v>
      </c>
      <c r="M29" s="113">
        <f t="shared" si="14"/>
        <v>0</v>
      </c>
      <c r="N29" s="113">
        <f t="shared" si="14"/>
        <v>0</v>
      </c>
      <c r="O29" s="113">
        <f t="shared" si="14"/>
        <v>0</v>
      </c>
      <c r="P29" s="113">
        <f t="shared" si="14"/>
        <v>0</v>
      </c>
      <c r="Q29" s="113">
        <f t="shared" si="14"/>
        <v>0</v>
      </c>
      <c r="R29" s="117">
        <f t="shared" si="3"/>
        <v>0</v>
      </c>
      <c r="S29" s="100">
        <f t="shared" si="13"/>
        <v>0</v>
      </c>
      <c r="T29" s="97">
        <f>VLOOKUP($D$7,ETo!$B$4:$P$88,MONTH(D29)+2,FALSE)/4</f>
        <v>28.598453964472196</v>
      </c>
      <c r="U29" s="100">
        <f t="shared" si="4"/>
        <v>0</v>
      </c>
      <c r="V29" s="98">
        <f t="shared" si="5"/>
        <v>0</v>
      </c>
      <c r="W29" s="101">
        <f t="shared" si="6"/>
        <v>0</v>
      </c>
      <c r="X29" s="101">
        <f t="shared" si="7"/>
        <v>0</v>
      </c>
      <c r="Y29" s="101">
        <f t="shared" si="8"/>
        <v>0</v>
      </c>
      <c r="Z29" s="101">
        <f>VLOOKUP(MONTH(D29),[0]!rainforuplandcrop,4)/1000*R29*1600*7</f>
        <v>0</v>
      </c>
    </row>
    <row r="30" spans="2:26" x14ac:dyDescent="0.15">
      <c r="B30" s="106">
        <f t="shared" si="9"/>
        <v>39851</v>
      </c>
      <c r="C30" s="107">
        <f t="shared" si="10"/>
        <v>39857</v>
      </c>
      <c r="D30" s="99">
        <f t="shared" si="12"/>
        <v>39857</v>
      </c>
      <c r="E30" s="91">
        <v>15</v>
      </c>
      <c r="F30" s="96">
        <f>IF(ISERROR(VLOOKUP(E30,Crop!$S$3:$T$70,2,FALSE)),0,VLOOKUP(E30,Crop!$S$3:$T$70,2,FALSE))</f>
        <v>15</v>
      </c>
      <c r="G30" s="100">
        <f>IF(ISERROR(HLOOKUP($D$5,Kc!$B$3:$AI$57,plant!F30+3,FALSE)),0,HLOOKUP($D$5,Kc!$B$3:$AI$57,plant!F30+3,FALSE))</f>
        <v>2.2799999999999998</v>
      </c>
      <c r="H30" s="112">
        <f t="shared" si="1"/>
        <v>0</v>
      </c>
      <c r="I30" s="113">
        <f t="shared" si="14"/>
        <v>0</v>
      </c>
      <c r="J30" s="113">
        <f t="shared" si="14"/>
        <v>0</v>
      </c>
      <c r="K30" s="113">
        <f t="shared" si="14"/>
        <v>0</v>
      </c>
      <c r="L30" s="113">
        <f t="shared" si="14"/>
        <v>0</v>
      </c>
      <c r="M30" s="113">
        <f t="shared" si="14"/>
        <v>0</v>
      </c>
      <c r="N30" s="113">
        <f t="shared" si="14"/>
        <v>0</v>
      </c>
      <c r="O30" s="113">
        <f t="shared" si="14"/>
        <v>0</v>
      </c>
      <c r="P30" s="113">
        <f t="shared" si="14"/>
        <v>0</v>
      </c>
      <c r="Q30" s="113">
        <f t="shared" si="14"/>
        <v>0</v>
      </c>
      <c r="R30" s="117">
        <f t="shared" si="3"/>
        <v>0</v>
      </c>
      <c r="S30" s="100">
        <f t="shared" si="13"/>
        <v>0</v>
      </c>
      <c r="T30" s="97">
        <f>VLOOKUP($D$7,ETo!$B$4:$P$88,MONTH(D30)+2,FALSE)/4</f>
        <v>28.598453964472196</v>
      </c>
      <c r="U30" s="100">
        <f t="shared" si="4"/>
        <v>0</v>
      </c>
      <c r="V30" s="98">
        <f t="shared" si="5"/>
        <v>0</v>
      </c>
      <c r="W30" s="101">
        <f t="shared" si="6"/>
        <v>0</v>
      </c>
      <c r="X30" s="101">
        <f t="shared" si="7"/>
        <v>0</v>
      </c>
      <c r="Y30" s="101">
        <f t="shared" si="8"/>
        <v>0</v>
      </c>
      <c r="Z30" s="101">
        <f>VLOOKUP(MONTH(D30),[0]!rainforuplandcrop,4)/1000*R30*1600*7</f>
        <v>0</v>
      </c>
    </row>
    <row r="31" spans="2:26" x14ac:dyDescent="0.15">
      <c r="B31" s="106">
        <f t="shared" si="9"/>
        <v>39858</v>
      </c>
      <c r="C31" s="107">
        <f t="shared" si="10"/>
        <v>39864</v>
      </c>
      <c r="D31" s="99">
        <f t="shared" si="12"/>
        <v>39864</v>
      </c>
      <c r="E31" s="91">
        <v>16</v>
      </c>
      <c r="F31" s="96">
        <f>IF(ISERROR(VLOOKUP(E31,Crop!$S$3:$T$70,2,FALSE)),0,VLOOKUP(E31,Crop!$S$3:$T$70,2,FALSE))</f>
        <v>16</v>
      </c>
      <c r="G31" s="100">
        <f>IF(ISERROR(HLOOKUP($D$5,Kc!$B$3:$AI$57,plant!F31+3,FALSE)),0,HLOOKUP($D$5,Kc!$B$3:$AI$57,plant!F31+3,FALSE))</f>
        <v>2.2799999999999998</v>
      </c>
      <c r="H31" s="112">
        <f t="shared" si="1"/>
        <v>0</v>
      </c>
      <c r="I31" s="113">
        <f t="shared" si="14"/>
        <v>0</v>
      </c>
      <c r="J31" s="113">
        <f t="shared" si="14"/>
        <v>0</v>
      </c>
      <c r="K31" s="113">
        <f t="shared" si="14"/>
        <v>0</v>
      </c>
      <c r="L31" s="113">
        <f t="shared" si="14"/>
        <v>0</v>
      </c>
      <c r="M31" s="113">
        <f t="shared" si="14"/>
        <v>0</v>
      </c>
      <c r="N31" s="113">
        <f t="shared" si="14"/>
        <v>0</v>
      </c>
      <c r="O31" s="113">
        <f t="shared" si="14"/>
        <v>0</v>
      </c>
      <c r="P31" s="113">
        <f t="shared" si="14"/>
        <v>0</v>
      </c>
      <c r="Q31" s="113">
        <f t="shared" si="14"/>
        <v>0</v>
      </c>
      <c r="R31" s="117">
        <f t="shared" si="3"/>
        <v>0</v>
      </c>
      <c r="S31" s="100">
        <f t="shared" si="13"/>
        <v>0</v>
      </c>
      <c r="T31" s="97">
        <f>VLOOKUP($D$7,ETo!$B$4:$P$88,MONTH(D31)+2,FALSE)/4</f>
        <v>28.598453964472196</v>
      </c>
      <c r="U31" s="100">
        <f t="shared" si="4"/>
        <v>0</v>
      </c>
      <c r="V31" s="98">
        <f t="shared" si="5"/>
        <v>0</v>
      </c>
      <c r="W31" s="101">
        <f t="shared" si="6"/>
        <v>0</v>
      </c>
      <c r="X31" s="101">
        <f t="shared" si="7"/>
        <v>0</v>
      </c>
      <c r="Y31" s="101">
        <f t="shared" si="8"/>
        <v>0</v>
      </c>
      <c r="Z31" s="101">
        <f>VLOOKUP(MONTH(D31),[0]!rainforuplandcrop,4)/1000*R31*1600*7</f>
        <v>0</v>
      </c>
    </row>
    <row r="32" spans="2:26" x14ac:dyDescent="0.15">
      <c r="B32" s="106">
        <f t="shared" si="9"/>
        <v>39865</v>
      </c>
      <c r="C32" s="107">
        <f t="shared" si="10"/>
        <v>39871</v>
      </c>
      <c r="D32" s="99">
        <f t="shared" si="12"/>
        <v>39871</v>
      </c>
      <c r="E32" s="91">
        <v>17</v>
      </c>
      <c r="F32" s="96">
        <f>IF(ISERROR(VLOOKUP(E32,Crop!$S$3:$T$70,2,FALSE)),0,VLOOKUP(E32,Crop!$S$3:$T$70,2,FALSE))</f>
        <v>17</v>
      </c>
      <c r="G32" s="100">
        <f>IF(ISERROR(HLOOKUP($D$5,Kc!$B$3:$AI$57,plant!F32+3,FALSE)),0,HLOOKUP($D$5,Kc!$B$3:$AI$57,plant!F32+3,FALSE))</f>
        <v>2.2799999999999998</v>
      </c>
      <c r="H32" s="112">
        <f t="shared" si="1"/>
        <v>0</v>
      </c>
      <c r="I32" s="113">
        <f t="shared" si="14"/>
        <v>0</v>
      </c>
      <c r="J32" s="113">
        <f t="shared" si="14"/>
        <v>0</v>
      </c>
      <c r="K32" s="113">
        <f t="shared" si="14"/>
        <v>0</v>
      </c>
      <c r="L32" s="113">
        <f t="shared" si="14"/>
        <v>0</v>
      </c>
      <c r="M32" s="113">
        <f t="shared" si="14"/>
        <v>0</v>
      </c>
      <c r="N32" s="113">
        <f t="shared" si="14"/>
        <v>0</v>
      </c>
      <c r="O32" s="113">
        <f t="shared" si="14"/>
        <v>0</v>
      </c>
      <c r="P32" s="113">
        <f t="shared" si="14"/>
        <v>0</v>
      </c>
      <c r="Q32" s="113">
        <f t="shared" si="14"/>
        <v>0</v>
      </c>
      <c r="R32" s="117">
        <f t="shared" si="3"/>
        <v>0</v>
      </c>
      <c r="S32" s="100">
        <f t="shared" si="13"/>
        <v>0</v>
      </c>
      <c r="T32" s="97">
        <f>VLOOKUP($D$7,ETo!$B$4:$P$88,MONTH(D32)+2,FALSE)/4</f>
        <v>28.598453964472196</v>
      </c>
      <c r="U32" s="100">
        <f t="shared" si="4"/>
        <v>0</v>
      </c>
      <c r="V32" s="98">
        <f t="shared" si="5"/>
        <v>0</v>
      </c>
      <c r="W32" s="101">
        <f t="shared" si="6"/>
        <v>0</v>
      </c>
      <c r="X32" s="101">
        <f t="shared" si="7"/>
        <v>0</v>
      </c>
      <c r="Y32" s="101">
        <f t="shared" si="8"/>
        <v>0</v>
      </c>
      <c r="Z32" s="101">
        <f>VLOOKUP(MONTH(D32),[0]!rainforuplandcrop,4)/1000*R32*1600*7</f>
        <v>0</v>
      </c>
    </row>
    <row r="33" spans="2:26" x14ac:dyDescent="0.15">
      <c r="B33" s="106">
        <f t="shared" si="9"/>
        <v>39872</v>
      </c>
      <c r="C33" s="107">
        <f t="shared" si="10"/>
        <v>39878</v>
      </c>
      <c r="D33" s="99">
        <f t="shared" si="12"/>
        <v>39878</v>
      </c>
      <c r="E33" s="91">
        <v>18</v>
      </c>
      <c r="F33" s="96">
        <f>IF(ISERROR(VLOOKUP(E33,Crop!$S$3:$T$70,2,FALSE)),0,VLOOKUP(E33,Crop!$S$3:$T$70,2,FALSE))</f>
        <v>18</v>
      </c>
      <c r="G33" s="100">
        <f>IF(ISERROR(HLOOKUP($D$5,Kc!$B$3:$AI$57,plant!F33+3,FALSE)),0,HLOOKUP($D$5,Kc!$B$3:$AI$57,plant!F33+3,FALSE))</f>
        <v>2.2799999999999998</v>
      </c>
      <c r="H33" s="112">
        <f t="shared" si="1"/>
        <v>0</v>
      </c>
      <c r="I33" s="113">
        <f t="shared" si="14"/>
        <v>0</v>
      </c>
      <c r="J33" s="113">
        <f t="shared" si="14"/>
        <v>0</v>
      </c>
      <c r="K33" s="113">
        <f t="shared" si="14"/>
        <v>0</v>
      </c>
      <c r="L33" s="113">
        <f t="shared" si="14"/>
        <v>0</v>
      </c>
      <c r="M33" s="113">
        <f t="shared" si="14"/>
        <v>0</v>
      </c>
      <c r="N33" s="113">
        <f t="shared" si="14"/>
        <v>0</v>
      </c>
      <c r="O33" s="113">
        <f t="shared" si="14"/>
        <v>0</v>
      </c>
      <c r="P33" s="113">
        <f t="shared" si="14"/>
        <v>0</v>
      </c>
      <c r="Q33" s="113">
        <f t="shared" si="14"/>
        <v>0</v>
      </c>
      <c r="R33" s="117">
        <f t="shared" si="3"/>
        <v>0</v>
      </c>
      <c r="S33" s="100">
        <f t="shared" si="13"/>
        <v>0</v>
      </c>
      <c r="T33" s="97">
        <f>VLOOKUP($D$7,ETo!$B$4:$P$88,MONTH(D33)+2,FALSE)/4</f>
        <v>37.151842826996059</v>
      </c>
      <c r="U33" s="100">
        <f t="shared" si="4"/>
        <v>0</v>
      </c>
      <c r="V33" s="98">
        <f t="shared" si="5"/>
        <v>0</v>
      </c>
      <c r="W33" s="101">
        <f t="shared" si="6"/>
        <v>0</v>
      </c>
      <c r="X33" s="101">
        <f t="shared" si="7"/>
        <v>0</v>
      </c>
      <c r="Y33" s="101">
        <f t="shared" si="8"/>
        <v>0</v>
      </c>
      <c r="Z33" s="101">
        <f>VLOOKUP(MONTH(D33),[0]!rainforuplandcrop,4)/1000*R33*1600*7</f>
        <v>0</v>
      </c>
    </row>
    <row r="34" spans="2:26" x14ac:dyDescent="0.15">
      <c r="B34" s="106">
        <f t="shared" si="9"/>
        <v>39879</v>
      </c>
      <c r="C34" s="107">
        <f t="shared" si="10"/>
        <v>39885</v>
      </c>
      <c r="D34" s="99">
        <f t="shared" si="12"/>
        <v>39885</v>
      </c>
      <c r="E34" s="91">
        <v>19</v>
      </c>
      <c r="F34" s="96">
        <f>IF(ISERROR(VLOOKUP(E34,Crop!$S$3:$T$70,2,FALSE)),0,VLOOKUP(E34,Crop!$S$3:$T$70,2,FALSE))</f>
        <v>19</v>
      </c>
      <c r="G34" s="100">
        <f>IF(ISERROR(HLOOKUP($D$5,Kc!$B$3:$AI$57,plant!F34+3,FALSE)),0,HLOOKUP($D$5,Kc!$B$3:$AI$57,plant!F34+3,FALSE))</f>
        <v>2.29</v>
      </c>
      <c r="H34" s="112">
        <f t="shared" si="1"/>
        <v>0</v>
      </c>
      <c r="I34" s="113">
        <f t="shared" si="14"/>
        <v>0</v>
      </c>
      <c r="J34" s="113">
        <f t="shared" si="14"/>
        <v>0</v>
      </c>
      <c r="K34" s="113">
        <f t="shared" si="14"/>
        <v>0</v>
      </c>
      <c r="L34" s="113">
        <f t="shared" si="14"/>
        <v>0</v>
      </c>
      <c r="M34" s="113">
        <f t="shared" si="14"/>
        <v>0</v>
      </c>
      <c r="N34" s="113">
        <f t="shared" si="14"/>
        <v>0</v>
      </c>
      <c r="O34" s="113">
        <f t="shared" si="14"/>
        <v>0</v>
      </c>
      <c r="P34" s="113">
        <f t="shared" si="14"/>
        <v>0</v>
      </c>
      <c r="Q34" s="113">
        <f t="shared" si="14"/>
        <v>0</v>
      </c>
      <c r="R34" s="117">
        <f t="shared" si="3"/>
        <v>0</v>
      </c>
      <c r="S34" s="100">
        <f t="shared" si="13"/>
        <v>0</v>
      </c>
      <c r="T34" s="97">
        <f>VLOOKUP($D$7,ETo!$B$4:$P$88,MONTH(D34)+2,FALSE)/4</f>
        <v>37.151842826996059</v>
      </c>
      <c r="U34" s="100">
        <f t="shared" si="4"/>
        <v>0</v>
      </c>
      <c r="V34" s="98">
        <f t="shared" si="5"/>
        <v>0</v>
      </c>
      <c r="W34" s="101">
        <f t="shared" si="6"/>
        <v>0</v>
      </c>
      <c r="X34" s="101">
        <f t="shared" si="7"/>
        <v>0</v>
      </c>
      <c r="Y34" s="101">
        <f t="shared" si="8"/>
        <v>0</v>
      </c>
      <c r="Z34" s="101">
        <f>VLOOKUP(MONTH(D34),[0]!rainforuplandcrop,4)/1000*R34*1600*7</f>
        <v>0</v>
      </c>
    </row>
    <row r="35" spans="2:26" x14ac:dyDescent="0.15">
      <c r="B35" s="106">
        <f t="shared" si="9"/>
        <v>39886</v>
      </c>
      <c r="C35" s="107">
        <f t="shared" si="10"/>
        <v>39892</v>
      </c>
      <c r="D35" s="99">
        <f t="shared" si="12"/>
        <v>39892</v>
      </c>
      <c r="E35" s="91">
        <v>20</v>
      </c>
      <c r="F35" s="96">
        <f>IF(ISERROR(VLOOKUP(E35,Crop!$S$3:$T$70,2,FALSE)),0,VLOOKUP(E35,Crop!$S$3:$T$70,2,FALSE))</f>
        <v>20</v>
      </c>
      <c r="G35" s="100">
        <f>IF(ISERROR(HLOOKUP($D$5,Kc!$B$3:$AI$57,plant!F35+3,FALSE)),0,HLOOKUP($D$5,Kc!$B$3:$AI$57,plant!F35+3,FALSE))</f>
        <v>2.29</v>
      </c>
      <c r="H35" s="112">
        <f t="shared" si="1"/>
        <v>0</v>
      </c>
      <c r="I35" s="113">
        <f t="shared" si="14"/>
        <v>0</v>
      </c>
      <c r="J35" s="113">
        <f t="shared" si="14"/>
        <v>0</v>
      </c>
      <c r="K35" s="113">
        <f t="shared" si="14"/>
        <v>0</v>
      </c>
      <c r="L35" s="113">
        <f t="shared" si="14"/>
        <v>0</v>
      </c>
      <c r="M35" s="113">
        <f t="shared" si="14"/>
        <v>0</v>
      </c>
      <c r="N35" s="113">
        <f t="shared" si="14"/>
        <v>0</v>
      </c>
      <c r="O35" s="113">
        <f t="shared" si="14"/>
        <v>0</v>
      </c>
      <c r="P35" s="113">
        <f t="shared" si="14"/>
        <v>0</v>
      </c>
      <c r="Q35" s="113">
        <f t="shared" si="14"/>
        <v>0</v>
      </c>
      <c r="R35" s="117">
        <f t="shared" si="3"/>
        <v>0</v>
      </c>
      <c r="S35" s="100">
        <f t="shared" si="13"/>
        <v>0</v>
      </c>
      <c r="T35" s="97">
        <f>VLOOKUP($D$7,ETo!$B$4:$P$88,MONTH(D35)+2,FALSE)/4</f>
        <v>37.151842826996059</v>
      </c>
      <c r="U35" s="100">
        <f t="shared" si="4"/>
        <v>0</v>
      </c>
      <c r="V35" s="98">
        <f t="shared" si="5"/>
        <v>0</v>
      </c>
      <c r="W35" s="101">
        <f t="shared" si="6"/>
        <v>0</v>
      </c>
      <c r="X35" s="101">
        <f t="shared" si="7"/>
        <v>0</v>
      </c>
      <c r="Y35" s="101">
        <f t="shared" si="8"/>
        <v>0</v>
      </c>
      <c r="Z35" s="101">
        <f>VLOOKUP(MONTH(D35),[0]!rainforuplandcrop,4)/1000*R35*1600*7</f>
        <v>0</v>
      </c>
    </row>
    <row r="36" spans="2:26" x14ac:dyDescent="0.15">
      <c r="B36" s="106">
        <f t="shared" si="9"/>
        <v>39893</v>
      </c>
      <c r="C36" s="107">
        <f t="shared" si="10"/>
        <v>39899</v>
      </c>
      <c r="D36" s="99">
        <f t="shared" si="12"/>
        <v>39899</v>
      </c>
      <c r="E36" s="91">
        <v>21</v>
      </c>
      <c r="F36" s="96">
        <f>IF(ISERROR(VLOOKUP(E36,Crop!$S$3:$T$70,2,FALSE)),0,VLOOKUP(E36,Crop!$S$3:$T$70,2,FALSE))</f>
        <v>21</v>
      </c>
      <c r="G36" s="100">
        <f>IF(ISERROR(HLOOKUP($D$5,Kc!$B$3:$AI$57,plant!F36+3,FALSE)),0,HLOOKUP($D$5,Kc!$B$3:$AI$57,plant!F36+3,FALSE))</f>
        <v>2.29</v>
      </c>
      <c r="H36" s="112">
        <f t="shared" si="1"/>
        <v>0</v>
      </c>
      <c r="I36" s="113">
        <f t="shared" si="14"/>
        <v>0</v>
      </c>
      <c r="J36" s="113">
        <f t="shared" si="14"/>
        <v>0</v>
      </c>
      <c r="K36" s="113">
        <f t="shared" si="14"/>
        <v>0</v>
      </c>
      <c r="L36" s="113">
        <f t="shared" si="14"/>
        <v>0</v>
      </c>
      <c r="M36" s="113">
        <f t="shared" si="14"/>
        <v>0</v>
      </c>
      <c r="N36" s="113">
        <f t="shared" si="14"/>
        <v>0</v>
      </c>
      <c r="O36" s="113">
        <f t="shared" si="14"/>
        <v>0</v>
      </c>
      <c r="P36" s="113">
        <f t="shared" si="14"/>
        <v>0</v>
      </c>
      <c r="Q36" s="113">
        <f t="shared" si="14"/>
        <v>0</v>
      </c>
      <c r="R36" s="117">
        <f t="shared" si="3"/>
        <v>0</v>
      </c>
      <c r="S36" s="100">
        <f t="shared" si="13"/>
        <v>0</v>
      </c>
      <c r="T36" s="97">
        <f>VLOOKUP($D$7,ETo!$B$4:$P$88,MONTH(D36)+2,FALSE)/4</f>
        <v>37.151842826996059</v>
      </c>
      <c r="U36" s="100">
        <f t="shared" si="4"/>
        <v>0</v>
      </c>
      <c r="V36" s="98">
        <f t="shared" si="5"/>
        <v>0</v>
      </c>
      <c r="W36" s="101">
        <f t="shared" si="6"/>
        <v>0</v>
      </c>
      <c r="X36" s="101">
        <f t="shared" si="7"/>
        <v>0</v>
      </c>
      <c r="Y36" s="101">
        <f t="shared" si="8"/>
        <v>0</v>
      </c>
      <c r="Z36" s="101">
        <f>VLOOKUP(MONTH(D36),[0]!rainforuplandcrop,4)/1000*R36*1600*7</f>
        <v>0</v>
      </c>
    </row>
    <row r="37" spans="2:26" x14ac:dyDescent="0.15">
      <c r="B37" s="106">
        <f t="shared" si="9"/>
        <v>39900</v>
      </c>
      <c r="C37" s="107">
        <f t="shared" si="10"/>
        <v>39906</v>
      </c>
      <c r="D37" s="99">
        <f t="shared" si="12"/>
        <v>39906</v>
      </c>
      <c r="E37" s="91">
        <v>22</v>
      </c>
      <c r="F37" s="96">
        <f>IF(ISERROR(VLOOKUP(E37,Crop!$S$3:$T$70,2,FALSE)),0,VLOOKUP(E37,Crop!$S$3:$T$70,2,FALSE))</f>
        <v>22</v>
      </c>
      <c r="G37" s="100">
        <f>IF(ISERROR(HLOOKUP($D$5,Kc!$B$3:$AI$57,plant!F37+3,FALSE)),0,HLOOKUP($D$5,Kc!$B$3:$AI$57,plant!F37+3,FALSE))</f>
        <v>2.29</v>
      </c>
      <c r="H37" s="112">
        <f t="shared" si="1"/>
        <v>0</v>
      </c>
      <c r="I37" s="113">
        <f t="shared" ref="I37:Q46" si="15">IF(H36&gt;0,IF(I$15&gt;$E$9,0,VLOOKUP(I$15,$F$3:$G$12,2,FALSE)),0)</f>
        <v>0</v>
      </c>
      <c r="J37" s="113">
        <f t="shared" si="15"/>
        <v>0</v>
      </c>
      <c r="K37" s="113">
        <f t="shared" si="15"/>
        <v>0</v>
      </c>
      <c r="L37" s="113">
        <f t="shared" si="15"/>
        <v>0</v>
      </c>
      <c r="M37" s="113">
        <f t="shared" si="15"/>
        <v>0</v>
      </c>
      <c r="N37" s="113">
        <f t="shared" si="15"/>
        <v>0</v>
      </c>
      <c r="O37" s="113">
        <f t="shared" si="15"/>
        <v>0</v>
      </c>
      <c r="P37" s="113">
        <f t="shared" si="15"/>
        <v>0</v>
      </c>
      <c r="Q37" s="113">
        <f t="shared" si="15"/>
        <v>0</v>
      </c>
      <c r="R37" s="117">
        <f t="shared" si="3"/>
        <v>0</v>
      </c>
      <c r="S37" s="100">
        <f t="shared" si="13"/>
        <v>0</v>
      </c>
      <c r="T37" s="97">
        <f>VLOOKUP($D$7,ETo!$B$4:$P$88,MONTH(D37)+2,FALSE)/4</f>
        <v>38.112530722170547</v>
      </c>
      <c r="U37" s="100">
        <f t="shared" si="4"/>
        <v>0</v>
      </c>
      <c r="V37" s="98">
        <f t="shared" si="5"/>
        <v>0</v>
      </c>
      <c r="W37" s="101">
        <f t="shared" si="6"/>
        <v>0</v>
      </c>
      <c r="X37" s="101">
        <f t="shared" si="7"/>
        <v>0</v>
      </c>
      <c r="Y37" s="101">
        <f t="shared" si="8"/>
        <v>0</v>
      </c>
      <c r="Z37" s="101">
        <f>VLOOKUP(MONTH(D37),[0]!rainforuplandcrop,4)/1000*R37*1600*7</f>
        <v>0</v>
      </c>
    </row>
    <row r="38" spans="2:26" x14ac:dyDescent="0.15">
      <c r="B38" s="106">
        <f t="shared" si="9"/>
        <v>39907</v>
      </c>
      <c r="C38" s="107">
        <f t="shared" si="10"/>
        <v>39913</v>
      </c>
      <c r="D38" s="99">
        <f t="shared" si="12"/>
        <v>39913</v>
      </c>
      <c r="E38" s="91">
        <v>23</v>
      </c>
      <c r="F38" s="96">
        <f>IF(ISERROR(VLOOKUP(E38,Crop!$S$3:$T$70,2,FALSE)),0,VLOOKUP(E38,Crop!$S$3:$T$70,2,FALSE))</f>
        <v>23</v>
      </c>
      <c r="G38" s="100">
        <f>IF(ISERROR(HLOOKUP($D$5,Kc!$B$3:$AI$57,plant!F38+3,FALSE)),0,HLOOKUP($D$5,Kc!$B$3:$AI$57,plant!F38+3,FALSE))</f>
        <v>2.5</v>
      </c>
      <c r="H38" s="112">
        <f t="shared" si="1"/>
        <v>0</v>
      </c>
      <c r="I38" s="113">
        <f t="shared" si="15"/>
        <v>0</v>
      </c>
      <c r="J38" s="113">
        <f t="shared" si="15"/>
        <v>0</v>
      </c>
      <c r="K38" s="113">
        <f t="shared" si="15"/>
        <v>0</v>
      </c>
      <c r="L38" s="113">
        <f t="shared" si="15"/>
        <v>0</v>
      </c>
      <c r="M38" s="113">
        <f t="shared" si="15"/>
        <v>0</v>
      </c>
      <c r="N38" s="113">
        <f t="shared" si="15"/>
        <v>0</v>
      </c>
      <c r="O38" s="113">
        <f t="shared" si="15"/>
        <v>0</v>
      </c>
      <c r="P38" s="113">
        <f t="shared" si="15"/>
        <v>0</v>
      </c>
      <c r="Q38" s="113">
        <f t="shared" si="15"/>
        <v>0</v>
      </c>
      <c r="R38" s="117">
        <f t="shared" si="3"/>
        <v>0</v>
      </c>
      <c r="S38" s="100">
        <f t="shared" si="13"/>
        <v>0</v>
      </c>
      <c r="T38" s="97">
        <f>VLOOKUP($D$7,ETo!$B$4:$P$88,MONTH(D38)+2,FALSE)/4</f>
        <v>38.112530722170547</v>
      </c>
      <c r="U38" s="100">
        <f t="shared" si="4"/>
        <v>0</v>
      </c>
      <c r="V38" s="98">
        <f t="shared" si="5"/>
        <v>0</v>
      </c>
      <c r="W38" s="101">
        <f t="shared" si="6"/>
        <v>0</v>
      </c>
      <c r="X38" s="101">
        <f t="shared" si="7"/>
        <v>0</v>
      </c>
      <c r="Y38" s="101">
        <f t="shared" si="8"/>
        <v>0</v>
      </c>
      <c r="Z38" s="101">
        <f>VLOOKUP(MONTH(D38),[0]!rainforuplandcrop,4)/1000*R38*1600*7</f>
        <v>0</v>
      </c>
    </row>
    <row r="39" spans="2:26" x14ac:dyDescent="0.15">
      <c r="B39" s="106">
        <f t="shared" si="9"/>
        <v>39914</v>
      </c>
      <c r="C39" s="107">
        <f t="shared" si="10"/>
        <v>39920</v>
      </c>
      <c r="D39" s="99">
        <f t="shared" si="12"/>
        <v>39920</v>
      </c>
      <c r="E39" s="91">
        <v>24</v>
      </c>
      <c r="F39" s="96">
        <f>IF(ISERROR(VLOOKUP(E39,Crop!$S$3:$T$70,2,FALSE)),0,VLOOKUP(E39,Crop!$S$3:$T$70,2,FALSE))</f>
        <v>24</v>
      </c>
      <c r="G39" s="100">
        <f>IF(ISERROR(HLOOKUP($D$5,Kc!$B$3:$AI$57,plant!F39+3,FALSE)),0,HLOOKUP($D$5,Kc!$B$3:$AI$57,plant!F39+3,FALSE))</f>
        <v>2.5</v>
      </c>
      <c r="H39" s="112">
        <f t="shared" si="1"/>
        <v>0</v>
      </c>
      <c r="I39" s="113">
        <f t="shared" si="15"/>
        <v>0</v>
      </c>
      <c r="J39" s="113">
        <f t="shared" si="15"/>
        <v>0</v>
      </c>
      <c r="K39" s="113">
        <f t="shared" si="15"/>
        <v>0</v>
      </c>
      <c r="L39" s="113">
        <f t="shared" si="15"/>
        <v>0</v>
      </c>
      <c r="M39" s="113">
        <f t="shared" si="15"/>
        <v>0</v>
      </c>
      <c r="N39" s="113">
        <f t="shared" si="15"/>
        <v>0</v>
      </c>
      <c r="O39" s="113">
        <f t="shared" si="15"/>
        <v>0</v>
      </c>
      <c r="P39" s="113">
        <f t="shared" si="15"/>
        <v>0</v>
      </c>
      <c r="Q39" s="113">
        <f t="shared" si="15"/>
        <v>0</v>
      </c>
      <c r="R39" s="117">
        <f t="shared" si="3"/>
        <v>0</v>
      </c>
      <c r="S39" s="100">
        <f t="shared" si="13"/>
        <v>0</v>
      </c>
      <c r="T39" s="97">
        <f>VLOOKUP($D$7,ETo!$B$4:$P$88,MONTH(D39)+2,FALSE)/4</f>
        <v>38.112530722170547</v>
      </c>
      <c r="U39" s="100">
        <f t="shared" si="4"/>
        <v>0</v>
      </c>
      <c r="V39" s="98">
        <f t="shared" si="5"/>
        <v>0</v>
      </c>
      <c r="W39" s="101">
        <f t="shared" si="6"/>
        <v>0</v>
      </c>
      <c r="X39" s="101">
        <f t="shared" si="7"/>
        <v>0</v>
      </c>
      <c r="Y39" s="101">
        <f t="shared" si="8"/>
        <v>0</v>
      </c>
      <c r="Z39" s="101">
        <f>VLOOKUP(MONTH(D39),[0]!rainforuplandcrop,4)/1000*R39*1600*7</f>
        <v>0</v>
      </c>
    </row>
    <row r="40" spans="2:26" x14ac:dyDescent="0.15">
      <c r="B40" s="106">
        <f t="shared" si="9"/>
        <v>39921</v>
      </c>
      <c r="C40" s="107">
        <f t="shared" si="10"/>
        <v>39927</v>
      </c>
      <c r="D40" s="99">
        <f t="shared" si="12"/>
        <v>39927</v>
      </c>
      <c r="E40" s="91">
        <v>25</v>
      </c>
      <c r="F40" s="96">
        <f>IF(ISERROR(VLOOKUP(E40,Crop!$S$3:$T$70,2,FALSE)),0,VLOOKUP(E40,Crop!$S$3:$T$70,2,FALSE))</f>
        <v>25</v>
      </c>
      <c r="G40" s="100">
        <f>IF(ISERROR(HLOOKUP($D$5,Kc!$B$3:$AI$57,plant!F40+3,FALSE)),0,HLOOKUP($D$5,Kc!$B$3:$AI$57,plant!F40+3,FALSE))</f>
        <v>2.5</v>
      </c>
      <c r="H40" s="112">
        <f t="shared" si="1"/>
        <v>0</v>
      </c>
      <c r="I40" s="113">
        <f t="shared" si="15"/>
        <v>0</v>
      </c>
      <c r="J40" s="113">
        <f t="shared" si="15"/>
        <v>0</v>
      </c>
      <c r="K40" s="113">
        <f t="shared" si="15"/>
        <v>0</v>
      </c>
      <c r="L40" s="113">
        <f t="shared" si="15"/>
        <v>0</v>
      </c>
      <c r="M40" s="113">
        <f t="shared" si="15"/>
        <v>0</v>
      </c>
      <c r="N40" s="113">
        <f t="shared" si="15"/>
        <v>0</v>
      </c>
      <c r="O40" s="113">
        <f t="shared" si="15"/>
        <v>0</v>
      </c>
      <c r="P40" s="113">
        <f t="shared" si="15"/>
        <v>0</v>
      </c>
      <c r="Q40" s="113">
        <f t="shared" si="15"/>
        <v>0</v>
      </c>
      <c r="R40" s="117">
        <f t="shared" si="3"/>
        <v>0</v>
      </c>
      <c r="S40" s="100">
        <f t="shared" si="13"/>
        <v>0</v>
      </c>
      <c r="T40" s="97">
        <f>VLOOKUP($D$7,ETo!$B$4:$P$88,MONTH(D40)+2,FALSE)/4</f>
        <v>38.112530722170547</v>
      </c>
      <c r="U40" s="100">
        <f t="shared" si="4"/>
        <v>0</v>
      </c>
      <c r="V40" s="98">
        <f t="shared" si="5"/>
        <v>0</v>
      </c>
      <c r="W40" s="101">
        <f t="shared" si="6"/>
        <v>0</v>
      </c>
      <c r="X40" s="101">
        <f t="shared" si="7"/>
        <v>0</v>
      </c>
      <c r="Y40" s="101">
        <f t="shared" si="8"/>
        <v>0</v>
      </c>
      <c r="Z40" s="101">
        <f>VLOOKUP(MONTH(D40),[0]!rainforuplandcrop,4)/1000*R40*1600*7</f>
        <v>0</v>
      </c>
    </row>
    <row r="41" spans="2:26" x14ac:dyDescent="0.15">
      <c r="B41" s="106">
        <f t="shared" si="9"/>
        <v>39928</v>
      </c>
      <c r="C41" s="107">
        <f t="shared" si="10"/>
        <v>39934</v>
      </c>
      <c r="D41" s="99">
        <f t="shared" si="12"/>
        <v>39934</v>
      </c>
      <c r="E41" s="91">
        <v>26</v>
      </c>
      <c r="F41" s="96">
        <f>IF(ISERROR(VLOOKUP(E41,Crop!$S$3:$T$70,2,FALSE)),0,VLOOKUP(E41,Crop!$S$3:$T$70,2,FALSE))</f>
        <v>26</v>
      </c>
      <c r="G41" s="100">
        <f>IF(ISERROR(HLOOKUP($D$5,Kc!$B$3:$AI$57,plant!F41+3,FALSE)),0,HLOOKUP($D$5,Kc!$B$3:$AI$57,plant!F41+3,FALSE))</f>
        <v>2.5</v>
      </c>
      <c r="H41" s="112">
        <f t="shared" si="1"/>
        <v>0</v>
      </c>
      <c r="I41" s="113">
        <f t="shared" si="15"/>
        <v>0</v>
      </c>
      <c r="J41" s="113">
        <f t="shared" si="15"/>
        <v>0</v>
      </c>
      <c r="K41" s="113">
        <f t="shared" si="15"/>
        <v>0</v>
      </c>
      <c r="L41" s="113">
        <f t="shared" si="15"/>
        <v>0</v>
      </c>
      <c r="M41" s="113">
        <f t="shared" si="15"/>
        <v>0</v>
      </c>
      <c r="N41" s="113">
        <f t="shared" si="15"/>
        <v>0</v>
      </c>
      <c r="O41" s="113">
        <f t="shared" si="15"/>
        <v>0</v>
      </c>
      <c r="P41" s="113">
        <f t="shared" si="15"/>
        <v>0</v>
      </c>
      <c r="Q41" s="113">
        <f t="shared" si="15"/>
        <v>0</v>
      </c>
      <c r="R41" s="117">
        <f t="shared" si="3"/>
        <v>0</v>
      </c>
      <c r="S41" s="100">
        <f t="shared" si="13"/>
        <v>0</v>
      </c>
      <c r="T41" s="97">
        <f>VLOOKUP($D$7,ETo!$B$4:$P$88,MONTH(D41)+2,FALSE)/4</f>
        <v>36.270337259000485</v>
      </c>
      <c r="U41" s="100">
        <f t="shared" si="4"/>
        <v>0</v>
      </c>
      <c r="V41" s="98">
        <f t="shared" si="5"/>
        <v>0</v>
      </c>
      <c r="W41" s="101">
        <f t="shared" si="6"/>
        <v>0</v>
      </c>
      <c r="X41" s="101">
        <f t="shared" si="7"/>
        <v>0</v>
      </c>
      <c r="Y41" s="101">
        <f t="shared" si="8"/>
        <v>0</v>
      </c>
      <c r="Z41" s="101">
        <f>VLOOKUP(MONTH(D41),[0]!rainforuplandcrop,4)/1000*R41*1600*7</f>
        <v>0</v>
      </c>
    </row>
    <row r="42" spans="2:26" x14ac:dyDescent="0.15">
      <c r="B42" s="106">
        <f t="shared" si="9"/>
        <v>39935</v>
      </c>
      <c r="C42" s="107">
        <f t="shared" si="10"/>
        <v>39941</v>
      </c>
      <c r="D42" s="99">
        <f t="shared" si="12"/>
        <v>39941</v>
      </c>
      <c r="E42" s="91">
        <v>27</v>
      </c>
      <c r="F42" s="96">
        <f>IF(ISERROR(VLOOKUP(E42,Crop!$S$3:$T$70,2,FALSE)),0,VLOOKUP(E42,Crop!$S$3:$T$70,2,FALSE))</f>
        <v>27</v>
      </c>
      <c r="G42" s="100">
        <f>IF(ISERROR(HLOOKUP($D$5,Kc!$B$3:$AI$57,plant!F42+3,FALSE)),0,HLOOKUP($D$5,Kc!$B$3:$AI$57,plant!F42+3,FALSE))</f>
        <v>1.9</v>
      </c>
      <c r="H42" s="112">
        <f t="shared" si="1"/>
        <v>0</v>
      </c>
      <c r="I42" s="113">
        <f t="shared" si="15"/>
        <v>0</v>
      </c>
      <c r="J42" s="113">
        <f t="shared" si="15"/>
        <v>0</v>
      </c>
      <c r="K42" s="113">
        <f t="shared" si="15"/>
        <v>0</v>
      </c>
      <c r="L42" s="113">
        <f t="shared" si="15"/>
        <v>0</v>
      </c>
      <c r="M42" s="113">
        <f t="shared" si="15"/>
        <v>0</v>
      </c>
      <c r="N42" s="113">
        <f t="shared" si="15"/>
        <v>0</v>
      </c>
      <c r="O42" s="113">
        <f t="shared" si="15"/>
        <v>0</v>
      </c>
      <c r="P42" s="113">
        <f t="shared" si="15"/>
        <v>0</v>
      </c>
      <c r="Q42" s="113">
        <f t="shared" si="15"/>
        <v>0</v>
      </c>
      <c r="R42" s="117">
        <f t="shared" si="3"/>
        <v>0</v>
      </c>
      <c r="S42" s="100">
        <f t="shared" si="13"/>
        <v>0</v>
      </c>
      <c r="T42" s="97">
        <f>VLOOKUP($D$7,ETo!$B$4:$P$88,MONTH(D42)+2,FALSE)/4</f>
        <v>36.270337259000485</v>
      </c>
      <c r="U42" s="100">
        <f t="shared" si="4"/>
        <v>0</v>
      </c>
      <c r="V42" s="98">
        <f t="shared" si="5"/>
        <v>0</v>
      </c>
      <c r="W42" s="101">
        <f t="shared" si="6"/>
        <v>0</v>
      </c>
      <c r="X42" s="101">
        <f t="shared" si="7"/>
        <v>0</v>
      </c>
      <c r="Y42" s="101">
        <f t="shared" si="8"/>
        <v>0</v>
      </c>
      <c r="Z42" s="101">
        <f>VLOOKUP(MONTH(D42),[0]!rainforuplandcrop,4)/1000*R42*1600*7</f>
        <v>0</v>
      </c>
    </row>
    <row r="43" spans="2:26" x14ac:dyDescent="0.15">
      <c r="B43" s="106">
        <f t="shared" si="9"/>
        <v>39942</v>
      </c>
      <c r="C43" s="107">
        <f t="shared" si="10"/>
        <v>39948</v>
      </c>
      <c r="D43" s="99">
        <f t="shared" si="12"/>
        <v>39948</v>
      </c>
      <c r="E43" s="91">
        <v>28</v>
      </c>
      <c r="F43" s="96">
        <f>IF(ISERROR(VLOOKUP(E43,Crop!$S$3:$T$70,2,FALSE)),0,VLOOKUP(E43,Crop!$S$3:$T$70,2,FALSE))</f>
        <v>28</v>
      </c>
      <c r="G43" s="100">
        <f>IF(ISERROR(HLOOKUP($D$5,Kc!$B$3:$AI$57,plant!F43+3,FALSE)),0,HLOOKUP($D$5,Kc!$B$3:$AI$57,plant!F43+3,FALSE))</f>
        <v>1.9</v>
      </c>
      <c r="H43" s="112">
        <f t="shared" si="1"/>
        <v>0</v>
      </c>
      <c r="I43" s="113">
        <f t="shared" si="15"/>
        <v>0</v>
      </c>
      <c r="J43" s="113">
        <f t="shared" si="15"/>
        <v>0</v>
      </c>
      <c r="K43" s="113">
        <f t="shared" si="15"/>
        <v>0</v>
      </c>
      <c r="L43" s="113">
        <f t="shared" si="15"/>
        <v>0</v>
      </c>
      <c r="M43" s="113">
        <f t="shared" si="15"/>
        <v>0</v>
      </c>
      <c r="N43" s="113">
        <f t="shared" si="15"/>
        <v>0</v>
      </c>
      <c r="O43" s="113">
        <f t="shared" si="15"/>
        <v>0</v>
      </c>
      <c r="P43" s="113">
        <f t="shared" si="15"/>
        <v>0</v>
      </c>
      <c r="Q43" s="113">
        <f t="shared" si="15"/>
        <v>0</v>
      </c>
      <c r="R43" s="117">
        <f t="shared" si="3"/>
        <v>0</v>
      </c>
      <c r="S43" s="100">
        <f t="shared" si="13"/>
        <v>0</v>
      </c>
      <c r="T43" s="97">
        <f>VLOOKUP($D$7,ETo!$B$4:$P$88,MONTH(D43)+2,FALSE)/4</f>
        <v>36.270337259000485</v>
      </c>
      <c r="U43" s="100">
        <f t="shared" si="4"/>
        <v>0</v>
      </c>
      <c r="V43" s="98">
        <f t="shared" si="5"/>
        <v>0</v>
      </c>
      <c r="W43" s="101">
        <f t="shared" si="6"/>
        <v>0</v>
      </c>
      <c r="X43" s="101">
        <f t="shared" si="7"/>
        <v>0</v>
      </c>
      <c r="Y43" s="101">
        <f t="shared" si="8"/>
        <v>0</v>
      </c>
      <c r="Z43" s="101">
        <f>VLOOKUP(MONTH(D43),[0]!rainforuplandcrop,4)/1000*R43*1600*7</f>
        <v>0</v>
      </c>
    </row>
    <row r="44" spans="2:26" x14ac:dyDescent="0.15">
      <c r="B44" s="106">
        <f t="shared" si="9"/>
        <v>39949</v>
      </c>
      <c r="C44" s="107">
        <f t="shared" si="10"/>
        <v>39955</v>
      </c>
      <c r="D44" s="99">
        <f t="shared" si="12"/>
        <v>39955</v>
      </c>
      <c r="E44" s="91">
        <v>29</v>
      </c>
      <c r="F44" s="96">
        <f>IF(ISERROR(VLOOKUP(E44,Crop!$S$3:$T$70,2,FALSE)),0,VLOOKUP(E44,Crop!$S$3:$T$70,2,FALSE))</f>
        <v>29</v>
      </c>
      <c r="G44" s="100">
        <f>IF(ISERROR(HLOOKUP($D$5,Kc!$B$3:$AI$57,plant!F44+3,FALSE)),0,HLOOKUP($D$5,Kc!$B$3:$AI$57,plant!F44+3,FALSE))</f>
        <v>1.9</v>
      </c>
      <c r="H44" s="112">
        <f t="shared" si="1"/>
        <v>0</v>
      </c>
      <c r="I44" s="113">
        <f t="shared" si="15"/>
        <v>0</v>
      </c>
      <c r="J44" s="113">
        <f t="shared" si="15"/>
        <v>0</v>
      </c>
      <c r="K44" s="113">
        <f t="shared" si="15"/>
        <v>0</v>
      </c>
      <c r="L44" s="113">
        <f t="shared" si="15"/>
        <v>0</v>
      </c>
      <c r="M44" s="113">
        <f t="shared" si="15"/>
        <v>0</v>
      </c>
      <c r="N44" s="113">
        <f t="shared" si="15"/>
        <v>0</v>
      </c>
      <c r="O44" s="113">
        <f t="shared" si="15"/>
        <v>0</v>
      </c>
      <c r="P44" s="113">
        <f t="shared" si="15"/>
        <v>0</v>
      </c>
      <c r="Q44" s="113">
        <f t="shared" si="15"/>
        <v>0</v>
      </c>
      <c r="R44" s="117">
        <f t="shared" si="3"/>
        <v>0</v>
      </c>
      <c r="S44" s="100">
        <f t="shared" si="13"/>
        <v>0</v>
      </c>
      <c r="T44" s="97">
        <f>VLOOKUP($D$7,ETo!$B$4:$P$88,MONTH(D44)+2,FALSE)/4</f>
        <v>36.270337259000485</v>
      </c>
      <c r="U44" s="100">
        <f t="shared" si="4"/>
        <v>0</v>
      </c>
      <c r="V44" s="98">
        <f t="shared" si="5"/>
        <v>0</v>
      </c>
      <c r="W44" s="101">
        <f t="shared" si="6"/>
        <v>0</v>
      </c>
      <c r="X44" s="101">
        <f t="shared" si="7"/>
        <v>0</v>
      </c>
      <c r="Y44" s="101">
        <f t="shared" si="8"/>
        <v>0</v>
      </c>
      <c r="Z44" s="101">
        <f>VLOOKUP(MONTH(D44),[0]!rainforuplandcrop,4)/1000*R44*1600*7</f>
        <v>0</v>
      </c>
    </row>
    <row r="45" spans="2:26" x14ac:dyDescent="0.15">
      <c r="B45" s="106">
        <f t="shared" si="9"/>
        <v>39956</v>
      </c>
      <c r="C45" s="107">
        <f t="shared" si="10"/>
        <v>39962</v>
      </c>
      <c r="D45" s="99">
        <f t="shared" si="12"/>
        <v>39962</v>
      </c>
      <c r="E45" s="91">
        <v>30</v>
      </c>
      <c r="F45" s="96">
        <f>IF(ISERROR(VLOOKUP(E45,Crop!$S$3:$T$70,2,FALSE)),0,VLOOKUP(E45,Crop!$S$3:$T$70,2,FALSE))</f>
        <v>30</v>
      </c>
      <c r="G45" s="100">
        <f>IF(ISERROR(HLOOKUP($D$5,Kc!$B$3:$AI$57,plant!F45+3,FALSE)),0,HLOOKUP($D$5,Kc!$B$3:$AI$57,plant!F45+3,FALSE))</f>
        <v>1.9</v>
      </c>
      <c r="H45" s="112">
        <f t="shared" si="1"/>
        <v>0</v>
      </c>
      <c r="I45" s="113">
        <f t="shared" si="15"/>
        <v>0</v>
      </c>
      <c r="J45" s="113">
        <f t="shared" si="15"/>
        <v>0</v>
      </c>
      <c r="K45" s="113">
        <f t="shared" si="15"/>
        <v>0</v>
      </c>
      <c r="L45" s="113">
        <f t="shared" si="15"/>
        <v>0</v>
      </c>
      <c r="M45" s="113">
        <f t="shared" si="15"/>
        <v>0</v>
      </c>
      <c r="N45" s="113">
        <f t="shared" si="15"/>
        <v>0</v>
      </c>
      <c r="O45" s="113">
        <f t="shared" si="15"/>
        <v>0</v>
      </c>
      <c r="P45" s="113">
        <f t="shared" si="15"/>
        <v>0</v>
      </c>
      <c r="Q45" s="113">
        <f t="shared" si="15"/>
        <v>0</v>
      </c>
      <c r="R45" s="117">
        <f t="shared" si="3"/>
        <v>0</v>
      </c>
      <c r="S45" s="100">
        <f t="shared" si="13"/>
        <v>0</v>
      </c>
      <c r="T45" s="97">
        <f>VLOOKUP($D$7,ETo!$B$4:$P$88,MONTH(D45)+2,FALSE)/4</f>
        <v>36.270337259000485</v>
      </c>
      <c r="U45" s="100">
        <f t="shared" si="4"/>
        <v>0</v>
      </c>
      <c r="V45" s="98">
        <f t="shared" si="5"/>
        <v>0</v>
      </c>
      <c r="W45" s="101">
        <f t="shared" si="6"/>
        <v>0</v>
      </c>
      <c r="X45" s="101">
        <f t="shared" si="7"/>
        <v>0</v>
      </c>
      <c r="Y45" s="101">
        <f t="shared" si="8"/>
        <v>0</v>
      </c>
      <c r="Z45" s="101">
        <f>VLOOKUP(MONTH(D45),[0]!rainforuplandcrop,4)/1000*R45*1600*7</f>
        <v>0</v>
      </c>
    </row>
    <row r="46" spans="2:26" x14ac:dyDescent="0.15">
      <c r="B46" s="106">
        <f t="shared" si="9"/>
        <v>39963</v>
      </c>
      <c r="C46" s="107">
        <f t="shared" si="10"/>
        <v>39969</v>
      </c>
      <c r="D46" s="99">
        <f t="shared" si="12"/>
        <v>39969</v>
      </c>
      <c r="E46" s="91">
        <v>31</v>
      </c>
      <c r="F46" s="96">
        <f>IF(ISERROR(VLOOKUP(E46,Crop!$S$3:$T$70,2,FALSE)),0,VLOOKUP(E46,Crop!$S$3:$T$70,2,FALSE))</f>
        <v>31</v>
      </c>
      <c r="G46" s="100">
        <f>IF(ISERROR(HLOOKUP($D$5,Kc!$B$3:$AI$57,plant!F46+3,FALSE)),0,HLOOKUP($D$5,Kc!$B$3:$AI$57,plant!F46+3,FALSE))</f>
        <v>1.9</v>
      </c>
      <c r="H46" s="112">
        <f t="shared" si="1"/>
        <v>0</v>
      </c>
      <c r="I46" s="113">
        <f t="shared" si="15"/>
        <v>0</v>
      </c>
      <c r="J46" s="113">
        <f t="shared" si="15"/>
        <v>0</v>
      </c>
      <c r="K46" s="113">
        <f t="shared" si="15"/>
        <v>0</v>
      </c>
      <c r="L46" s="113">
        <f t="shared" si="15"/>
        <v>0</v>
      </c>
      <c r="M46" s="113">
        <f t="shared" si="15"/>
        <v>0</v>
      </c>
      <c r="N46" s="113">
        <f t="shared" si="15"/>
        <v>0</v>
      </c>
      <c r="O46" s="113">
        <f t="shared" si="15"/>
        <v>0</v>
      </c>
      <c r="P46" s="113">
        <f t="shared" si="15"/>
        <v>0</v>
      </c>
      <c r="Q46" s="113">
        <f t="shared" si="15"/>
        <v>0</v>
      </c>
      <c r="R46" s="117">
        <f t="shared" si="3"/>
        <v>0</v>
      </c>
      <c r="S46" s="100">
        <f t="shared" si="13"/>
        <v>0</v>
      </c>
      <c r="T46" s="97">
        <f>VLOOKUP($D$7,ETo!$B$4:$P$88,MONTH(D46)+2,FALSE)/4</f>
        <v>32.828631194336559</v>
      </c>
      <c r="U46" s="100">
        <f t="shared" si="4"/>
        <v>0</v>
      </c>
      <c r="V46" s="98">
        <f t="shared" si="5"/>
        <v>0</v>
      </c>
      <c r="W46" s="101">
        <f t="shared" si="6"/>
        <v>0</v>
      </c>
      <c r="X46" s="101">
        <f t="shared" si="7"/>
        <v>0</v>
      </c>
      <c r="Y46" s="101">
        <f t="shared" si="8"/>
        <v>0</v>
      </c>
      <c r="Z46" s="101">
        <f>VLOOKUP(MONTH(D46),[0]!rainforuplandcrop,4)/1000*R46*1600*7</f>
        <v>0</v>
      </c>
    </row>
    <row r="47" spans="2:26" x14ac:dyDescent="0.15">
      <c r="B47" s="106">
        <f t="shared" si="9"/>
        <v>39970</v>
      </c>
      <c r="C47" s="107">
        <f t="shared" si="10"/>
        <v>39976</v>
      </c>
      <c r="D47" s="99">
        <f t="shared" si="12"/>
        <v>39976</v>
      </c>
      <c r="E47" s="91">
        <v>32</v>
      </c>
      <c r="F47" s="96">
        <f>IF(ISERROR(VLOOKUP(E47,Crop!$S$3:$T$70,2,FALSE)),0,VLOOKUP(E47,Crop!$S$3:$T$70,2,FALSE))</f>
        <v>32</v>
      </c>
      <c r="G47" s="100">
        <f>IF(ISERROR(HLOOKUP($D$5,Kc!$B$3:$AI$57,plant!F47+3,FALSE)),0,HLOOKUP($D$5,Kc!$B$3:$AI$57,plant!F47+3,FALSE))</f>
        <v>1.69</v>
      </c>
      <c r="H47" s="112">
        <f t="shared" si="1"/>
        <v>0</v>
      </c>
      <c r="I47" s="113">
        <f t="shared" ref="I47:Q56" si="16">IF(H46&gt;0,IF(I$15&gt;$E$9,0,VLOOKUP(I$15,$F$3:$G$12,2,FALSE)),0)</f>
        <v>0</v>
      </c>
      <c r="J47" s="113">
        <f t="shared" si="16"/>
        <v>0</v>
      </c>
      <c r="K47" s="113">
        <f t="shared" si="16"/>
        <v>0</v>
      </c>
      <c r="L47" s="113">
        <f t="shared" si="16"/>
        <v>0</v>
      </c>
      <c r="M47" s="113">
        <f t="shared" si="16"/>
        <v>0</v>
      </c>
      <c r="N47" s="113">
        <f t="shared" si="16"/>
        <v>0</v>
      </c>
      <c r="O47" s="113">
        <f t="shared" si="16"/>
        <v>0</v>
      </c>
      <c r="P47" s="113">
        <f t="shared" si="16"/>
        <v>0</v>
      </c>
      <c r="Q47" s="113">
        <f t="shared" si="16"/>
        <v>0</v>
      </c>
      <c r="R47" s="117">
        <f t="shared" si="3"/>
        <v>0</v>
      </c>
      <c r="S47" s="100">
        <f t="shared" si="13"/>
        <v>0</v>
      </c>
      <c r="T47" s="97">
        <f>VLOOKUP($D$7,ETo!$B$4:$P$88,MONTH(D47)+2,FALSE)/4</f>
        <v>32.828631194336559</v>
      </c>
      <c r="U47" s="100">
        <f t="shared" si="4"/>
        <v>0</v>
      </c>
      <c r="V47" s="98">
        <f t="shared" si="5"/>
        <v>0</v>
      </c>
      <c r="W47" s="101">
        <f t="shared" si="6"/>
        <v>0</v>
      </c>
      <c r="X47" s="101">
        <f t="shared" si="7"/>
        <v>0</v>
      </c>
      <c r="Y47" s="101">
        <f t="shared" si="8"/>
        <v>0</v>
      </c>
      <c r="Z47" s="101">
        <f>VLOOKUP(MONTH(D47),[0]!rainforuplandcrop,4)/1000*R47*1600*7</f>
        <v>0</v>
      </c>
    </row>
    <row r="48" spans="2:26" x14ac:dyDescent="0.15">
      <c r="B48" s="106">
        <f t="shared" si="9"/>
        <v>39977</v>
      </c>
      <c r="C48" s="107">
        <f t="shared" si="10"/>
        <v>39983</v>
      </c>
      <c r="D48" s="99">
        <f t="shared" si="12"/>
        <v>39983</v>
      </c>
      <c r="E48" s="91">
        <v>33</v>
      </c>
      <c r="F48" s="96">
        <f>IF(ISERROR(VLOOKUP(E48,Crop!$S$3:$T$70,2,FALSE)),0,VLOOKUP(E48,Crop!$S$3:$T$70,2,FALSE))</f>
        <v>33</v>
      </c>
      <c r="G48" s="100">
        <f>IF(ISERROR(HLOOKUP($D$5,Kc!$B$3:$AI$57,plant!F48+3,FALSE)),0,HLOOKUP($D$5,Kc!$B$3:$AI$57,plant!F48+3,FALSE))</f>
        <v>1.69</v>
      </c>
      <c r="H48" s="112">
        <f t="shared" ref="H48:H67" si="17">IF(G48&gt;0,IF(H$15&gt;$E$9,0,VLOOKUP(H$15,$F$3:$G$12,2,FALSE)),0)</f>
        <v>0</v>
      </c>
      <c r="I48" s="113">
        <f t="shared" si="16"/>
        <v>0</v>
      </c>
      <c r="J48" s="113">
        <f t="shared" si="16"/>
        <v>0</v>
      </c>
      <c r="K48" s="113">
        <f t="shared" si="16"/>
        <v>0</v>
      </c>
      <c r="L48" s="113">
        <f t="shared" si="16"/>
        <v>0</v>
      </c>
      <c r="M48" s="113">
        <f t="shared" si="16"/>
        <v>0</v>
      </c>
      <c r="N48" s="113">
        <f t="shared" si="16"/>
        <v>0</v>
      </c>
      <c r="O48" s="113">
        <f t="shared" si="16"/>
        <v>0</v>
      </c>
      <c r="P48" s="113">
        <f t="shared" si="16"/>
        <v>0</v>
      </c>
      <c r="Q48" s="113">
        <f t="shared" si="16"/>
        <v>0</v>
      </c>
      <c r="R48" s="117">
        <f t="shared" ref="R48:R67" si="18">SUM(H48:Q48)</f>
        <v>0</v>
      </c>
      <c r="S48" s="100">
        <f t="shared" si="13"/>
        <v>0</v>
      </c>
      <c r="T48" s="97">
        <f>VLOOKUP($D$7,ETo!$B$4:$P$88,MONTH(D48)+2,FALSE)/4</f>
        <v>32.828631194336559</v>
      </c>
      <c r="U48" s="100">
        <f t="shared" ref="U48:U67" si="19">IF(S48*T48=0,0,(S48*T48)+$E$10)</f>
        <v>0</v>
      </c>
      <c r="V48" s="98">
        <f t="shared" si="5"/>
        <v>0</v>
      </c>
      <c r="W48" s="101">
        <f t="shared" ref="W48:W67" si="20">IF(ISERROR(INDEX(H48:L48,1,F48)),0,INDEX(H48:L48,1,F48))</f>
        <v>0</v>
      </c>
      <c r="X48" s="101">
        <f t="shared" ref="X48:X67" si="21">W48*$E$11*1.6</f>
        <v>0</v>
      </c>
      <c r="Y48" s="101">
        <f t="shared" ref="Y48:Y67" si="22">V48+X48</f>
        <v>0</v>
      </c>
      <c r="Z48" s="101">
        <f>VLOOKUP(MONTH(D48),[0]!rainforuplandcrop,4)/1000*R48*1600*7</f>
        <v>0</v>
      </c>
    </row>
    <row r="49" spans="2:26" x14ac:dyDescent="0.15">
      <c r="B49" s="106">
        <f t="shared" ref="B49:B67" si="23">C48+1</f>
        <v>39984</v>
      </c>
      <c r="C49" s="107">
        <f t="shared" ref="C49:C67" si="24">B49+6</f>
        <v>39990</v>
      </c>
      <c r="D49" s="99">
        <f t="shared" si="12"/>
        <v>39990</v>
      </c>
      <c r="E49" s="91">
        <v>34</v>
      </c>
      <c r="F49" s="96">
        <f>IF(ISERROR(VLOOKUP(E49,Crop!$S$3:$T$70,2,FALSE)),0,VLOOKUP(E49,Crop!$S$3:$T$70,2,FALSE))</f>
        <v>34</v>
      </c>
      <c r="G49" s="100">
        <f>IF(ISERROR(HLOOKUP($D$5,Kc!$B$3:$AI$57,plant!F49+3,FALSE)),0,HLOOKUP($D$5,Kc!$B$3:$AI$57,plant!F49+3,FALSE))</f>
        <v>1.69</v>
      </c>
      <c r="H49" s="112">
        <f t="shared" si="17"/>
        <v>0</v>
      </c>
      <c r="I49" s="113">
        <f t="shared" si="16"/>
        <v>0</v>
      </c>
      <c r="J49" s="113">
        <f t="shared" si="16"/>
        <v>0</v>
      </c>
      <c r="K49" s="113">
        <f t="shared" si="16"/>
        <v>0</v>
      </c>
      <c r="L49" s="113">
        <f t="shared" si="16"/>
        <v>0</v>
      </c>
      <c r="M49" s="113">
        <f t="shared" si="16"/>
        <v>0</v>
      </c>
      <c r="N49" s="113">
        <f t="shared" si="16"/>
        <v>0</v>
      </c>
      <c r="O49" s="113">
        <f t="shared" si="16"/>
        <v>0</v>
      </c>
      <c r="P49" s="113">
        <f t="shared" si="16"/>
        <v>0</v>
      </c>
      <c r="Q49" s="113">
        <f t="shared" si="16"/>
        <v>0</v>
      </c>
      <c r="R49" s="117">
        <f t="shared" si="18"/>
        <v>0</v>
      </c>
      <c r="S49" s="100">
        <f t="shared" si="13"/>
        <v>0</v>
      </c>
      <c r="T49" s="97">
        <f>VLOOKUP($D$7,ETo!$B$4:$P$88,MONTH(D49)+2,FALSE)/4</f>
        <v>32.828631194336559</v>
      </c>
      <c r="U49" s="100">
        <f t="shared" si="19"/>
        <v>0</v>
      </c>
      <c r="V49" s="98">
        <f t="shared" si="5"/>
        <v>0</v>
      </c>
      <c r="W49" s="101">
        <f t="shared" si="20"/>
        <v>0</v>
      </c>
      <c r="X49" s="101">
        <f t="shared" si="21"/>
        <v>0</v>
      </c>
      <c r="Y49" s="101">
        <f t="shared" si="22"/>
        <v>0</v>
      </c>
      <c r="Z49" s="101">
        <f>VLOOKUP(MONTH(D49),[0]!rainforuplandcrop,4)/1000*R49*1600*7</f>
        <v>0</v>
      </c>
    </row>
    <row r="50" spans="2:26" x14ac:dyDescent="0.15">
      <c r="B50" s="106">
        <f t="shared" si="23"/>
        <v>39991</v>
      </c>
      <c r="C50" s="107">
        <f t="shared" si="24"/>
        <v>39997</v>
      </c>
      <c r="D50" s="99">
        <f t="shared" si="12"/>
        <v>39997</v>
      </c>
      <c r="E50" s="91">
        <v>35</v>
      </c>
      <c r="F50" s="96">
        <f>IF(ISERROR(VLOOKUP(E50,Crop!$S$3:$T$70,2,FALSE)),0,VLOOKUP(E50,Crop!$S$3:$T$70,2,FALSE))</f>
        <v>35</v>
      </c>
      <c r="G50" s="100">
        <f>IF(ISERROR(HLOOKUP($D$5,Kc!$B$3:$AI$57,plant!F50+3,FALSE)),0,HLOOKUP($D$5,Kc!$B$3:$AI$57,plant!F50+3,FALSE))</f>
        <v>1.69</v>
      </c>
      <c r="H50" s="112">
        <f t="shared" si="17"/>
        <v>0</v>
      </c>
      <c r="I50" s="113">
        <f t="shared" si="16"/>
        <v>0</v>
      </c>
      <c r="J50" s="113">
        <f t="shared" si="16"/>
        <v>0</v>
      </c>
      <c r="K50" s="113">
        <f t="shared" si="16"/>
        <v>0</v>
      </c>
      <c r="L50" s="113">
        <f t="shared" si="16"/>
        <v>0</v>
      </c>
      <c r="M50" s="113">
        <f t="shared" si="16"/>
        <v>0</v>
      </c>
      <c r="N50" s="113">
        <f t="shared" si="16"/>
        <v>0</v>
      </c>
      <c r="O50" s="113">
        <f t="shared" si="16"/>
        <v>0</v>
      </c>
      <c r="P50" s="113">
        <f t="shared" si="16"/>
        <v>0</v>
      </c>
      <c r="Q50" s="113">
        <f t="shared" si="16"/>
        <v>0</v>
      </c>
      <c r="R50" s="117">
        <f t="shared" si="18"/>
        <v>0</v>
      </c>
      <c r="S50" s="100">
        <f t="shared" si="13"/>
        <v>0</v>
      </c>
      <c r="T50" s="97">
        <f>VLOOKUP($D$7,ETo!$B$4:$P$88,MONTH(D50)+2,FALSE)/4</f>
        <v>33.131638852547908</v>
      </c>
      <c r="U50" s="100">
        <f t="shared" si="19"/>
        <v>0</v>
      </c>
      <c r="V50" s="98">
        <f t="shared" si="5"/>
        <v>0</v>
      </c>
      <c r="W50" s="101">
        <f t="shared" si="20"/>
        <v>0</v>
      </c>
      <c r="X50" s="101">
        <f t="shared" si="21"/>
        <v>0</v>
      </c>
      <c r="Y50" s="101">
        <f t="shared" si="22"/>
        <v>0</v>
      </c>
      <c r="Z50" s="101">
        <f>VLOOKUP(MONTH(D50),[0]!rainforuplandcrop,4)/1000*R50*1600*7</f>
        <v>0</v>
      </c>
    </row>
    <row r="51" spans="2:26" x14ac:dyDescent="0.15">
      <c r="B51" s="106">
        <f t="shared" si="23"/>
        <v>39998</v>
      </c>
      <c r="C51" s="107">
        <f t="shared" si="24"/>
        <v>40004</v>
      </c>
      <c r="D51" s="99">
        <f t="shared" si="12"/>
        <v>40004</v>
      </c>
      <c r="E51" s="91">
        <v>36</v>
      </c>
      <c r="F51" s="96">
        <f>IF(ISERROR(VLOOKUP(E51,Crop!$S$3:$T$70,2,FALSE)),0,VLOOKUP(E51,Crop!$S$3:$T$70,2,FALSE))</f>
        <v>36</v>
      </c>
      <c r="G51" s="100">
        <f>IF(ISERROR(HLOOKUP($D$5,Kc!$B$3:$AI$57,plant!F51+3,FALSE)),0,HLOOKUP($D$5,Kc!$B$3:$AI$57,plant!F51+3,FALSE))</f>
        <v>1.61</v>
      </c>
      <c r="H51" s="112">
        <f t="shared" si="17"/>
        <v>0</v>
      </c>
      <c r="I51" s="113">
        <f t="shared" si="16"/>
        <v>0</v>
      </c>
      <c r="J51" s="113">
        <f t="shared" si="16"/>
        <v>0</v>
      </c>
      <c r="K51" s="113">
        <f t="shared" si="16"/>
        <v>0</v>
      </c>
      <c r="L51" s="113">
        <f t="shared" si="16"/>
        <v>0</v>
      </c>
      <c r="M51" s="113">
        <f t="shared" si="16"/>
        <v>0</v>
      </c>
      <c r="N51" s="113">
        <f t="shared" si="16"/>
        <v>0</v>
      </c>
      <c r="O51" s="113">
        <f t="shared" si="16"/>
        <v>0</v>
      </c>
      <c r="P51" s="113">
        <f t="shared" si="16"/>
        <v>0</v>
      </c>
      <c r="Q51" s="113">
        <f t="shared" si="16"/>
        <v>0</v>
      </c>
      <c r="R51" s="117">
        <f t="shared" si="18"/>
        <v>0</v>
      </c>
      <c r="S51" s="100">
        <f t="shared" si="13"/>
        <v>0</v>
      </c>
      <c r="T51" s="97">
        <f>VLOOKUP($D$7,ETo!$B$4:$P$88,MONTH(D51)+2,FALSE)/4</f>
        <v>33.131638852547908</v>
      </c>
      <c r="U51" s="100">
        <f t="shared" si="19"/>
        <v>0</v>
      </c>
      <c r="V51" s="98">
        <f t="shared" si="5"/>
        <v>0</v>
      </c>
      <c r="W51" s="101">
        <f t="shared" si="20"/>
        <v>0</v>
      </c>
      <c r="X51" s="101">
        <f t="shared" si="21"/>
        <v>0</v>
      </c>
      <c r="Y51" s="101">
        <f t="shared" si="22"/>
        <v>0</v>
      </c>
      <c r="Z51" s="101">
        <f>VLOOKUP(MONTH(D51),[0]!rainforuplandcrop,4)/1000*R51*1600*7</f>
        <v>0</v>
      </c>
    </row>
    <row r="52" spans="2:26" x14ac:dyDescent="0.15">
      <c r="B52" s="106">
        <f t="shared" si="23"/>
        <v>40005</v>
      </c>
      <c r="C52" s="107">
        <f t="shared" si="24"/>
        <v>40011</v>
      </c>
      <c r="D52" s="99">
        <f t="shared" si="12"/>
        <v>40011</v>
      </c>
      <c r="E52" s="91">
        <v>37</v>
      </c>
      <c r="F52" s="96">
        <f>IF(ISERROR(VLOOKUP(E52,Crop!$S$3:$T$70,2,FALSE)),0,VLOOKUP(E52,Crop!$S$3:$T$70,2,FALSE))</f>
        <v>37</v>
      </c>
      <c r="G52" s="100">
        <f>IF(ISERROR(HLOOKUP($D$5,Kc!$B$3:$AI$57,plant!F52+3,FALSE)),0,HLOOKUP($D$5,Kc!$B$3:$AI$57,plant!F52+3,FALSE))</f>
        <v>1.61</v>
      </c>
      <c r="H52" s="112">
        <f t="shared" si="17"/>
        <v>0</v>
      </c>
      <c r="I52" s="113">
        <f t="shared" si="16"/>
        <v>0</v>
      </c>
      <c r="J52" s="113">
        <f t="shared" si="16"/>
        <v>0</v>
      </c>
      <c r="K52" s="113">
        <f t="shared" si="16"/>
        <v>0</v>
      </c>
      <c r="L52" s="113">
        <f t="shared" si="16"/>
        <v>0</v>
      </c>
      <c r="M52" s="113">
        <f t="shared" si="16"/>
        <v>0</v>
      </c>
      <c r="N52" s="113">
        <f t="shared" si="16"/>
        <v>0</v>
      </c>
      <c r="O52" s="113">
        <f t="shared" si="16"/>
        <v>0</v>
      </c>
      <c r="P52" s="113">
        <f t="shared" si="16"/>
        <v>0</v>
      </c>
      <c r="Q52" s="113">
        <f t="shared" si="16"/>
        <v>0</v>
      </c>
      <c r="R52" s="117">
        <f t="shared" si="18"/>
        <v>0</v>
      </c>
      <c r="S52" s="100">
        <f t="shared" si="13"/>
        <v>0</v>
      </c>
      <c r="T52" s="97">
        <f>VLOOKUP($D$7,ETo!$B$4:$P$88,MONTH(D52)+2,FALSE)/4</f>
        <v>33.131638852547908</v>
      </c>
      <c r="U52" s="100">
        <f t="shared" si="19"/>
        <v>0</v>
      </c>
      <c r="V52" s="98">
        <f t="shared" si="5"/>
        <v>0</v>
      </c>
      <c r="W52" s="101">
        <f t="shared" si="20"/>
        <v>0</v>
      </c>
      <c r="X52" s="101">
        <f t="shared" si="21"/>
        <v>0</v>
      </c>
      <c r="Y52" s="101">
        <f t="shared" si="22"/>
        <v>0</v>
      </c>
      <c r="Z52" s="101">
        <f>VLOOKUP(MONTH(D52),[0]!rainforuplandcrop,4)/1000*R52*1600*7</f>
        <v>0</v>
      </c>
    </row>
    <row r="53" spans="2:26" x14ac:dyDescent="0.15">
      <c r="B53" s="106">
        <f t="shared" si="23"/>
        <v>40012</v>
      </c>
      <c r="C53" s="107">
        <f t="shared" si="24"/>
        <v>40018</v>
      </c>
      <c r="D53" s="99">
        <f t="shared" si="12"/>
        <v>40018</v>
      </c>
      <c r="E53" s="91">
        <v>38</v>
      </c>
      <c r="F53" s="96">
        <f>IF(ISERROR(VLOOKUP(E53,Crop!$S$3:$T$70,2,FALSE)),0,VLOOKUP(E53,Crop!$S$3:$T$70,2,FALSE))</f>
        <v>38</v>
      </c>
      <c r="G53" s="100">
        <f>IF(ISERROR(HLOOKUP($D$5,Kc!$B$3:$AI$57,plant!F53+3,FALSE)),0,HLOOKUP($D$5,Kc!$B$3:$AI$57,plant!F53+3,FALSE))</f>
        <v>1.61</v>
      </c>
      <c r="H53" s="112">
        <f t="shared" si="17"/>
        <v>0</v>
      </c>
      <c r="I53" s="113">
        <f t="shared" si="16"/>
        <v>0</v>
      </c>
      <c r="J53" s="113">
        <f t="shared" si="16"/>
        <v>0</v>
      </c>
      <c r="K53" s="113">
        <f t="shared" si="16"/>
        <v>0</v>
      </c>
      <c r="L53" s="113">
        <f t="shared" si="16"/>
        <v>0</v>
      </c>
      <c r="M53" s="113">
        <f t="shared" si="16"/>
        <v>0</v>
      </c>
      <c r="N53" s="113">
        <f t="shared" si="16"/>
        <v>0</v>
      </c>
      <c r="O53" s="113">
        <f t="shared" si="16"/>
        <v>0</v>
      </c>
      <c r="P53" s="113">
        <f t="shared" si="16"/>
        <v>0</v>
      </c>
      <c r="Q53" s="113">
        <f t="shared" si="16"/>
        <v>0</v>
      </c>
      <c r="R53" s="117">
        <f t="shared" si="18"/>
        <v>0</v>
      </c>
      <c r="S53" s="100">
        <f t="shared" si="13"/>
        <v>0</v>
      </c>
      <c r="T53" s="97">
        <f>VLOOKUP($D$7,ETo!$B$4:$P$88,MONTH(D53)+2,FALSE)/4</f>
        <v>33.131638852547908</v>
      </c>
      <c r="U53" s="100">
        <f t="shared" si="19"/>
        <v>0</v>
      </c>
      <c r="V53" s="98">
        <f t="shared" si="5"/>
        <v>0</v>
      </c>
      <c r="W53" s="101">
        <f t="shared" si="20"/>
        <v>0</v>
      </c>
      <c r="X53" s="101">
        <f t="shared" si="21"/>
        <v>0</v>
      </c>
      <c r="Y53" s="101">
        <f t="shared" si="22"/>
        <v>0</v>
      </c>
      <c r="Z53" s="101">
        <f>VLOOKUP(MONTH(D53),[0]!rainforuplandcrop,4)/1000*R53*1600*7</f>
        <v>0</v>
      </c>
    </row>
    <row r="54" spans="2:26" x14ac:dyDescent="0.15">
      <c r="B54" s="106">
        <f t="shared" si="23"/>
        <v>40019</v>
      </c>
      <c r="C54" s="107">
        <f t="shared" si="24"/>
        <v>40025</v>
      </c>
      <c r="D54" s="99">
        <f t="shared" si="12"/>
        <v>40025</v>
      </c>
      <c r="E54" s="91">
        <v>39</v>
      </c>
      <c r="F54" s="96">
        <f>IF(ISERROR(VLOOKUP(E54,Crop!$S$3:$T$70,2,FALSE)),0,VLOOKUP(E54,Crop!$S$3:$T$70,2,FALSE))</f>
        <v>39</v>
      </c>
      <c r="G54" s="100">
        <f>IF(ISERROR(HLOOKUP($D$5,Kc!$B$3:$AI$57,plant!F54+3,FALSE)),0,HLOOKUP($D$5,Kc!$B$3:$AI$57,plant!F54+3,FALSE))</f>
        <v>1.61</v>
      </c>
      <c r="H54" s="112">
        <f t="shared" si="17"/>
        <v>0</v>
      </c>
      <c r="I54" s="113">
        <f t="shared" si="16"/>
        <v>0</v>
      </c>
      <c r="J54" s="113">
        <f t="shared" si="16"/>
        <v>0</v>
      </c>
      <c r="K54" s="113">
        <f t="shared" si="16"/>
        <v>0</v>
      </c>
      <c r="L54" s="113">
        <f t="shared" si="16"/>
        <v>0</v>
      </c>
      <c r="M54" s="113">
        <f t="shared" si="16"/>
        <v>0</v>
      </c>
      <c r="N54" s="113">
        <f t="shared" si="16"/>
        <v>0</v>
      </c>
      <c r="O54" s="113">
        <f t="shared" si="16"/>
        <v>0</v>
      </c>
      <c r="P54" s="113">
        <f t="shared" si="16"/>
        <v>0</v>
      </c>
      <c r="Q54" s="113">
        <f t="shared" si="16"/>
        <v>0</v>
      </c>
      <c r="R54" s="117">
        <f t="shared" si="18"/>
        <v>0</v>
      </c>
      <c r="S54" s="100">
        <f t="shared" si="13"/>
        <v>0</v>
      </c>
      <c r="T54" s="97">
        <f>VLOOKUP($D$7,ETo!$B$4:$P$88,MONTH(D54)+2,FALSE)/4</f>
        <v>33.131638852547908</v>
      </c>
      <c r="U54" s="100">
        <f t="shared" si="19"/>
        <v>0</v>
      </c>
      <c r="V54" s="98">
        <f t="shared" si="5"/>
        <v>0</v>
      </c>
      <c r="W54" s="101">
        <f t="shared" si="20"/>
        <v>0</v>
      </c>
      <c r="X54" s="101">
        <f t="shared" si="21"/>
        <v>0</v>
      </c>
      <c r="Y54" s="101">
        <f t="shared" si="22"/>
        <v>0</v>
      </c>
      <c r="Z54" s="101">
        <f>VLOOKUP(MONTH(D54),[0]!rainforuplandcrop,4)/1000*R54*1600*7</f>
        <v>0</v>
      </c>
    </row>
    <row r="55" spans="2:26" x14ac:dyDescent="0.15">
      <c r="B55" s="106">
        <f t="shared" si="23"/>
        <v>40026</v>
      </c>
      <c r="C55" s="107">
        <f t="shared" si="24"/>
        <v>40032</v>
      </c>
      <c r="D55" s="99">
        <f t="shared" si="12"/>
        <v>40032</v>
      </c>
      <c r="E55" s="91">
        <v>40</v>
      </c>
      <c r="F55" s="96">
        <f>IF(ISERROR(VLOOKUP(E55,Crop!$S$3:$T$70,2,FALSE)),0,VLOOKUP(E55,Crop!$S$3:$T$70,2,FALSE))</f>
        <v>40</v>
      </c>
      <c r="G55" s="100">
        <f>IF(ISERROR(HLOOKUP($D$5,Kc!$B$3:$AI$57,plant!F55+3,FALSE)),0,HLOOKUP($D$5,Kc!$B$3:$AI$57,plant!F55+3,FALSE))</f>
        <v>1.61</v>
      </c>
      <c r="H55" s="112">
        <f t="shared" si="17"/>
        <v>0</v>
      </c>
      <c r="I55" s="113">
        <f t="shared" si="16"/>
        <v>0</v>
      </c>
      <c r="J55" s="113">
        <f t="shared" si="16"/>
        <v>0</v>
      </c>
      <c r="K55" s="113">
        <f t="shared" si="16"/>
        <v>0</v>
      </c>
      <c r="L55" s="113">
        <f t="shared" si="16"/>
        <v>0</v>
      </c>
      <c r="M55" s="113">
        <f t="shared" si="16"/>
        <v>0</v>
      </c>
      <c r="N55" s="113">
        <f t="shared" si="16"/>
        <v>0</v>
      </c>
      <c r="O55" s="113">
        <f t="shared" si="16"/>
        <v>0</v>
      </c>
      <c r="P55" s="113">
        <f t="shared" si="16"/>
        <v>0</v>
      </c>
      <c r="Q55" s="113">
        <f t="shared" si="16"/>
        <v>0</v>
      </c>
      <c r="R55" s="117">
        <f t="shared" si="18"/>
        <v>0</v>
      </c>
      <c r="S55" s="100">
        <f t="shared" si="13"/>
        <v>0</v>
      </c>
      <c r="T55" s="97">
        <f>VLOOKUP($D$7,ETo!$B$4:$P$88,MONTH(D55)+2,FALSE)/4</f>
        <v>31.040695886359554</v>
      </c>
      <c r="U55" s="100">
        <f t="shared" si="19"/>
        <v>0</v>
      </c>
      <c r="V55" s="98">
        <f t="shared" si="5"/>
        <v>0</v>
      </c>
      <c r="W55" s="101">
        <f t="shared" si="20"/>
        <v>0</v>
      </c>
      <c r="X55" s="101">
        <f t="shared" si="21"/>
        <v>0</v>
      </c>
      <c r="Y55" s="101">
        <f t="shared" si="22"/>
        <v>0</v>
      </c>
      <c r="Z55" s="101">
        <f>VLOOKUP(MONTH(D55),[0]!rainforuplandcrop,4)/1000*R55*1600*7</f>
        <v>0</v>
      </c>
    </row>
    <row r="56" spans="2:26" x14ac:dyDescent="0.15">
      <c r="B56" s="106">
        <f t="shared" si="23"/>
        <v>40033</v>
      </c>
      <c r="C56" s="107">
        <f t="shared" si="24"/>
        <v>40039</v>
      </c>
      <c r="D56" s="99">
        <f t="shared" si="12"/>
        <v>40039</v>
      </c>
      <c r="E56" s="91">
        <v>41</v>
      </c>
      <c r="F56" s="96">
        <f>IF(ISERROR(VLOOKUP(E56,Crop!$S$3:$T$70,2,FALSE)),0,VLOOKUP(E56,Crop!$S$3:$T$70,2,FALSE))</f>
        <v>41</v>
      </c>
      <c r="G56" s="100">
        <f>IF(ISERROR(HLOOKUP($D$5,Kc!$B$3:$AI$57,plant!F56+3,FALSE)),0,HLOOKUP($D$5,Kc!$B$3:$AI$57,plant!F56+3,FALSE))</f>
        <v>1.27</v>
      </c>
      <c r="H56" s="112">
        <f t="shared" si="17"/>
        <v>0</v>
      </c>
      <c r="I56" s="113">
        <f t="shared" si="16"/>
        <v>0</v>
      </c>
      <c r="J56" s="113">
        <f t="shared" si="16"/>
        <v>0</v>
      </c>
      <c r="K56" s="113">
        <f t="shared" si="16"/>
        <v>0</v>
      </c>
      <c r="L56" s="113">
        <f t="shared" si="16"/>
        <v>0</v>
      </c>
      <c r="M56" s="113">
        <f t="shared" si="16"/>
        <v>0</v>
      </c>
      <c r="N56" s="113">
        <f t="shared" si="16"/>
        <v>0</v>
      </c>
      <c r="O56" s="113">
        <f t="shared" si="16"/>
        <v>0</v>
      </c>
      <c r="P56" s="113">
        <f t="shared" si="16"/>
        <v>0</v>
      </c>
      <c r="Q56" s="113">
        <f t="shared" si="16"/>
        <v>0</v>
      </c>
      <c r="R56" s="117">
        <f t="shared" si="18"/>
        <v>0</v>
      </c>
      <c r="S56" s="100">
        <f t="shared" si="13"/>
        <v>0</v>
      </c>
      <c r="T56" s="97">
        <f>VLOOKUP($D$7,ETo!$B$4:$P$88,MONTH(D56)+2,FALSE)/4</f>
        <v>31.040695886359554</v>
      </c>
      <c r="U56" s="100">
        <f t="shared" si="19"/>
        <v>0</v>
      </c>
      <c r="V56" s="98">
        <f t="shared" si="5"/>
        <v>0</v>
      </c>
      <c r="W56" s="101">
        <f t="shared" si="20"/>
        <v>0</v>
      </c>
      <c r="X56" s="101">
        <f t="shared" si="21"/>
        <v>0</v>
      </c>
      <c r="Y56" s="101">
        <f t="shared" si="22"/>
        <v>0</v>
      </c>
      <c r="Z56" s="101">
        <f>VLOOKUP(MONTH(D56),[0]!rainforuplandcrop,4)/1000*R56*1600*7</f>
        <v>0</v>
      </c>
    </row>
    <row r="57" spans="2:26" x14ac:dyDescent="0.15">
      <c r="B57" s="106">
        <f t="shared" si="23"/>
        <v>40040</v>
      </c>
      <c r="C57" s="107">
        <f t="shared" si="24"/>
        <v>40046</v>
      </c>
      <c r="D57" s="99">
        <f t="shared" si="12"/>
        <v>40046</v>
      </c>
      <c r="E57" s="91">
        <v>42</v>
      </c>
      <c r="F57" s="96">
        <f>IF(ISERROR(VLOOKUP(E57,Crop!$S$3:$T$70,2,FALSE)),0,VLOOKUP(E57,Crop!$S$3:$T$70,2,FALSE))</f>
        <v>42</v>
      </c>
      <c r="G57" s="100">
        <f>IF(ISERROR(HLOOKUP($D$5,Kc!$B$3:$AI$57,plant!F57+3,FALSE)),0,HLOOKUP($D$5,Kc!$B$3:$AI$57,plant!F57+3,FALSE))</f>
        <v>1.27</v>
      </c>
      <c r="H57" s="112">
        <f t="shared" si="17"/>
        <v>0</v>
      </c>
      <c r="I57" s="113">
        <f t="shared" ref="I57:Q67" si="25">IF(H56&gt;0,IF(I$15&gt;$E$9,0,VLOOKUP(I$15,$F$3:$G$12,2,FALSE)),0)</f>
        <v>0</v>
      </c>
      <c r="J57" s="113">
        <f t="shared" si="25"/>
        <v>0</v>
      </c>
      <c r="K57" s="113">
        <f t="shared" si="25"/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7">
        <f t="shared" si="18"/>
        <v>0</v>
      </c>
      <c r="S57" s="100">
        <f t="shared" si="13"/>
        <v>0</v>
      </c>
      <c r="T57" s="97">
        <f>VLOOKUP($D$7,ETo!$B$4:$P$88,MONTH(D57)+2,FALSE)/4</f>
        <v>31.040695886359554</v>
      </c>
      <c r="U57" s="100">
        <f t="shared" si="19"/>
        <v>0</v>
      </c>
      <c r="V57" s="98">
        <f t="shared" si="5"/>
        <v>0</v>
      </c>
      <c r="W57" s="101">
        <f t="shared" si="20"/>
        <v>0</v>
      </c>
      <c r="X57" s="101">
        <f t="shared" si="21"/>
        <v>0</v>
      </c>
      <c r="Y57" s="101">
        <f t="shared" si="22"/>
        <v>0</v>
      </c>
      <c r="Z57" s="101">
        <f>VLOOKUP(MONTH(D57),[0]!rainforuplandcrop,4)/1000*R57*1600*7</f>
        <v>0</v>
      </c>
    </row>
    <row r="58" spans="2:26" x14ac:dyDescent="0.15">
      <c r="B58" s="106">
        <f t="shared" si="23"/>
        <v>40047</v>
      </c>
      <c r="C58" s="107">
        <f t="shared" si="24"/>
        <v>40053</v>
      </c>
      <c r="D58" s="99">
        <f t="shared" si="12"/>
        <v>40053</v>
      </c>
      <c r="E58" s="91">
        <v>43</v>
      </c>
      <c r="F58" s="96">
        <f>IF(ISERROR(VLOOKUP(E58,Crop!$S$3:$T$70,2,FALSE)),0,VLOOKUP(E58,Crop!$S$3:$T$70,2,FALSE))</f>
        <v>43</v>
      </c>
      <c r="G58" s="100">
        <f>IF(ISERROR(HLOOKUP($D$5,Kc!$B$3:$AI$57,plant!F58+3,FALSE)),0,HLOOKUP($D$5,Kc!$B$3:$AI$57,plant!F58+3,FALSE))</f>
        <v>1.27</v>
      </c>
      <c r="H58" s="112">
        <f t="shared" si="17"/>
        <v>0</v>
      </c>
      <c r="I58" s="113">
        <f t="shared" si="25"/>
        <v>0</v>
      </c>
      <c r="J58" s="113">
        <f t="shared" si="25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7">
        <f t="shared" si="18"/>
        <v>0</v>
      </c>
      <c r="S58" s="100">
        <f t="shared" si="13"/>
        <v>0</v>
      </c>
      <c r="T58" s="97">
        <f>VLOOKUP($D$7,ETo!$B$4:$P$88,MONTH(D58)+2,FALSE)/4</f>
        <v>31.040695886359554</v>
      </c>
      <c r="U58" s="100">
        <f t="shared" si="19"/>
        <v>0</v>
      </c>
      <c r="V58" s="98">
        <f t="shared" si="5"/>
        <v>0</v>
      </c>
      <c r="W58" s="101">
        <f t="shared" si="20"/>
        <v>0</v>
      </c>
      <c r="X58" s="101">
        <f t="shared" si="21"/>
        <v>0</v>
      </c>
      <c r="Y58" s="101">
        <f t="shared" si="22"/>
        <v>0</v>
      </c>
      <c r="Z58" s="101">
        <f>VLOOKUP(MONTH(D58),[0]!rainforuplandcrop,4)/1000*R58*1600*7</f>
        <v>0</v>
      </c>
    </row>
    <row r="59" spans="2:26" x14ac:dyDescent="0.15">
      <c r="B59" s="106">
        <f t="shared" si="23"/>
        <v>40054</v>
      </c>
      <c r="C59" s="107">
        <f t="shared" si="24"/>
        <v>40060</v>
      </c>
      <c r="D59" s="99">
        <f t="shared" si="12"/>
        <v>40060</v>
      </c>
      <c r="E59" s="91">
        <v>44</v>
      </c>
      <c r="F59" s="96">
        <f>IF(ISERROR(VLOOKUP(E59,Crop!$S$3:$T$70,2,FALSE)),0,VLOOKUP(E59,Crop!$S$3:$T$70,2,FALSE))</f>
        <v>44</v>
      </c>
      <c r="G59" s="100">
        <f>IF(ISERROR(HLOOKUP($D$5,Kc!$B$3:$AI$57,plant!F59+3,FALSE)),0,HLOOKUP($D$5,Kc!$B$3:$AI$57,plant!F59+3,FALSE))</f>
        <v>1.27</v>
      </c>
      <c r="H59" s="112">
        <f t="shared" si="17"/>
        <v>0</v>
      </c>
      <c r="I59" s="113">
        <f t="shared" si="25"/>
        <v>0</v>
      </c>
      <c r="J59" s="113">
        <f t="shared" si="25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7">
        <f t="shared" si="18"/>
        <v>0</v>
      </c>
      <c r="S59" s="100">
        <f t="shared" si="13"/>
        <v>0</v>
      </c>
      <c r="T59" s="97">
        <f>VLOOKUP($D$7,ETo!$B$4:$P$88,MONTH(D59)+2,FALSE)/4</f>
        <v>28.50368641826438</v>
      </c>
      <c r="U59" s="100">
        <f t="shared" si="19"/>
        <v>0</v>
      </c>
      <c r="V59" s="98">
        <f t="shared" si="5"/>
        <v>0</v>
      </c>
      <c r="W59" s="101">
        <f t="shared" si="20"/>
        <v>0</v>
      </c>
      <c r="X59" s="101">
        <f t="shared" si="21"/>
        <v>0</v>
      </c>
      <c r="Y59" s="101">
        <f t="shared" si="22"/>
        <v>0</v>
      </c>
      <c r="Z59" s="101">
        <f>VLOOKUP(MONTH(D59),[0]!rainforuplandcrop,4)/1000*R59*1600*7</f>
        <v>0</v>
      </c>
    </row>
    <row r="60" spans="2:26" x14ac:dyDescent="0.15">
      <c r="B60" s="106">
        <f t="shared" si="23"/>
        <v>40061</v>
      </c>
      <c r="C60" s="107">
        <f t="shared" si="24"/>
        <v>40067</v>
      </c>
      <c r="D60" s="99">
        <f t="shared" si="12"/>
        <v>40067</v>
      </c>
      <c r="E60" s="91">
        <v>45</v>
      </c>
      <c r="F60" s="96">
        <f>IF(ISERROR(VLOOKUP(E60,Crop!$S$3:$T$70,2,FALSE)),0,VLOOKUP(E60,Crop!$S$3:$T$70,2,FALSE))</f>
        <v>45</v>
      </c>
      <c r="G60" s="100">
        <f>IF(ISERROR(HLOOKUP($D$5,Kc!$B$3:$AI$57,plant!F60+3,FALSE)),0,HLOOKUP($D$5,Kc!$B$3:$AI$57,plant!F60+3,FALSE))</f>
        <v>1.24</v>
      </c>
      <c r="H60" s="112">
        <f t="shared" si="17"/>
        <v>0</v>
      </c>
      <c r="I60" s="113">
        <f t="shared" si="25"/>
        <v>0</v>
      </c>
      <c r="J60" s="113">
        <f t="shared" si="25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7">
        <f t="shared" si="18"/>
        <v>0</v>
      </c>
      <c r="S60" s="100">
        <f t="shared" si="13"/>
        <v>0</v>
      </c>
      <c r="T60" s="97">
        <f>VLOOKUP($D$7,ETo!$B$4:$P$88,MONTH(D60)+2,FALSE)/4</f>
        <v>28.50368641826438</v>
      </c>
      <c r="U60" s="100">
        <f t="shared" si="19"/>
        <v>0</v>
      </c>
      <c r="V60" s="98">
        <f t="shared" si="5"/>
        <v>0</v>
      </c>
      <c r="W60" s="101">
        <f t="shared" si="20"/>
        <v>0</v>
      </c>
      <c r="X60" s="101">
        <f t="shared" si="21"/>
        <v>0</v>
      </c>
      <c r="Y60" s="101">
        <f t="shared" si="22"/>
        <v>0</v>
      </c>
      <c r="Z60" s="101">
        <f>VLOOKUP(MONTH(D60),[0]!rainforuplandcrop,4)/1000*R60*1600*7</f>
        <v>0</v>
      </c>
    </row>
    <row r="61" spans="2:26" x14ac:dyDescent="0.15">
      <c r="B61" s="106">
        <f t="shared" si="23"/>
        <v>40068</v>
      </c>
      <c r="C61" s="107">
        <f t="shared" si="24"/>
        <v>40074</v>
      </c>
      <c r="D61" s="99">
        <f t="shared" si="12"/>
        <v>40074</v>
      </c>
      <c r="E61" s="91">
        <v>46</v>
      </c>
      <c r="F61" s="96">
        <f>IF(ISERROR(VLOOKUP(E61,Crop!$S$3:$T$70,2,FALSE)),0,VLOOKUP(E61,Crop!$S$3:$T$70,2,FALSE))</f>
        <v>46</v>
      </c>
      <c r="G61" s="100">
        <f>IF(ISERROR(HLOOKUP($D$5,Kc!$B$3:$AI$57,plant!F61+3,FALSE)),0,HLOOKUP($D$5,Kc!$B$3:$AI$57,plant!F61+3,FALSE))</f>
        <v>1.24</v>
      </c>
      <c r="H61" s="112">
        <f t="shared" si="17"/>
        <v>0</v>
      </c>
      <c r="I61" s="113">
        <f t="shared" si="25"/>
        <v>0</v>
      </c>
      <c r="J61" s="113">
        <f t="shared" si="25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7">
        <f t="shared" si="18"/>
        <v>0</v>
      </c>
      <c r="S61" s="100">
        <f t="shared" si="13"/>
        <v>0</v>
      </c>
      <c r="T61" s="97">
        <f>VLOOKUP($D$7,ETo!$B$4:$P$88,MONTH(D61)+2,FALSE)/4</f>
        <v>28.50368641826438</v>
      </c>
      <c r="U61" s="100">
        <f t="shared" si="19"/>
        <v>0</v>
      </c>
      <c r="V61" s="98">
        <f t="shared" si="5"/>
        <v>0</v>
      </c>
      <c r="W61" s="101">
        <f t="shared" si="20"/>
        <v>0</v>
      </c>
      <c r="X61" s="101">
        <f t="shared" si="21"/>
        <v>0</v>
      </c>
      <c r="Y61" s="101">
        <f t="shared" si="22"/>
        <v>0</v>
      </c>
      <c r="Z61" s="101">
        <f>VLOOKUP(MONTH(D61),[0]!rainforuplandcrop,4)/1000*R61*1600*7</f>
        <v>0</v>
      </c>
    </row>
    <row r="62" spans="2:26" x14ac:dyDescent="0.15">
      <c r="B62" s="106">
        <f t="shared" si="23"/>
        <v>40075</v>
      </c>
      <c r="C62" s="107">
        <f t="shared" si="24"/>
        <v>40081</v>
      </c>
      <c r="D62" s="99">
        <f t="shared" si="12"/>
        <v>40081</v>
      </c>
      <c r="E62" s="91">
        <v>47</v>
      </c>
      <c r="F62" s="96">
        <f>IF(ISERROR(VLOOKUP(E62,Crop!$S$3:$T$70,2,FALSE)),0,VLOOKUP(E62,Crop!$S$3:$T$70,2,FALSE))</f>
        <v>47</v>
      </c>
      <c r="G62" s="100">
        <f>IF(ISERROR(HLOOKUP($D$5,Kc!$B$3:$AI$57,plant!F62+3,FALSE)),0,HLOOKUP($D$5,Kc!$B$3:$AI$57,plant!F62+3,FALSE))</f>
        <v>1.24</v>
      </c>
      <c r="H62" s="112">
        <f t="shared" si="17"/>
        <v>0</v>
      </c>
      <c r="I62" s="113">
        <f t="shared" si="25"/>
        <v>0</v>
      </c>
      <c r="J62" s="113">
        <f t="shared" si="25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7">
        <f t="shared" si="18"/>
        <v>0</v>
      </c>
      <c r="S62" s="100">
        <f t="shared" si="13"/>
        <v>0</v>
      </c>
      <c r="T62" s="97">
        <f>VLOOKUP($D$7,ETo!$B$4:$P$88,MONTH(D62)+2,FALSE)/4</f>
        <v>28.50368641826438</v>
      </c>
      <c r="U62" s="100">
        <f t="shared" si="19"/>
        <v>0</v>
      </c>
      <c r="V62" s="98">
        <f t="shared" si="5"/>
        <v>0</v>
      </c>
      <c r="W62" s="101">
        <f t="shared" si="20"/>
        <v>0</v>
      </c>
      <c r="X62" s="101">
        <f t="shared" si="21"/>
        <v>0</v>
      </c>
      <c r="Y62" s="101">
        <f t="shared" si="22"/>
        <v>0</v>
      </c>
      <c r="Z62" s="101">
        <f>VLOOKUP(MONTH(D62),[0]!rainforuplandcrop,4)/1000*R62*1600*7</f>
        <v>0</v>
      </c>
    </row>
    <row r="63" spans="2:26" x14ac:dyDescent="0.15">
      <c r="B63" s="106">
        <f t="shared" si="23"/>
        <v>40082</v>
      </c>
      <c r="C63" s="107">
        <f t="shared" si="24"/>
        <v>40088</v>
      </c>
      <c r="D63" s="99">
        <f t="shared" si="12"/>
        <v>40088</v>
      </c>
      <c r="E63" s="91">
        <v>48</v>
      </c>
      <c r="F63" s="96">
        <f>IF(ISERROR(VLOOKUP(E63,Crop!$S$3:$T$70,2,FALSE)),0,VLOOKUP(E63,Crop!$S$3:$T$70,2,FALSE))</f>
        <v>48</v>
      </c>
      <c r="G63" s="100">
        <f>IF(ISERROR(HLOOKUP($D$5,Kc!$B$3:$AI$57,plant!F63+3,FALSE)),0,HLOOKUP($D$5,Kc!$B$3:$AI$57,plant!F63+3,FALSE))</f>
        <v>1.24</v>
      </c>
      <c r="H63" s="112">
        <f t="shared" si="17"/>
        <v>0</v>
      </c>
      <c r="I63" s="113">
        <f t="shared" si="25"/>
        <v>0</v>
      </c>
      <c r="J63" s="113">
        <f t="shared" si="25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7">
        <f t="shared" si="18"/>
        <v>0</v>
      </c>
      <c r="S63" s="100">
        <f t="shared" si="13"/>
        <v>0</v>
      </c>
      <c r="T63" s="97">
        <f>VLOOKUP($D$7,ETo!$B$4:$P$88,MONTH(D63)+2,FALSE)/4</f>
        <v>29.411745068861798</v>
      </c>
      <c r="U63" s="100">
        <f t="shared" si="19"/>
        <v>0</v>
      </c>
      <c r="V63" s="98">
        <f t="shared" si="5"/>
        <v>0</v>
      </c>
      <c r="W63" s="101">
        <f t="shared" si="20"/>
        <v>0</v>
      </c>
      <c r="X63" s="101">
        <f t="shared" si="21"/>
        <v>0</v>
      </c>
      <c r="Y63" s="101">
        <f t="shared" si="22"/>
        <v>0</v>
      </c>
      <c r="Z63" s="101">
        <f>VLOOKUP(MONTH(D63),[0]!rainforuplandcrop,4)/1000*R63*1600*7</f>
        <v>0</v>
      </c>
    </row>
    <row r="64" spans="2:26" x14ac:dyDescent="0.15">
      <c r="B64" s="106">
        <f t="shared" si="23"/>
        <v>40089</v>
      </c>
      <c r="C64" s="107">
        <f t="shared" si="24"/>
        <v>40095</v>
      </c>
      <c r="D64" s="99">
        <f t="shared" si="12"/>
        <v>40095</v>
      </c>
      <c r="E64" s="91">
        <v>49</v>
      </c>
      <c r="F64" s="96">
        <f>IF(ISERROR(VLOOKUP(E64,Crop!$S$3:$T$70,2,FALSE)),0,VLOOKUP(E64,Crop!$S$3:$T$70,2,FALSE))</f>
        <v>49</v>
      </c>
      <c r="G64" s="100">
        <f>IF(ISERROR(HLOOKUP($D$5,Kc!$B$3:$AI$57,plant!F64+3,FALSE)),0,HLOOKUP($D$5,Kc!$B$3:$AI$57,plant!F64+3,FALSE))</f>
        <v>1.19</v>
      </c>
      <c r="H64" s="112">
        <f t="shared" si="17"/>
        <v>0</v>
      </c>
      <c r="I64" s="113">
        <f t="shared" si="25"/>
        <v>0</v>
      </c>
      <c r="J64" s="113">
        <f t="shared" si="25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7">
        <f t="shared" si="18"/>
        <v>0</v>
      </c>
      <c r="S64" s="100">
        <f t="shared" si="13"/>
        <v>0</v>
      </c>
      <c r="T64" s="97">
        <f>VLOOKUP($D$7,ETo!$B$4:$P$88,MONTH(D64)+2,FALSE)/4</f>
        <v>29.411745068861798</v>
      </c>
      <c r="U64" s="100">
        <f t="shared" si="19"/>
        <v>0</v>
      </c>
      <c r="V64" s="98">
        <f t="shared" si="5"/>
        <v>0</v>
      </c>
      <c r="W64" s="101">
        <f t="shared" si="20"/>
        <v>0</v>
      </c>
      <c r="X64" s="101">
        <f t="shared" si="21"/>
        <v>0</v>
      </c>
      <c r="Y64" s="101">
        <f t="shared" si="22"/>
        <v>0</v>
      </c>
      <c r="Z64" s="101">
        <f>VLOOKUP(MONTH(D64),[0]!rainforuplandcrop,4)/1000*R64*1600*7</f>
        <v>0</v>
      </c>
    </row>
    <row r="65" spans="2:26" x14ac:dyDescent="0.15">
      <c r="B65" s="106">
        <f t="shared" si="23"/>
        <v>40096</v>
      </c>
      <c r="C65" s="107">
        <f t="shared" si="24"/>
        <v>40102</v>
      </c>
      <c r="D65" s="99">
        <f t="shared" si="12"/>
        <v>40102</v>
      </c>
      <c r="E65" s="91">
        <v>50</v>
      </c>
      <c r="F65" s="96">
        <f>IF(ISERROR(VLOOKUP(E65,Crop!$S$3:$T$70,2,FALSE)),0,VLOOKUP(E65,Crop!$S$3:$T$70,2,FALSE))</f>
        <v>50</v>
      </c>
      <c r="G65" s="100">
        <f>IF(ISERROR(HLOOKUP($D$5,Kc!$B$3:$AI$57,plant!F65+3,FALSE)),0,HLOOKUP($D$5,Kc!$B$3:$AI$57,plant!F65+3,FALSE))</f>
        <v>1.19</v>
      </c>
      <c r="H65" s="112">
        <f t="shared" si="17"/>
        <v>0</v>
      </c>
      <c r="I65" s="113">
        <f t="shared" si="25"/>
        <v>0</v>
      </c>
      <c r="J65" s="113">
        <f t="shared" si="25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7">
        <f t="shared" si="18"/>
        <v>0</v>
      </c>
      <c r="S65" s="100">
        <f t="shared" si="13"/>
        <v>0</v>
      </c>
      <c r="T65" s="97">
        <f>VLOOKUP($D$7,ETo!$B$4:$P$88,MONTH(D65)+2,FALSE)/4</f>
        <v>29.411745068861798</v>
      </c>
      <c r="U65" s="100">
        <f t="shared" si="19"/>
        <v>0</v>
      </c>
      <c r="V65" s="98">
        <f t="shared" si="5"/>
        <v>0</v>
      </c>
      <c r="W65" s="101">
        <f t="shared" si="20"/>
        <v>0</v>
      </c>
      <c r="X65" s="101">
        <f t="shared" si="21"/>
        <v>0</v>
      </c>
      <c r="Y65" s="101">
        <f t="shared" si="22"/>
        <v>0</v>
      </c>
      <c r="Z65" s="101">
        <f>VLOOKUP(MONTH(D65),[0]!rainforuplandcrop,4)/1000*R65*1600*7</f>
        <v>0</v>
      </c>
    </row>
    <row r="66" spans="2:26" x14ac:dyDescent="0.15">
      <c r="B66" s="106">
        <f t="shared" si="23"/>
        <v>40103</v>
      </c>
      <c r="C66" s="107">
        <f t="shared" si="24"/>
        <v>40109</v>
      </c>
      <c r="D66" s="99">
        <f t="shared" si="12"/>
        <v>40109</v>
      </c>
      <c r="E66" s="91">
        <v>51</v>
      </c>
      <c r="F66" s="96">
        <f>IF(ISERROR(VLOOKUP(E66,Crop!$S$3:$T$70,2,FALSE)),0,VLOOKUP(E66,Crop!$S$3:$T$70,2,FALSE))</f>
        <v>51</v>
      </c>
      <c r="G66" s="100">
        <f>IF(ISERROR(HLOOKUP($D$5,Kc!$B$3:$AI$57,plant!F66+3,FALSE)),0,HLOOKUP($D$5,Kc!$B$3:$AI$57,plant!F66+3,FALSE))</f>
        <v>1.19</v>
      </c>
      <c r="H66" s="112">
        <f t="shared" si="17"/>
        <v>0</v>
      </c>
      <c r="I66" s="113">
        <f t="shared" si="25"/>
        <v>0</v>
      </c>
      <c r="J66" s="113">
        <f t="shared" si="25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7">
        <f t="shared" si="18"/>
        <v>0</v>
      </c>
      <c r="S66" s="100">
        <f t="shared" si="13"/>
        <v>0</v>
      </c>
      <c r="T66" s="97">
        <f>VLOOKUP($D$7,ETo!$B$4:$P$88,MONTH(D66)+2,FALSE)/4</f>
        <v>29.411745068861798</v>
      </c>
      <c r="U66" s="100">
        <f t="shared" si="19"/>
        <v>0</v>
      </c>
      <c r="V66" s="98">
        <f t="shared" si="5"/>
        <v>0</v>
      </c>
      <c r="W66" s="101">
        <f t="shared" si="20"/>
        <v>0</v>
      </c>
      <c r="X66" s="101">
        <f t="shared" si="21"/>
        <v>0</v>
      </c>
      <c r="Y66" s="101">
        <f t="shared" si="22"/>
        <v>0</v>
      </c>
      <c r="Z66" s="101">
        <f>VLOOKUP(MONTH(D66),[0]!rainforuplandcrop,4)/1000*R66*1600*7</f>
        <v>0</v>
      </c>
    </row>
    <row r="67" spans="2:26" x14ac:dyDescent="0.15">
      <c r="B67" s="108">
        <f t="shared" si="23"/>
        <v>40110</v>
      </c>
      <c r="C67" s="109">
        <f t="shared" si="24"/>
        <v>40116</v>
      </c>
      <c r="D67" s="99">
        <f t="shared" si="12"/>
        <v>40116</v>
      </c>
      <c r="E67" s="92">
        <v>52</v>
      </c>
      <c r="F67" s="96">
        <f>IF(ISERROR(VLOOKUP(E67,Crop!$S$3:$T$70,2,FALSE)),0,VLOOKUP(E67,Crop!$S$3:$T$70,2,FALSE))</f>
        <v>52</v>
      </c>
      <c r="G67" s="102">
        <f>IF(ISERROR(HLOOKUP($D$5,Kc!$B$3:$AI$57,plant!F67+3,FALSE)),0,HLOOKUP($D$5,Kc!$B$3:$AI$57,plant!F67+3,FALSE))</f>
        <v>1.19</v>
      </c>
      <c r="H67" s="114">
        <f t="shared" si="17"/>
        <v>0</v>
      </c>
      <c r="I67" s="115">
        <f t="shared" si="25"/>
        <v>0</v>
      </c>
      <c r="J67" s="115">
        <f t="shared" si="25"/>
        <v>0</v>
      </c>
      <c r="K67" s="115">
        <f t="shared" si="25"/>
        <v>0</v>
      </c>
      <c r="L67" s="115">
        <f t="shared" si="25"/>
        <v>0</v>
      </c>
      <c r="M67" s="115">
        <f t="shared" si="25"/>
        <v>0</v>
      </c>
      <c r="N67" s="115">
        <f t="shared" si="25"/>
        <v>0</v>
      </c>
      <c r="O67" s="115">
        <f t="shared" si="25"/>
        <v>0</v>
      </c>
      <c r="P67" s="115">
        <f t="shared" si="25"/>
        <v>0</v>
      </c>
      <c r="Q67" s="115">
        <f t="shared" si="25"/>
        <v>0</v>
      </c>
      <c r="R67" s="118">
        <f t="shared" si="18"/>
        <v>0</v>
      </c>
      <c r="S67" s="102">
        <f t="shared" si="13"/>
        <v>0</v>
      </c>
      <c r="T67" s="97">
        <f>VLOOKUP($D$7,ETo!$B$4:$P$88,MONTH(D67)+2,FALSE)/4</f>
        <v>29.411745068861798</v>
      </c>
      <c r="U67" s="102">
        <f t="shared" si="19"/>
        <v>0</v>
      </c>
      <c r="V67" s="98">
        <f>U67*R67*1.6*0.45</f>
        <v>0</v>
      </c>
      <c r="W67" s="103">
        <f t="shared" si="20"/>
        <v>0</v>
      </c>
      <c r="X67" s="103">
        <f t="shared" si="21"/>
        <v>0</v>
      </c>
      <c r="Y67" s="103">
        <f t="shared" si="22"/>
        <v>0</v>
      </c>
      <c r="Z67" s="103">
        <f>VLOOKUP(MONTH(D67),[0]!rainforuplandcrop,4)/1000*R67*1600*7</f>
        <v>0</v>
      </c>
    </row>
    <row r="68" spans="2:26" x14ac:dyDescent="0.15">
      <c r="Y68" s="49">
        <f>SUM(Y16:Y67)</f>
        <v>0</v>
      </c>
      <c r="Z68" s="49">
        <f>SUM(Z16:Z67)</f>
        <v>0</v>
      </c>
    </row>
    <row r="69" spans="2:26" x14ac:dyDescent="0.15">
      <c r="Y69" s="50"/>
    </row>
  </sheetData>
  <sheetProtection password="DD72" sheet="1" objects="1" scenarios="1"/>
  <phoneticPr fontId="2" type="noConversion"/>
  <conditionalFormatting sqref="F16:Z67">
    <cfRule type="cellIs" dxfId="2" priority="1" stopIfTrue="1" operator="equal">
      <formula>0</formula>
    </cfRule>
  </conditionalFormatting>
  <dataValidations count="4">
    <dataValidation type="list" allowBlank="1" showInputMessage="1" showErrorMessage="1" sqref="E6" xr:uid="{8C66C0CD-91DF-B64D-A00F-D45BA0FE1362}">
      <formula1>Week</formula1>
    </dataValidation>
    <dataValidation type="list" allowBlank="1" showInputMessage="1" showErrorMessage="1" sqref="D5" xr:uid="{5E3EB877-C3E7-3E42-9845-B3269AF0FC10}">
      <formula1>croptype</formula1>
    </dataValidation>
    <dataValidation type="list" allowBlank="1" showInputMessage="1" showErrorMessage="1" sqref="D4" xr:uid="{E8EAA3BD-0383-0341-AF1B-5B0C7DF90F0B}">
      <formula1>province</formula1>
    </dataValidation>
    <dataValidation type="list" allowBlank="1" showInputMessage="1" showErrorMessage="1" sqref="E9" xr:uid="{F4B48B65-930F-A340-B6E2-33EB429D4758}">
      <formula1>"1,2,3,4,5,6,7,8,9,10"</formula1>
    </dataValidation>
  </dataValidations>
  <printOptions horizontalCentered="1"/>
  <pageMargins left="0.15748031496062992" right="0.51181102362204722" top="0.28999999999999998" bottom="0.32" header="0.23622047244094491" footer="0.15748031496062992"/>
  <pageSetup paperSize="9" scale="63" fitToHeight="2" orientation="landscape"/>
  <headerFooter alignWithMargins="0">
    <oddFooter>&amp;L&amp;Z&amp;F&amp;A&amp;C&amp;P/&amp;N&amp;R&amp;D</oddFooter>
  </headerFooter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3BB9D-F86C-3841-BB8A-A34FE751F50D}">
  <sheetPr codeName="Sheet4">
    <tabColor indexed="57"/>
  </sheetPr>
  <dimension ref="B1:AM63"/>
  <sheetViews>
    <sheetView showGridLines="0" workbookViewId="0">
      <selection activeCell="G11" sqref="G11"/>
    </sheetView>
  </sheetViews>
  <sheetFormatPr baseColWidth="10" defaultRowHeight="13" x14ac:dyDescent="0.15"/>
  <cols>
    <col min="1" max="1" width="2.6640625" customWidth="1"/>
    <col min="2" max="3" width="8.83203125" customWidth="1"/>
    <col min="4" max="4" width="8" customWidth="1"/>
    <col min="5" max="5" width="6.5" customWidth="1"/>
    <col min="6" max="7" width="8.83203125" customWidth="1"/>
    <col min="8" max="8" width="13.1640625" bestFit="1" customWidth="1"/>
    <col min="9" max="9" width="13.1640625" customWidth="1"/>
    <col min="10" max="10" width="4.5" customWidth="1"/>
    <col min="11" max="12" width="5" customWidth="1"/>
    <col min="13" max="13" width="8.83203125" customWidth="1"/>
    <col min="14" max="24" width="4.1640625" customWidth="1"/>
    <col min="25" max="39" width="4.33203125" customWidth="1"/>
    <col min="40" max="64" width="4" customWidth="1"/>
    <col min="65" max="256" width="8.83203125" customWidth="1"/>
  </cols>
  <sheetData>
    <row r="1" spans="2:39" ht="16" x14ac:dyDescent="0.2">
      <c r="B1" s="145" t="s">
        <v>385</v>
      </c>
    </row>
    <row r="2" spans="2:39" ht="14" thickBot="1" x14ac:dyDescent="0.2"/>
    <row r="3" spans="2:39" x14ac:dyDescent="0.15">
      <c r="B3" s="127" t="s">
        <v>108</v>
      </c>
      <c r="C3" s="128"/>
      <c r="D3" s="827" t="str">
        <f>+fill_data!C4</f>
        <v>นครราชสีมา</v>
      </c>
      <c r="E3" s="828"/>
      <c r="G3" s="146"/>
    </row>
    <row r="4" spans="2:39" x14ac:dyDescent="0.15">
      <c r="B4" s="130" t="s">
        <v>147</v>
      </c>
      <c r="D4" s="46"/>
      <c r="E4" s="141">
        <v>1</v>
      </c>
    </row>
    <row r="5" spans="2:39" x14ac:dyDescent="0.15">
      <c r="B5" s="132" t="s">
        <v>377</v>
      </c>
      <c r="D5" s="635" t="str">
        <f>VLOOKUP(D3,Prv!$D$3:$E$78,2,FALSE)</f>
        <v>นครราชสีมา</v>
      </c>
      <c r="E5" s="636"/>
    </row>
    <row r="6" spans="2:39" ht="14" thickBot="1" x14ac:dyDescent="0.2">
      <c r="B6" s="136" t="s">
        <v>386</v>
      </c>
      <c r="C6" s="142"/>
      <c r="D6" s="143"/>
      <c r="E6" s="144">
        <f>+fill_data!K53</f>
        <v>0</v>
      </c>
    </row>
    <row r="8" spans="2:39" x14ac:dyDescent="0.15">
      <c r="B8" s="119" t="s">
        <v>352</v>
      </c>
      <c r="C8" s="119" t="s">
        <v>353</v>
      </c>
      <c r="D8" s="119" t="s">
        <v>354</v>
      </c>
      <c r="E8" s="119" t="s">
        <v>355</v>
      </c>
      <c r="F8" s="119" t="s">
        <v>356</v>
      </c>
      <c r="G8" s="119" t="s">
        <v>357</v>
      </c>
      <c r="H8" s="119" t="s">
        <v>423</v>
      </c>
      <c r="I8" s="119" t="s">
        <v>358</v>
      </c>
    </row>
    <row r="9" spans="2:39" x14ac:dyDescent="0.15">
      <c r="B9" s="33" t="s">
        <v>163</v>
      </c>
      <c r="C9" s="34"/>
      <c r="D9" s="35" t="s">
        <v>166</v>
      </c>
      <c r="E9" s="35" t="s">
        <v>2</v>
      </c>
      <c r="F9" s="37" t="s">
        <v>384</v>
      </c>
      <c r="G9" s="37"/>
      <c r="H9" s="306" t="s">
        <v>170</v>
      </c>
      <c r="I9" s="306" t="s">
        <v>601</v>
      </c>
    </row>
    <row r="10" spans="2:39" x14ac:dyDescent="0.15">
      <c r="B10" s="38" t="s">
        <v>164</v>
      </c>
      <c r="C10" s="39" t="s">
        <v>165</v>
      </c>
      <c r="D10" s="40"/>
      <c r="E10" s="40"/>
      <c r="F10" s="42" t="s">
        <v>383</v>
      </c>
      <c r="G10" s="37" t="s">
        <v>395</v>
      </c>
      <c r="H10" s="41" t="s">
        <v>172</v>
      </c>
      <c r="I10" s="41" t="s">
        <v>172</v>
      </c>
      <c r="N10" s="147">
        <v>3</v>
      </c>
      <c r="O10">
        <v>3</v>
      </c>
      <c r="P10">
        <v>3</v>
      </c>
      <c r="Q10">
        <v>3</v>
      </c>
      <c r="R10">
        <v>4</v>
      </c>
      <c r="S10">
        <v>4</v>
      </c>
      <c r="T10">
        <v>4</v>
      </c>
      <c r="U10">
        <v>4</v>
      </c>
      <c r="V10">
        <v>4</v>
      </c>
      <c r="W10">
        <v>4</v>
      </c>
      <c r="X10">
        <v>4</v>
      </c>
      <c r="Y10">
        <v>4</v>
      </c>
      <c r="Z10">
        <v>4</v>
      </c>
      <c r="AA10">
        <v>4</v>
      </c>
      <c r="AB10">
        <v>4</v>
      </c>
      <c r="AC10">
        <v>4</v>
      </c>
      <c r="AD10">
        <v>4</v>
      </c>
      <c r="AE10">
        <v>4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4</v>
      </c>
      <c r="AM10">
        <v>4</v>
      </c>
    </row>
    <row r="11" spans="2:39" x14ac:dyDescent="0.15">
      <c r="B11" s="104">
        <v>39753</v>
      </c>
      <c r="C11" s="105">
        <f>B11+6</f>
        <v>39759</v>
      </c>
      <c r="D11" s="99">
        <f>+C11</f>
        <v>39759</v>
      </c>
      <c r="E11" s="90">
        <v>1</v>
      </c>
      <c r="F11" s="101">
        <v>1200</v>
      </c>
      <c r="G11" s="288">
        <f>VLOOKUP($D$5,evap!$B$4:$P$88,MONTH(D11)+2,FALSE)/4*0.7+7</f>
        <v>30.274999999999999</v>
      </c>
      <c r="H11" s="98">
        <f t="shared" ref="H11:H42" si="0">+(F11*J11+G11*K11)*$E$6/100*1.6</f>
        <v>0</v>
      </c>
      <c r="I11" s="98">
        <f>VLOOKUP(MONTH(D11),[0]!rainforpaddy,4)/1000*$E$6*1600*7</f>
        <v>0</v>
      </c>
      <c r="J11">
        <f>SUMIF($N11:$AM11,1,$N$10:$AM$10)</f>
        <v>3</v>
      </c>
      <c r="K11">
        <f>SUMIF($N11:$AM11,2,$N$10:$AM$10)</f>
        <v>84</v>
      </c>
      <c r="M11" s="90">
        <v>1</v>
      </c>
      <c r="N11" s="158">
        <v>1</v>
      </c>
      <c r="O11" s="158">
        <v>0</v>
      </c>
      <c r="P11" s="158">
        <v>0</v>
      </c>
      <c r="Q11" s="158">
        <v>0</v>
      </c>
      <c r="R11" s="158">
        <v>0</v>
      </c>
      <c r="S11" s="158">
        <v>2</v>
      </c>
      <c r="T11" s="158">
        <v>2</v>
      </c>
      <c r="U11" s="158">
        <v>2</v>
      </c>
      <c r="V11" s="158">
        <v>2</v>
      </c>
      <c r="W11" s="158">
        <v>2</v>
      </c>
      <c r="X11" s="158">
        <v>2</v>
      </c>
      <c r="Y11" s="158">
        <v>2</v>
      </c>
      <c r="Z11" s="158">
        <v>2</v>
      </c>
      <c r="AA11" s="158">
        <v>2</v>
      </c>
      <c r="AB11" s="158">
        <v>2</v>
      </c>
      <c r="AC11" s="158">
        <v>2</v>
      </c>
      <c r="AD11" s="158">
        <v>2</v>
      </c>
      <c r="AE11" s="158">
        <v>2</v>
      </c>
      <c r="AF11" s="158">
        <v>2</v>
      </c>
      <c r="AG11" s="158">
        <v>2</v>
      </c>
      <c r="AH11" s="158">
        <v>2</v>
      </c>
      <c r="AI11" s="158">
        <v>2</v>
      </c>
      <c r="AJ11" s="158">
        <v>2</v>
      </c>
      <c r="AK11" s="158">
        <v>2</v>
      </c>
      <c r="AL11" s="158">
        <v>2</v>
      </c>
      <c r="AM11" s="158">
        <v>2</v>
      </c>
    </row>
    <row r="12" spans="2:39" x14ac:dyDescent="0.15">
      <c r="B12" s="106">
        <f t="shared" ref="B12:B43" si="1">C11+1</f>
        <v>39760</v>
      </c>
      <c r="C12" s="107">
        <f t="shared" ref="C12:C42" si="2">B12+6</f>
        <v>39766</v>
      </c>
      <c r="D12" s="99">
        <f>+C12</f>
        <v>39766</v>
      </c>
      <c r="E12" s="91">
        <v>2</v>
      </c>
      <c r="F12" s="101">
        <v>1200</v>
      </c>
      <c r="G12" s="288">
        <f>VLOOKUP($D$5,evap!$B$4:$P$88,MONTH(D12)+2,FALSE)/4*0.7+7</f>
        <v>30.274999999999999</v>
      </c>
      <c r="H12" s="98">
        <f t="shared" si="0"/>
        <v>0</v>
      </c>
      <c r="I12" s="98">
        <f>VLOOKUP(MONTH(D12),[0]!rainforpaddy,4)/1000*$E$6*1600*7</f>
        <v>0</v>
      </c>
      <c r="J12">
        <f t="shared" ref="J12:J62" si="3">SUMIF($N12:$AM12,1,$N$10:$AM$10)</f>
        <v>3</v>
      </c>
      <c r="K12">
        <f t="shared" ref="K12:K62" si="4">SUMIF($N12:$AM12,2,$N$10:$AM$10)</f>
        <v>83</v>
      </c>
      <c r="M12" s="91">
        <v>2</v>
      </c>
      <c r="N12" s="158">
        <v>2</v>
      </c>
      <c r="O12" s="158">
        <v>1</v>
      </c>
      <c r="P12" s="158">
        <v>0</v>
      </c>
      <c r="Q12" s="158">
        <v>0</v>
      </c>
      <c r="R12" s="158">
        <v>0</v>
      </c>
      <c r="S12" s="158">
        <v>0</v>
      </c>
      <c r="T12" s="158">
        <v>2</v>
      </c>
      <c r="U12" s="158">
        <v>2</v>
      </c>
      <c r="V12" s="158">
        <v>2</v>
      </c>
      <c r="W12" s="158">
        <v>2</v>
      </c>
      <c r="X12" s="158">
        <v>2</v>
      </c>
      <c r="Y12" s="158">
        <v>2</v>
      </c>
      <c r="Z12" s="158">
        <v>2</v>
      </c>
      <c r="AA12" s="158">
        <v>2</v>
      </c>
      <c r="AB12" s="158">
        <v>2</v>
      </c>
      <c r="AC12" s="158">
        <v>2</v>
      </c>
      <c r="AD12" s="158">
        <v>2</v>
      </c>
      <c r="AE12" s="158">
        <v>2</v>
      </c>
      <c r="AF12" s="158">
        <v>2</v>
      </c>
      <c r="AG12" s="158">
        <v>2</v>
      </c>
      <c r="AH12" s="158">
        <v>2</v>
      </c>
      <c r="AI12" s="158">
        <v>2</v>
      </c>
      <c r="AJ12" s="158">
        <v>2</v>
      </c>
      <c r="AK12" s="158">
        <v>2</v>
      </c>
      <c r="AL12" s="158">
        <v>2</v>
      </c>
      <c r="AM12" s="158">
        <v>2</v>
      </c>
    </row>
    <row r="13" spans="2:39" x14ac:dyDescent="0.15">
      <c r="B13" s="106">
        <f t="shared" si="1"/>
        <v>39767</v>
      </c>
      <c r="C13" s="107">
        <f t="shared" si="2"/>
        <v>39773</v>
      </c>
      <c r="D13" s="99">
        <f t="shared" ref="D13:D62" si="5">+C13</f>
        <v>39773</v>
      </c>
      <c r="E13" s="91">
        <v>3</v>
      </c>
      <c r="F13" s="101">
        <v>1200</v>
      </c>
      <c r="G13" s="288">
        <f>VLOOKUP($D$5,evap!$B$4:$P$88,MONTH(D13)+2,FALSE)/4*0.7+7</f>
        <v>30.274999999999999</v>
      </c>
      <c r="H13" s="98">
        <f t="shared" si="0"/>
        <v>0</v>
      </c>
      <c r="I13" s="98">
        <f>VLOOKUP(MONTH(D13),[0]!rainforpaddy,4)/1000*$E$6*1600*7</f>
        <v>0</v>
      </c>
      <c r="J13">
        <f t="shared" si="3"/>
        <v>3</v>
      </c>
      <c r="K13">
        <f t="shared" si="4"/>
        <v>82</v>
      </c>
      <c r="M13" s="91">
        <v>3</v>
      </c>
      <c r="N13" s="158">
        <v>2</v>
      </c>
      <c r="O13" s="158">
        <v>2</v>
      </c>
      <c r="P13" s="158">
        <v>1</v>
      </c>
      <c r="Q13" s="158">
        <v>0</v>
      </c>
      <c r="R13" s="158">
        <v>0</v>
      </c>
      <c r="S13" s="158">
        <v>0</v>
      </c>
      <c r="T13" s="158">
        <v>0</v>
      </c>
      <c r="U13" s="158">
        <v>2</v>
      </c>
      <c r="V13" s="158">
        <v>2</v>
      </c>
      <c r="W13" s="158">
        <v>2</v>
      </c>
      <c r="X13" s="158">
        <v>2</v>
      </c>
      <c r="Y13" s="158">
        <v>2</v>
      </c>
      <c r="Z13" s="158">
        <v>2</v>
      </c>
      <c r="AA13" s="158">
        <v>2</v>
      </c>
      <c r="AB13" s="158">
        <v>2</v>
      </c>
      <c r="AC13" s="158">
        <v>2</v>
      </c>
      <c r="AD13" s="158">
        <v>2</v>
      </c>
      <c r="AE13" s="158">
        <v>2</v>
      </c>
      <c r="AF13" s="158">
        <v>2</v>
      </c>
      <c r="AG13" s="158">
        <v>2</v>
      </c>
      <c r="AH13" s="158">
        <v>2</v>
      </c>
      <c r="AI13" s="158">
        <v>2</v>
      </c>
      <c r="AJ13" s="158">
        <v>2</v>
      </c>
      <c r="AK13" s="158">
        <v>2</v>
      </c>
      <c r="AL13" s="158">
        <v>2</v>
      </c>
      <c r="AM13" s="158">
        <v>2</v>
      </c>
    </row>
    <row r="14" spans="2:39" x14ac:dyDescent="0.15">
      <c r="B14" s="106">
        <f t="shared" si="1"/>
        <v>39774</v>
      </c>
      <c r="C14" s="107">
        <f t="shared" si="2"/>
        <v>39780</v>
      </c>
      <c r="D14" s="99">
        <f t="shared" si="5"/>
        <v>39780</v>
      </c>
      <c r="E14" s="91">
        <v>4</v>
      </c>
      <c r="F14" s="101">
        <v>1200</v>
      </c>
      <c r="G14" s="288">
        <f>VLOOKUP($D$5,evap!$B$4:$P$88,MONTH(D14)+2,FALSE)/4*0.7+7</f>
        <v>30.274999999999999</v>
      </c>
      <c r="H14" s="98">
        <f t="shared" si="0"/>
        <v>0</v>
      </c>
      <c r="I14" s="98">
        <f>VLOOKUP(MONTH(D14),[0]!rainforpaddy,4)/1000*$E$6*1600*7</f>
        <v>0</v>
      </c>
      <c r="J14">
        <f t="shared" si="3"/>
        <v>3</v>
      </c>
      <c r="K14">
        <f t="shared" si="4"/>
        <v>81</v>
      </c>
      <c r="M14" s="91">
        <v>4</v>
      </c>
      <c r="N14" s="158">
        <v>2</v>
      </c>
      <c r="O14" s="158">
        <v>2</v>
      </c>
      <c r="P14" s="158">
        <v>2</v>
      </c>
      <c r="Q14" s="158">
        <v>1</v>
      </c>
      <c r="R14" s="158">
        <v>0</v>
      </c>
      <c r="S14" s="158">
        <v>0</v>
      </c>
      <c r="T14" s="158">
        <v>0</v>
      </c>
      <c r="U14" s="158">
        <v>0</v>
      </c>
      <c r="V14" s="158">
        <v>2</v>
      </c>
      <c r="W14" s="158">
        <v>2</v>
      </c>
      <c r="X14" s="158">
        <v>2</v>
      </c>
      <c r="Y14" s="158">
        <v>2</v>
      </c>
      <c r="Z14" s="158">
        <v>2</v>
      </c>
      <c r="AA14" s="158">
        <v>2</v>
      </c>
      <c r="AB14" s="158">
        <v>2</v>
      </c>
      <c r="AC14" s="158">
        <v>2</v>
      </c>
      <c r="AD14" s="158">
        <v>2</v>
      </c>
      <c r="AE14" s="158">
        <v>2</v>
      </c>
      <c r="AF14" s="158">
        <v>2</v>
      </c>
      <c r="AG14" s="158">
        <v>2</v>
      </c>
      <c r="AH14" s="158">
        <v>2</v>
      </c>
      <c r="AI14" s="158">
        <v>2</v>
      </c>
      <c r="AJ14" s="158">
        <v>2</v>
      </c>
      <c r="AK14" s="158">
        <v>2</v>
      </c>
      <c r="AL14" s="158">
        <v>2</v>
      </c>
      <c r="AM14" s="158">
        <v>2</v>
      </c>
    </row>
    <row r="15" spans="2:39" x14ac:dyDescent="0.15">
      <c r="B15" s="106">
        <f t="shared" si="1"/>
        <v>39781</v>
      </c>
      <c r="C15" s="107">
        <f t="shared" si="2"/>
        <v>39787</v>
      </c>
      <c r="D15" s="99">
        <f t="shared" si="5"/>
        <v>39787</v>
      </c>
      <c r="E15" s="91">
        <v>5</v>
      </c>
      <c r="F15" s="101">
        <v>1200</v>
      </c>
      <c r="G15" s="288">
        <f>VLOOKUP($D$5,evap!$B$4:$P$88,MONTH(D15)+2,FALSE)/4*0.7+7</f>
        <v>32.182500000000005</v>
      </c>
      <c r="H15" s="98">
        <f t="shared" si="0"/>
        <v>0</v>
      </c>
      <c r="I15" s="98">
        <f>VLOOKUP(MONTH(D15),[0]!rainforpaddy,4)/1000*$E$6*1600*7</f>
        <v>0</v>
      </c>
      <c r="J15">
        <f t="shared" si="3"/>
        <v>4</v>
      </c>
      <c r="K15">
        <f t="shared" si="4"/>
        <v>80</v>
      </c>
      <c r="M15" s="91">
        <v>5</v>
      </c>
      <c r="N15" s="158">
        <v>2</v>
      </c>
      <c r="O15" s="158">
        <v>2</v>
      </c>
      <c r="P15" s="158">
        <v>2</v>
      </c>
      <c r="Q15" s="158">
        <v>2</v>
      </c>
      <c r="R15" s="158">
        <v>1</v>
      </c>
      <c r="S15" s="158">
        <v>0</v>
      </c>
      <c r="T15" s="158">
        <v>0</v>
      </c>
      <c r="U15" s="158">
        <v>0</v>
      </c>
      <c r="V15" s="158">
        <v>0</v>
      </c>
      <c r="W15" s="158">
        <v>2</v>
      </c>
      <c r="X15" s="158">
        <v>2</v>
      </c>
      <c r="Y15" s="158">
        <v>2</v>
      </c>
      <c r="Z15" s="158">
        <v>2</v>
      </c>
      <c r="AA15" s="158">
        <v>2</v>
      </c>
      <c r="AB15" s="158">
        <v>2</v>
      </c>
      <c r="AC15" s="158">
        <v>2</v>
      </c>
      <c r="AD15" s="158">
        <v>2</v>
      </c>
      <c r="AE15" s="158">
        <v>2</v>
      </c>
      <c r="AF15" s="158">
        <v>2</v>
      </c>
      <c r="AG15" s="158">
        <v>2</v>
      </c>
      <c r="AH15" s="158">
        <v>2</v>
      </c>
      <c r="AI15" s="158">
        <v>2</v>
      </c>
      <c r="AJ15" s="158">
        <v>2</v>
      </c>
      <c r="AK15" s="158">
        <v>2</v>
      </c>
      <c r="AL15" s="158">
        <v>2</v>
      </c>
      <c r="AM15" s="158">
        <v>2</v>
      </c>
    </row>
    <row r="16" spans="2:39" x14ac:dyDescent="0.15">
      <c r="B16" s="106">
        <f t="shared" si="1"/>
        <v>39788</v>
      </c>
      <c r="C16" s="107">
        <f t="shared" si="2"/>
        <v>39794</v>
      </c>
      <c r="D16" s="99">
        <f t="shared" si="5"/>
        <v>39794</v>
      </c>
      <c r="E16" s="91">
        <v>6</v>
      </c>
      <c r="F16" s="101">
        <v>1200</v>
      </c>
      <c r="G16" s="288">
        <f>VLOOKUP($D$5,evap!$B$4:$P$88,MONTH(D16)+2,FALSE)/4*0.7+7</f>
        <v>32.182500000000005</v>
      </c>
      <c r="H16" s="98">
        <f t="shared" si="0"/>
        <v>0</v>
      </c>
      <c r="I16" s="98">
        <f>VLOOKUP(MONTH(D16),[0]!rainforpaddy,4)/1000*$E$6*1600*7</f>
        <v>0</v>
      </c>
      <c r="J16">
        <f t="shared" si="3"/>
        <v>4</v>
      </c>
      <c r="K16">
        <f t="shared" si="4"/>
        <v>80</v>
      </c>
      <c r="M16" s="91">
        <v>6</v>
      </c>
      <c r="N16" s="158">
        <v>2</v>
      </c>
      <c r="O16" s="158">
        <v>2</v>
      </c>
      <c r="P16" s="158">
        <v>2</v>
      </c>
      <c r="Q16" s="158">
        <v>2</v>
      </c>
      <c r="R16" s="158">
        <v>2</v>
      </c>
      <c r="S16" s="158">
        <v>1</v>
      </c>
      <c r="T16" s="158">
        <v>0</v>
      </c>
      <c r="U16" s="158">
        <v>0</v>
      </c>
      <c r="V16" s="158">
        <v>0</v>
      </c>
      <c r="W16" s="158">
        <v>0</v>
      </c>
      <c r="X16" s="158">
        <v>2</v>
      </c>
      <c r="Y16" s="158">
        <v>2</v>
      </c>
      <c r="Z16" s="158">
        <v>2</v>
      </c>
      <c r="AA16" s="158">
        <v>2</v>
      </c>
      <c r="AB16" s="158">
        <v>2</v>
      </c>
      <c r="AC16" s="158">
        <v>2</v>
      </c>
      <c r="AD16" s="158">
        <v>2</v>
      </c>
      <c r="AE16" s="158">
        <v>2</v>
      </c>
      <c r="AF16" s="158">
        <v>2</v>
      </c>
      <c r="AG16" s="158">
        <v>2</v>
      </c>
      <c r="AH16" s="158">
        <v>2</v>
      </c>
      <c r="AI16" s="158">
        <v>2</v>
      </c>
      <c r="AJ16" s="158">
        <v>2</v>
      </c>
      <c r="AK16" s="158">
        <v>2</v>
      </c>
      <c r="AL16" s="158">
        <v>2</v>
      </c>
      <c r="AM16" s="158">
        <v>2</v>
      </c>
    </row>
    <row r="17" spans="2:39" x14ac:dyDescent="0.15">
      <c r="B17" s="106">
        <f t="shared" si="1"/>
        <v>39795</v>
      </c>
      <c r="C17" s="107">
        <f t="shared" si="2"/>
        <v>39801</v>
      </c>
      <c r="D17" s="99">
        <f t="shared" si="5"/>
        <v>39801</v>
      </c>
      <c r="E17" s="91">
        <v>7</v>
      </c>
      <c r="F17" s="101">
        <v>1200</v>
      </c>
      <c r="G17" s="288">
        <f>VLOOKUP($D$5,evap!$B$4:$P$88,MONTH(D17)+2,FALSE)/4*0.7+7</f>
        <v>32.182500000000005</v>
      </c>
      <c r="H17" s="98">
        <f t="shared" si="0"/>
        <v>0</v>
      </c>
      <c r="I17" s="98">
        <f>VLOOKUP(MONTH(D17),[0]!rainforpaddy,4)/1000*$E$6*1600*7</f>
        <v>0</v>
      </c>
      <c r="J17">
        <f t="shared" si="3"/>
        <v>4</v>
      </c>
      <c r="K17">
        <f t="shared" si="4"/>
        <v>80</v>
      </c>
      <c r="M17" s="91">
        <v>7</v>
      </c>
      <c r="N17" s="158">
        <v>2</v>
      </c>
      <c r="O17" s="158">
        <v>2</v>
      </c>
      <c r="P17" s="158">
        <v>2</v>
      </c>
      <c r="Q17" s="158">
        <v>2</v>
      </c>
      <c r="R17" s="158">
        <v>2</v>
      </c>
      <c r="S17" s="158">
        <v>2</v>
      </c>
      <c r="T17" s="158">
        <v>1</v>
      </c>
      <c r="U17" s="158">
        <v>0</v>
      </c>
      <c r="V17" s="158">
        <v>0</v>
      </c>
      <c r="W17" s="158">
        <v>0</v>
      </c>
      <c r="X17" s="158">
        <v>0</v>
      </c>
      <c r="Y17" s="158">
        <v>2</v>
      </c>
      <c r="Z17" s="158">
        <v>2</v>
      </c>
      <c r="AA17" s="158">
        <v>2</v>
      </c>
      <c r="AB17" s="158">
        <v>2</v>
      </c>
      <c r="AC17" s="158">
        <v>2</v>
      </c>
      <c r="AD17" s="158">
        <v>2</v>
      </c>
      <c r="AE17" s="158">
        <v>2</v>
      </c>
      <c r="AF17" s="158">
        <v>2</v>
      </c>
      <c r="AG17" s="158">
        <v>2</v>
      </c>
      <c r="AH17" s="158">
        <v>2</v>
      </c>
      <c r="AI17" s="158">
        <v>2</v>
      </c>
      <c r="AJ17" s="158">
        <v>2</v>
      </c>
      <c r="AK17" s="158">
        <v>2</v>
      </c>
      <c r="AL17" s="158">
        <v>2</v>
      </c>
      <c r="AM17" s="158">
        <v>2</v>
      </c>
    </row>
    <row r="18" spans="2:39" x14ac:dyDescent="0.15">
      <c r="B18" s="106">
        <f t="shared" si="1"/>
        <v>39802</v>
      </c>
      <c r="C18" s="107">
        <f t="shared" si="2"/>
        <v>39808</v>
      </c>
      <c r="D18" s="99">
        <f t="shared" si="5"/>
        <v>39808</v>
      </c>
      <c r="E18" s="91">
        <v>8</v>
      </c>
      <c r="F18" s="101">
        <v>1200</v>
      </c>
      <c r="G18" s="288">
        <f>VLOOKUP($D$5,evap!$B$4:$P$88,MONTH(D18)+2,FALSE)/4*0.7+7</f>
        <v>32.182500000000005</v>
      </c>
      <c r="H18" s="98">
        <f t="shared" si="0"/>
        <v>0</v>
      </c>
      <c r="I18" s="98">
        <f>VLOOKUP(MONTH(D18),[0]!rainforpaddy,4)/1000*$E$6*1600*7</f>
        <v>0</v>
      </c>
      <c r="J18">
        <f t="shared" si="3"/>
        <v>4</v>
      </c>
      <c r="K18">
        <f t="shared" si="4"/>
        <v>80</v>
      </c>
      <c r="M18" s="91">
        <v>8</v>
      </c>
      <c r="N18" s="158">
        <v>2</v>
      </c>
      <c r="O18" s="158">
        <v>2</v>
      </c>
      <c r="P18" s="158">
        <v>2</v>
      </c>
      <c r="Q18" s="158">
        <v>2</v>
      </c>
      <c r="R18" s="158">
        <v>2</v>
      </c>
      <c r="S18" s="158">
        <v>2</v>
      </c>
      <c r="T18" s="158">
        <v>2</v>
      </c>
      <c r="U18" s="158">
        <v>1</v>
      </c>
      <c r="V18" s="158">
        <v>0</v>
      </c>
      <c r="W18" s="158">
        <v>0</v>
      </c>
      <c r="X18" s="158">
        <v>0</v>
      </c>
      <c r="Y18" s="158">
        <v>0</v>
      </c>
      <c r="Z18" s="158">
        <v>2</v>
      </c>
      <c r="AA18" s="158">
        <v>2</v>
      </c>
      <c r="AB18" s="158">
        <v>2</v>
      </c>
      <c r="AC18" s="158">
        <v>2</v>
      </c>
      <c r="AD18" s="158">
        <v>2</v>
      </c>
      <c r="AE18" s="158">
        <v>2</v>
      </c>
      <c r="AF18" s="158">
        <v>2</v>
      </c>
      <c r="AG18" s="158">
        <v>2</v>
      </c>
      <c r="AH18" s="158">
        <v>2</v>
      </c>
      <c r="AI18" s="158">
        <v>2</v>
      </c>
      <c r="AJ18" s="158">
        <v>2</v>
      </c>
      <c r="AK18" s="158">
        <v>2</v>
      </c>
      <c r="AL18" s="158">
        <v>2</v>
      </c>
      <c r="AM18" s="158">
        <v>2</v>
      </c>
    </row>
    <row r="19" spans="2:39" x14ac:dyDescent="0.15">
      <c r="B19" s="106">
        <f t="shared" si="1"/>
        <v>39809</v>
      </c>
      <c r="C19" s="107">
        <f t="shared" si="2"/>
        <v>39815</v>
      </c>
      <c r="D19" s="99">
        <f t="shared" si="5"/>
        <v>39815</v>
      </c>
      <c r="E19" s="91">
        <v>9</v>
      </c>
      <c r="F19" s="101">
        <v>1200</v>
      </c>
      <c r="G19" s="288">
        <f>VLOOKUP($D$5,evap!$B$4:$P$88,MONTH(D19)+2,FALSE)/4*0.7+7</f>
        <v>31.395</v>
      </c>
      <c r="H19" s="98">
        <f t="shared" si="0"/>
        <v>0</v>
      </c>
      <c r="I19" s="98">
        <f>VLOOKUP(MONTH(D19),[0]!rainforpaddy,4)/1000*$E$6*1600*7</f>
        <v>0</v>
      </c>
      <c r="J19">
        <f t="shared" si="3"/>
        <v>4</v>
      </c>
      <c r="K19">
        <f t="shared" si="4"/>
        <v>80</v>
      </c>
      <c r="M19" s="91">
        <v>9</v>
      </c>
      <c r="N19" s="158">
        <v>2</v>
      </c>
      <c r="O19" s="158">
        <v>2</v>
      </c>
      <c r="P19" s="158">
        <v>2</v>
      </c>
      <c r="Q19" s="158">
        <v>2</v>
      </c>
      <c r="R19" s="158">
        <v>2</v>
      </c>
      <c r="S19" s="158">
        <v>2</v>
      </c>
      <c r="T19" s="158">
        <v>2</v>
      </c>
      <c r="U19" s="158">
        <v>2</v>
      </c>
      <c r="V19" s="158">
        <v>1</v>
      </c>
      <c r="W19" s="158">
        <v>0</v>
      </c>
      <c r="X19" s="158">
        <v>0</v>
      </c>
      <c r="Y19" s="158">
        <v>0</v>
      </c>
      <c r="Z19" s="158">
        <v>0</v>
      </c>
      <c r="AA19" s="158">
        <v>2</v>
      </c>
      <c r="AB19" s="158">
        <v>2</v>
      </c>
      <c r="AC19" s="158">
        <v>2</v>
      </c>
      <c r="AD19" s="158">
        <v>2</v>
      </c>
      <c r="AE19" s="158">
        <v>2</v>
      </c>
      <c r="AF19" s="158">
        <v>2</v>
      </c>
      <c r="AG19" s="158">
        <v>2</v>
      </c>
      <c r="AH19" s="158">
        <v>2</v>
      </c>
      <c r="AI19" s="158">
        <v>2</v>
      </c>
      <c r="AJ19" s="158">
        <v>2</v>
      </c>
      <c r="AK19" s="158">
        <v>2</v>
      </c>
      <c r="AL19" s="158">
        <v>2</v>
      </c>
      <c r="AM19" s="158">
        <v>2</v>
      </c>
    </row>
    <row r="20" spans="2:39" x14ac:dyDescent="0.15">
      <c r="B20" s="106">
        <f t="shared" si="1"/>
        <v>39816</v>
      </c>
      <c r="C20" s="107">
        <f t="shared" si="2"/>
        <v>39822</v>
      </c>
      <c r="D20" s="99">
        <f t="shared" si="5"/>
        <v>39822</v>
      </c>
      <c r="E20" s="91">
        <v>10</v>
      </c>
      <c r="F20" s="101">
        <v>1200</v>
      </c>
      <c r="G20" s="288">
        <f>VLOOKUP($D$5,evap!$B$4:$P$88,MONTH(D20)+2,FALSE)/4*0.7+7</f>
        <v>31.395</v>
      </c>
      <c r="H20" s="98">
        <f t="shared" si="0"/>
        <v>0</v>
      </c>
      <c r="I20" s="98">
        <f>VLOOKUP(MONTH(D20),[0]!rainforpaddy,4)/1000*$E$6*1600*7</f>
        <v>0</v>
      </c>
      <c r="J20">
        <f t="shared" si="3"/>
        <v>4</v>
      </c>
      <c r="K20">
        <f t="shared" si="4"/>
        <v>80</v>
      </c>
      <c r="M20" s="91">
        <v>10</v>
      </c>
      <c r="N20" s="158">
        <v>2</v>
      </c>
      <c r="O20" s="158">
        <v>2</v>
      </c>
      <c r="P20" s="158">
        <v>2</v>
      </c>
      <c r="Q20" s="158">
        <v>2</v>
      </c>
      <c r="R20" s="158">
        <v>2</v>
      </c>
      <c r="S20" s="158">
        <v>2</v>
      </c>
      <c r="T20" s="158">
        <v>2</v>
      </c>
      <c r="U20" s="158">
        <v>2</v>
      </c>
      <c r="V20" s="158">
        <v>2</v>
      </c>
      <c r="W20" s="158">
        <v>1</v>
      </c>
      <c r="X20" s="158">
        <v>0</v>
      </c>
      <c r="Y20" s="158">
        <v>0</v>
      </c>
      <c r="Z20" s="158">
        <v>0</v>
      </c>
      <c r="AA20" s="158">
        <v>0</v>
      </c>
      <c r="AB20" s="158">
        <v>2</v>
      </c>
      <c r="AC20" s="158">
        <v>2</v>
      </c>
      <c r="AD20" s="158">
        <v>2</v>
      </c>
      <c r="AE20" s="158">
        <v>2</v>
      </c>
      <c r="AF20" s="158">
        <v>2</v>
      </c>
      <c r="AG20" s="158">
        <v>2</v>
      </c>
      <c r="AH20" s="158">
        <v>2</v>
      </c>
      <c r="AI20" s="158">
        <v>2</v>
      </c>
      <c r="AJ20" s="158">
        <v>2</v>
      </c>
      <c r="AK20" s="158">
        <v>2</v>
      </c>
      <c r="AL20" s="158">
        <v>2</v>
      </c>
      <c r="AM20" s="158">
        <v>2</v>
      </c>
    </row>
    <row r="21" spans="2:39" x14ac:dyDescent="0.15">
      <c r="B21" s="106">
        <f t="shared" si="1"/>
        <v>39823</v>
      </c>
      <c r="C21" s="107">
        <f t="shared" si="2"/>
        <v>39829</v>
      </c>
      <c r="D21" s="99">
        <f t="shared" si="5"/>
        <v>39829</v>
      </c>
      <c r="E21" s="91">
        <v>11</v>
      </c>
      <c r="F21" s="101">
        <v>1200</v>
      </c>
      <c r="G21" s="288">
        <f>VLOOKUP($D$5,evap!$B$4:$P$88,MONTH(D21)+2,FALSE)/4*0.7+7</f>
        <v>31.395</v>
      </c>
      <c r="H21" s="98">
        <f t="shared" si="0"/>
        <v>0</v>
      </c>
      <c r="I21" s="98">
        <f>VLOOKUP(MONTH(D21),[0]!rainforpaddy,4)/1000*$E$6*1600*7</f>
        <v>0</v>
      </c>
      <c r="J21">
        <f t="shared" si="3"/>
        <v>4</v>
      </c>
      <c r="K21">
        <f t="shared" si="4"/>
        <v>80</v>
      </c>
      <c r="M21" s="91">
        <v>11</v>
      </c>
      <c r="N21" s="158">
        <v>2</v>
      </c>
      <c r="O21" s="158">
        <v>2</v>
      </c>
      <c r="P21" s="158">
        <v>2</v>
      </c>
      <c r="Q21" s="158">
        <v>2</v>
      </c>
      <c r="R21" s="158">
        <v>2</v>
      </c>
      <c r="S21" s="158">
        <v>2</v>
      </c>
      <c r="T21" s="158">
        <v>2</v>
      </c>
      <c r="U21" s="158">
        <v>2</v>
      </c>
      <c r="V21" s="158">
        <v>2</v>
      </c>
      <c r="W21" s="158">
        <v>2</v>
      </c>
      <c r="X21" s="158">
        <v>1</v>
      </c>
      <c r="Y21" s="158">
        <v>0</v>
      </c>
      <c r="Z21" s="158">
        <v>0</v>
      </c>
      <c r="AA21" s="158">
        <v>0</v>
      </c>
      <c r="AB21" s="158">
        <v>0</v>
      </c>
      <c r="AC21" s="158">
        <v>2</v>
      </c>
      <c r="AD21" s="158">
        <v>2</v>
      </c>
      <c r="AE21" s="158">
        <v>2</v>
      </c>
      <c r="AF21" s="158">
        <v>2</v>
      </c>
      <c r="AG21" s="158">
        <v>2</v>
      </c>
      <c r="AH21" s="158">
        <v>2</v>
      </c>
      <c r="AI21" s="158">
        <v>2</v>
      </c>
      <c r="AJ21" s="158">
        <v>2</v>
      </c>
      <c r="AK21" s="158">
        <v>2</v>
      </c>
      <c r="AL21" s="158">
        <v>2</v>
      </c>
      <c r="AM21" s="158">
        <v>2</v>
      </c>
    </row>
    <row r="22" spans="2:39" x14ac:dyDescent="0.15">
      <c r="B22" s="106">
        <f t="shared" si="1"/>
        <v>39830</v>
      </c>
      <c r="C22" s="107">
        <f t="shared" si="2"/>
        <v>39836</v>
      </c>
      <c r="D22" s="99">
        <f t="shared" si="5"/>
        <v>39836</v>
      </c>
      <c r="E22" s="91">
        <v>12</v>
      </c>
      <c r="F22" s="101">
        <v>1200</v>
      </c>
      <c r="G22" s="288">
        <f>VLOOKUP($D$5,evap!$B$4:$P$88,MONTH(D22)+2,FALSE)/4*0.7+7</f>
        <v>31.395</v>
      </c>
      <c r="H22" s="98">
        <f t="shared" si="0"/>
        <v>0</v>
      </c>
      <c r="I22" s="98">
        <f>VLOOKUP(MONTH(D22),[0]!rainforpaddy,4)/1000*$E$6*1600*7</f>
        <v>0</v>
      </c>
      <c r="J22">
        <f t="shared" si="3"/>
        <v>4</v>
      </c>
      <c r="K22">
        <f t="shared" si="4"/>
        <v>80</v>
      </c>
      <c r="M22" s="91">
        <v>12</v>
      </c>
      <c r="N22" s="158">
        <v>2</v>
      </c>
      <c r="O22" s="158">
        <v>2</v>
      </c>
      <c r="P22" s="158">
        <v>2</v>
      </c>
      <c r="Q22" s="158">
        <v>2</v>
      </c>
      <c r="R22" s="158">
        <v>2</v>
      </c>
      <c r="S22" s="158">
        <v>2</v>
      </c>
      <c r="T22" s="158">
        <v>2</v>
      </c>
      <c r="U22" s="158">
        <v>2</v>
      </c>
      <c r="V22" s="158">
        <v>2</v>
      </c>
      <c r="W22" s="158">
        <v>2</v>
      </c>
      <c r="X22" s="158">
        <v>2</v>
      </c>
      <c r="Y22" s="158">
        <v>1</v>
      </c>
      <c r="Z22" s="158">
        <v>0</v>
      </c>
      <c r="AA22" s="158">
        <v>0</v>
      </c>
      <c r="AB22" s="158">
        <v>0</v>
      </c>
      <c r="AC22" s="158">
        <v>0</v>
      </c>
      <c r="AD22" s="158">
        <v>2</v>
      </c>
      <c r="AE22" s="158">
        <v>2</v>
      </c>
      <c r="AF22" s="158">
        <v>2</v>
      </c>
      <c r="AG22" s="158">
        <v>2</v>
      </c>
      <c r="AH22" s="158">
        <v>2</v>
      </c>
      <c r="AI22" s="158">
        <v>2</v>
      </c>
      <c r="AJ22" s="158">
        <v>2</v>
      </c>
      <c r="AK22" s="158">
        <v>2</v>
      </c>
      <c r="AL22" s="158">
        <v>2</v>
      </c>
      <c r="AM22" s="158">
        <v>2</v>
      </c>
    </row>
    <row r="23" spans="2:39" x14ac:dyDescent="0.15">
      <c r="B23" s="106">
        <f t="shared" si="1"/>
        <v>39837</v>
      </c>
      <c r="C23" s="107">
        <f t="shared" si="2"/>
        <v>39843</v>
      </c>
      <c r="D23" s="99">
        <f t="shared" si="5"/>
        <v>39843</v>
      </c>
      <c r="E23" s="91">
        <v>13</v>
      </c>
      <c r="F23" s="101">
        <v>1200</v>
      </c>
      <c r="G23" s="288">
        <f>VLOOKUP($D$5,evap!$B$4:$P$88,MONTH(D23)+2,FALSE)/4*0.7+7</f>
        <v>31.395</v>
      </c>
      <c r="H23" s="98">
        <f t="shared" si="0"/>
        <v>0</v>
      </c>
      <c r="I23" s="98">
        <f>VLOOKUP(MONTH(D23),[0]!rainforpaddy,4)/1000*$E$6*1600*7</f>
        <v>0</v>
      </c>
      <c r="J23">
        <f t="shared" si="3"/>
        <v>4</v>
      </c>
      <c r="K23">
        <f t="shared" si="4"/>
        <v>80</v>
      </c>
      <c r="M23" s="91">
        <v>13</v>
      </c>
      <c r="N23" s="158">
        <v>2</v>
      </c>
      <c r="O23" s="158">
        <v>2</v>
      </c>
      <c r="P23" s="158">
        <v>2</v>
      </c>
      <c r="Q23" s="158">
        <v>2</v>
      </c>
      <c r="R23" s="158">
        <v>2</v>
      </c>
      <c r="S23" s="158">
        <v>2</v>
      </c>
      <c r="T23" s="158">
        <v>2</v>
      </c>
      <c r="U23" s="158">
        <v>2</v>
      </c>
      <c r="V23" s="158">
        <v>2</v>
      </c>
      <c r="W23" s="158">
        <v>2</v>
      </c>
      <c r="X23" s="158">
        <v>2</v>
      </c>
      <c r="Y23" s="158">
        <v>2</v>
      </c>
      <c r="Z23" s="158">
        <v>1</v>
      </c>
      <c r="AA23" s="158">
        <v>0</v>
      </c>
      <c r="AB23" s="158">
        <v>0</v>
      </c>
      <c r="AC23" s="158">
        <v>0</v>
      </c>
      <c r="AD23" s="158">
        <v>0</v>
      </c>
      <c r="AE23" s="158">
        <v>2</v>
      </c>
      <c r="AF23" s="158">
        <v>2</v>
      </c>
      <c r="AG23" s="158">
        <v>2</v>
      </c>
      <c r="AH23" s="158">
        <v>2</v>
      </c>
      <c r="AI23" s="158">
        <v>2</v>
      </c>
      <c r="AJ23" s="158">
        <v>2</v>
      </c>
      <c r="AK23" s="158">
        <v>2</v>
      </c>
      <c r="AL23" s="158">
        <v>2</v>
      </c>
      <c r="AM23" s="158">
        <v>2</v>
      </c>
    </row>
    <row r="24" spans="2:39" x14ac:dyDescent="0.15">
      <c r="B24" s="106">
        <f t="shared" si="1"/>
        <v>39844</v>
      </c>
      <c r="C24" s="107">
        <f t="shared" si="2"/>
        <v>39850</v>
      </c>
      <c r="D24" s="99">
        <f t="shared" si="5"/>
        <v>39850</v>
      </c>
      <c r="E24" s="91">
        <v>14</v>
      </c>
      <c r="F24" s="101">
        <v>1200</v>
      </c>
      <c r="G24" s="288">
        <f>VLOOKUP($D$5,evap!$B$4:$P$88,MONTH(D24)+2,FALSE)/4*0.7+7</f>
        <v>32.8825</v>
      </c>
      <c r="H24" s="98">
        <f t="shared" si="0"/>
        <v>0</v>
      </c>
      <c r="I24" s="98">
        <f>VLOOKUP(MONTH(D24),[0]!rainforpaddy,4)/1000*$E$6*1600*7</f>
        <v>0</v>
      </c>
      <c r="J24">
        <f t="shared" si="3"/>
        <v>4</v>
      </c>
      <c r="K24">
        <f t="shared" si="4"/>
        <v>80</v>
      </c>
      <c r="M24" s="91">
        <v>14</v>
      </c>
      <c r="N24" s="158">
        <v>2</v>
      </c>
      <c r="O24" s="158">
        <v>2</v>
      </c>
      <c r="P24" s="158">
        <v>2</v>
      </c>
      <c r="Q24" s="158">
        <v>2</v>
      </c>
      <c r="R24" s="158">
        <v>2</v>
      </c>
      <c r="S24" s="158">
        <v>2</v>
      </c>
      <c r="T24" s="158">
        <v>2</v>
      </c>
      <c r="U24" s="158">
        <v>2</v>
      </c>
      <c r="V24" s="158">
        <v>2</v>
      </c>
      <c r="W24" s="158">
        <v>2</v>
      </c>
      <c r="X24" s="158">
        <v>2</v>
      </c>
      <c r="Y24" s="158">
        <v>2</v>
      </c>
      <c r="Z24" s="158">
        <v>2</v>
      </c>
      <c r="AA24" s="158">
        <v>1</v>
      </c>
      <c r="AB24" s="158">
        <v>0</v>
      </c>
      <c r="AC24" s="158">
        <v>0</v>
      </c>
      <c r="AD24" s="158">
        <v>0</v>
      </c>
      <c r="AE24" s="158">
        <v>0</v>
      </c>
      <c r="AF24" s="158">
        <v>2</v>
      </c>
      <c r="AG24" s="158">
        <v>2</v>
      </c>
      <c r="AH24" s="158">
        <v>2</v>
      </c>
      <c r="AI24" s="158">
        <v>2</v>
      </c>
      <c r="AJ24" s="158">
        <v>2</v>
      </c>
      <c r="AK24" s="158">
        <v>2</v>
      </c>
      <c r="AL24" s="158">
        <v>2</v>
      </c>
      <c r="AM24" s="158">
        <v>2</v>
      </c>
    </row>
    <row r="25" spans="2:39" x14ac:dyDescent="0.15">
      <c r="B25" s="106">
        <f t="shared" si="1"/>
        <v>39851</v>
      </c>
      <c r="C25" s="107">
        <f t="shared" si="2"/>
        <v>39857</v>
      </c>
      <c r="D25" s="99">
        <f t="shared" si="5"/>
        <v>39857</v>
      </c>
      <c r="E25" s="91">
        <v>15</v>
      </c>
      <c r="F25" s="101">
        <v>1200</v>
      </c>
      <c r="G25" s="288">
        <f>VLOOKUP($D$5,evap!$B$4:$P$88,MONTH(D25)+2,FALSE)/4*0.7+7</f>
        <v>32.8825</v>
      </c>
      <c r="H25" s="98">
        <f t="shared" si="0"/>
        <v>0</v>
      </c>
      <c r="I25" s="98">
        <f>VLOOKUP(MONTH(D25),[0]!rainforpaddy,4)/1000*$E$6*1600*7</f>
        <v>0</v>
      </c>
      <c r="J25">
        <f t="shared" si="3"/>
        <v>4</v>
      </c>
      <c r="K25">
        <f t="shared" si="4"/>
        <v>80</v>
      </c>
      <c r="M25" s="91">
        <v>15</v>
      </c>
      <c r="N25" s="158">
        <v>2</v>
      </c>
      <c r="O25" s="158">
        <v>2</v>
      </c>
      <c r="P25" s="158">
        <v>2</v>
      </c>
      <c r="Q25" s="158">
        <v>2</v>
      </c>
      <c r="R25" s="158">
        <v>2</v>
      </c>
      <c r="S25" s="158">
        <v>2</v>
      </c>
      <c r="T25" s="158">
        <v>2</v>
      </c>
      <c r="U25" s="158">
        <v>2</v>
      </c>
      <c r="V25" s="158">
        <v>2</v>
      </c>
      <c r="W25" s="158">
        <v>2</v>
      </c>
      <c r="X25" s="158">
        <v>2</v>
      </c>
      <c r="Y25" s="158">
        <v>2</v>
      </c>
      <c r="Z25" s="158">
        <v>2</v>
      </c>
      <c r="AA25" s="158">
        <v>2</v>
      </c>
      <c r="AB25" s="158">
        <v>1</v>
      </c>
      <c r="AC25" s="158">
        <v>0</v>
      </c>
      <c r="AD25" s="158">
        <v>0</v>
      </c>
      <c r="AE25" s="158">
        <v>0</v>
      </c>
      <c r="AF25" s="158">
        <v>0</v>
      </c>
      <c r="AG25" s="158">
        <v>2</v>
      </c>
      <c r="AH25" s="158">
        <v>2</v>
      </c>
      <c r="AI25" s="158">
        <v>2</v>
      </c>
      <c r="AJ25" s="158">
        <v>2</v>
      </c>
      <c r="AK25" s="158">
        <v>2</v>
      </c>
      <c r="AL25" s="158">
        <v>2</v>
      </c>
      <c r="AM25" s="158">
        <v>2</v>
      </c>
    </row>
    <row r="26" spans="2:39" x14ac:dyDescent="0.15">
      <c r="B26" s="106">
        <f t="shared" si="1"/>
        <v>39858</v>
      </c>
      <c r="C26" s="107">
        <f t="shared" si="2"/>
        <v>39864</v>
      </c>
      <c r="D26" s="99">
        <f t="shared" si="5"/>
        <v>39864</v>
      </c>
      <c r="E26" s="91">
        <v>16</v>
      </c>
      <c r="F26" s="101">
        <v>1200</v>
      </c>
      <c r="G26" s="288">
        <f>VLOOKUP($D$5,evap!$B$4:$P$88,MONTH(D26)+2,FALSE)/4*0.7+7</f>
        <v>32.8825</v>
      </c>
      <c r="H26" s="98">
        <f t="shared" si="0"/>
        <v>0</v>
      </c>
      <c r="I26" s="98">
        <f>VLOOKUP(MONTH(D26),[0]!rainforpaddy,4)/1000*$E$6*1600*7</f>
        <v>0</v>
      </c>
      <c r="J26">
        <f t="shared" si="3"/>
        <v>4</v>
      </c>
      <c r="K26">
        <f t="shared" si="4"/>
        <v>80</v>
      </c>
      <c r="M26" s="91">
        <v>16</v>
      </c>
      <c r="N26" s="158">
        <v>2</v>
      </c>
      <c r="O26" s="158">
        <v>2</v>
      </c>
      <c r="P26" s="158">
        <v>2</v>
      </c>
      <c r="Q26" s="158">
        <v>2</v>
      </c>
      <c r="R26" s="158">
        <v>2</v>
      </c>
      <c r="S26" s="158">
        <v>2</v>
      </c>
      <c r="T26" s="158">
        <v>2</v>
      </c>
      <c r="U26" s="158">
        <v>2</v>
      </c>
      <c r="V26" s="158">
        <v>2</v>
      </c>
      <c r="W26" s="158">
        <v>2</v>
      </c>
      <c r="X26" s="158">
        <v>2</v>
      </c>
      <c r="Y26" s="158">
        <v>2</v>
      </c>
      <c r="Z26" s="158">
        <v>2</v>
      </c>
      <c r="AA26" s="158">
        <v>2</v>
      </c>
      <c r="AB26" s="158">
        <v>2</v>
      </c>
      <c r="AC26" s="158">
        <v>1</v>
      </c>
      <c r="AD26" s="158">
        <v>0</v>
      </c>
      <c r="AE26" s="158">
        <v>0</v>
      </c>
      <c r="AF26" s="158">
        <v>0</v>
      </c>
      <c r="AG26" s="158">
        <v>0</v>
      </c>
      <c r="AH26" s="158">
        <v>2</v>
      </c>
      <c r="AI26" s="158">
        <v>2</v>
      </c>
      <c r="AJ26" s="158">
        <v>2</v>
      </c>
      <c r="AK26" s="158">
        <v>2</v>
      </c>
      <c r="AL26" s="158">
        <v>2</v>
      </c>
      <c r="AM26" s="158">
        <v>2</v>
      </c>
    </row>
    <row r="27" spans="2:39" x14ac:dyDescent="0.15">
      <c r="B27" s="106">
        <f t="shared" si="1"/>
        <v>39865</v>
      </c>
      <c r="C27" s="107">
        <f t="shared" si="2"/>
        <v>39871</v>
      </c>
      <c r="D27" s="99">
        <f t="shared" si="5"/>
        <v>39871</v>
      </c>
      <c r="E27" s="91">
        <v>17</v>
      </c>
      <c r="F27" s="101">
        <v>1200</v>
      </c>
      <c r="G27" s="288">
        <f>VLOOKUP($D$5,evap!$B$4:$P$88,MONTH(D27)+2,FALSE)/4*0.7+7</f>
        <v>32.8825</v>
      </c>
      <c r="H27" s="98">
        <f t="shared" si="0"/>
        <v>0</v>
      </c>
      <c r="I27" s="98">
        <f>VLOOKUP(MONTH(D27),[0]!rainforpaddy,4)/1000*$E$6*1600*7</f>
        <v>0</v>
      </c>
      <c r="J27">
        <f t="shared" si="3"/>
        <v>4</v>
      </c>
      <c r="K27">
        <f t="shared" si="4"/>
        <v>80</v>
      </c>
      <c r="M27" s="91">
        <v>17</v>
      </c>
      <c r="N27" s="158">
        <v>2</v>
      </c>
      <c r="O27" s="158">
        <v>2</v>
      </c>
      <c r="P27" s="158">
        <v>2</v>
      </c>
      <c r="Q27" s="158">
        <v>2</v>
      </c>
      <c r="R27" s="158">
        <v>2</v>
      </c>
      <c r="S27" s="158">
        <v>2</v>
      </c>
      <c r="T27" s="158">
        <v>2</v>
      </c>
      <c r="U27" s="158">
        <v>2</v>
      </c>
      <c r="V27" s="158">
        <v>2</v>
      </c>
      <c r="W27" s="158">
        <v>2</v>
      </c>
      <c r="X27" s="158">
        <v>2</v>
      </c>
      <c r="Y27" s="158">
        <v>2</v>
      </c>
      <c r="Z27" s="158">
        <v>2</v>
      </c>
      <c r="AA27" s="158">
        <v>2</v>
      </c>
      <c r="AB27" s="158">
        <v>2</v>
      </c>
      <c r="AC27" s="158">
        <v>2</v>
      </c>
      <c r="AD27" s="158">
        <v>1</v>
      </c>
      <c r="AE27" s="158">
        <v>0</v>
      </c>
      <c r="AF27" s="158">
        <v>0</v>
      </c>
      <c r="AG27" s="158">
        <v>0</v>
      </c>
      <c r="AH27" s="158">
        <v>0</v>
      </c>
      <c r="AI27" s="158">
        <v>2</v>
      </c>
      <c r="AJ27" s="158">
        <v>2</v>
      </c>
      <c r="AK27" s="158">
        <v>2</v>
      </c>
      <c r="AL27" s="158">
        <v>2</v>
      </c>
      <c r="AM27" s="158">
        <v>2</v>
      </c>
    </row>
    <row r="28" spans="2:39" x14ac:dyDescent="0.15">
      <c r="B28" s="106">
        <f t="shared" si="1"/>
        <v>39872</v>
      </c>
      <c r="C28" s="107">
        <f t="shared" si="2"/>
        <v>39878</v>
      </c>
      <c r="D28" s="99">
        <f t="shared" si="5"/>
        <v>39878</v>
      </c>
      <c r="E28" s="91">
        <v>18</v>
      </c>
      <c r="F28" s="101">
        <v>1200</v>
      </c>
      <c r="G28" s="288">
        <f>VLOOKUP($D$5,evap!$B$4:$P$88,MONTH(D28)+2,FALSE)/4*0.7+7</f>
        <v>36.942499999999995</v>
      </c>
      <c r="H28" s="98">
        <f t="shared" si="0"/>
        <v>0</v>
      </c>
      <c r="I28" s="98">
        <f>VLOOKUP(MONTH(D28),[0]!rainforpaddy,4)/1000*$E$6*1600*7</f>
        <v>0</v>
      </c>
      <c r="J28">
        <f t="shared" si="3"/>
        <v>4</v>
      </c>
      <c r="K28">
        <f t="shared" si="4"/>
        <v>80</v>
      </c>
      <c r="M28" s="91">
        <v>18</v>
      </c>
      <c r="N28" s="158">
        <v>2</v>
      </c>
      <c r="O28" s="158">
        <v>2</v>
      </c>
      <c r="P28" s="158">
        <v>2</v>
      </c>
      <c r="Q28" s="158">
        <v>2</v>
      </c>
      <c r="R28" s="158">
        <v>2</v>
      </c>
      <c r="S28" s="158">
        <v>2</v>
      </c>
      <c r="T28" s="158">
        <v>2</v>
      </c>
      <c r="U28" s="158">
        <v>2</v>
      </c>
      <c r="V28" s="158">
        <v>2</v>
      </c>
      <c r="W28" s="158">
        <v>2</v>
      </c>
      <c r="X28" s="158">
        <v>2</v>
      </c>
      <c r="Y28" s="158">
        <v>2</v>
      </c>
      <c r="Z28" s="158">
        <v>2</v>
      </c>
      <c r="AA28" s="158">
        <v>2</v>
      </c>
      <c r="AB28" s="158">
        <v>2</v>
      </c>
      <c r="AC28" s="158">
        <v>2</v>
      </c>
      <c r="AD28" s="158">
        <v>2</v>
      </c>
      <c r="AE28" s="158">
        <v>1</v>
      </c>
      <c r="AF28" s="158">
        <v>0</v>
      </c>
      <c r="AG28" s="158">
        <v>0</v>
      </c>
      <c r="AH28" s="158">
        <v>0</v>
      </c>
      <c r="AI28" s="158">
        <v>0</v>
      </c>
      <c r="AJ28" s="158">
        <v>2</v>
      </c>
      <c r="AK28" s="158">
        <v>2</v>
      </c>
      <c r="AL28" s="158">
        <v>2</v>
      </c>
      <c r="AM28" s="158">
        <v>2</v>
      </c>
    </row>
    <row r="29" spans="2:39" x14ac:dyDescent="0.15">
      <c r="B29" s="106">
        <f t="shared" si="1"/>
        <v>39879</v>
      </c>
      <c r="C29" s="107">
        <f t="shared" si="2"/>
        <v>39885</v>
      </c>
      <c r="D29" s="99">
        <f t="shared" si="5"/>
        <v>39885</v>
      </c>
      <c r="E29" s="91">
        <v>19</v>
      </c>
      <c r="F29" s="101">
        <v>1200</v>
      </c>
      <c r="G29" s="288">
        <f>VLOOKUP($D$5,evap!$B$4:$P$88,MONTH(D29)+2,FALSE)/4*0.7+7</f>
        <v>36.942499999999995</v>
      </c>
      <c r="H29" s="98">
        <f t="shared" si="0"/>
        <v>0</v>
      </c>
      <c r="I29" s="98">
        <f>VLOOKUP(MONTH(D29),[0]!rainforpaddy,4)/1000*$E$6*1600*7</f>
        <v>0</v>
      </c>
      <c r="J29">
        <f t="shared" si="3"/>
        <v>4</v>
      </c>
      <c r="K29">
        <f t="shared" si="4"/>
        <v>80</v>
      </c>
      <c r="M29" s="91">
        <v>19</v>
      </c>
      <c r="N29" s="158">
        <v>2</v>
      </c>
      <c r="O29" s="158">
        <v>2</v>
      </c>
      <c r="P29" s="158">
        <v>2</v>
      </c>
      <c r="Q29" s="158">
        <v>2</v>
      </c>
      <c r="R29" s="158">
        <v>2</v>
      </c>
      <c r="S29" s="158">
        <v>2</v>
      </c>
      <c r="T29" s="158">
        <v>2</v>
      </c>
      <c r="U29" s="158">
        <v>2</v>
      </c>
      <c r="V29" s="158">
        <v>2</v>
      </c>
      <c r="W29" s="158">
        <v>2</v>
      </c>
      <c r="X29" s="158">
        <v>2</v>
      </c>
      <c r="Y29" s="158">
        <v>2</v>
      </c>
      <c r="Z29" s="158">
        <v>2</v>
      </c>
      <c r="AA29" s="158">
        <v>2</v>
      </c>
      <c r="AB29" s="158">
        <v>2</v>
      </c>
      <c r="AC29" s="158">
        <v>2</v>
      </c>
      <c r="AD29" s="158">
        <v>2</v>
      </c>
      <c r="AE29" s="158">
        <v>2</v>
      </c>
      <c r="AF29" s="158">
        <v>1</v>
      </c>
      <c r="AG29" s="158">
        <v>0</v>
      </c>
      <c r="AH29" s="158">
        <v>0</v>
      </c>
      <c r="AI29" s="158">
        <v>0</v>
      </c>
      <c r="AJ29" s="158">
        <v>0</v>
      </c>
      <c r="AK29" s="158">
        <v>2</v>
      </c>
      <c r="AL29" s="158">
        <v>2</v>
      </c>
      <c r="AM29" s="158">
        <v>2</v>
      </c>
    </row>
    <row r="30" spans="2:39" x14ac:dyDescent="0.15">
      <c r="B30" s="106">
        <f t="shared" si="1"/>
        <v>39886</v>
      </c>
      <c r="C30" s="107">
        <f t="shared" si="2"/>
        <v>39892</v>
      </c>
      <c r="D30" s="99">
        <f t="shared" si="5"/>
        <v>39892</v>
      </c>
      <c r="E30" s="91">
        <v>20</v>
      </c>
      <c r="F30" s="101">
        <v>1200</v>
      </c>
      <c r="G30" s="288">
        <f>VLOOKUP($D$5,evap!$B$4:$P$88,MONTH(D30)+2,FALSE)/4*0.7+7</f>
        <v>36.942499999999995</v>
      </c>
      <c r="H30" s="98">
        <f t="shared" si="0"/>
        <v>0</v>
      </c>
      <c r="I30" s="98">
        <f>VLOOKUP(MONTH(D30),[0]!rainforpaddy,4)/1000*$E$6*1600*7</f>
        <v>0</v>
      </c>
      <c r="J30">
        <f t="shared" si="3"/>
        <v>4</v>
      </c>
      <c r="K30">
        <f t="shared" si="4"/>
        <v>80</v>
      </c>
      <c r="M30" s="91">
        <v>20</v>
      </c>
      <c r="N30" s="158">
        <v>2</v>
      </c>
      <c r="O30" s="158">
        <v>2</v>
      </c>
      <c r="P30" s="158">
        <v>2</v>
      </c>
      <c r="Q30" s="158">
        <v>2</v>
      </c>
      <c r="R30" s="158">
        <v>2</v>
      </c>
      <c r="S30" s="158">
        <v>2</v>
      </c>
      <c r="T30" s="158">
        <v>2</v>
      </c>
      <c r="U30" s="158">
        <v>2</v>
      </c>
      <c r="V30" s="158">
        <v>2</v>
      </c>
      <c r="W30" s="158">
        <v>2</v>
      </c>
      <c r="X30" s="158">
        <v>2</v>
      </c>
      <c r="Y30" s="158">
        <v>2</v>
      </c>
      <c r="Z30" s="158">
        <v>2</v>
      </c>
      <c r="AA30" s="158">
        <v>2</v>
      </c>
      <c r="AB30" s="158">
        <v>2</v>
      </c>
      <c r="AC30" s="158">
        <v>2</v>
      </c>
      <c r="AD30" s="158">
        <v>2</v>
      </c>
      <c r="AE30" s="158">
        <v>2</v>
      </c>
      <c r="AF30" s="158">
        <v>2</v>
      </c>
      <c r="AG30" s="158">
        <v>1</v>
      </c>
      <c r="AH30" s="158">
        <v>0</v>
      </c>
      <c r="AI30" s="158">
        <v>0</v>
      </c>
      <c r="AJ30" s="158">
        <v>0</v>
      </c>
      <c r="AK30" s="158">
        <v>0</v>
      </c>
      <c r="AL30" s="158">
        <v>2</v>
      </c>
      <c r="AM30" s="158">
        <v>2</v>
      </c>
    </row>
    <row r="31" spans="2:39" x14ac:dyDescent="0.15">
      <c r="B31" s="106">
        <f t="shared" si="1"/>
        <v>39893</v>
      </c>
      <c r="C31" s="107">
        <f t="shared" si="2"/>
        <v>39899</v>
      </c>
      <c r="D31" s="99">
        <f t="shared" si="5"/>
        <v>39899</v>
      </c>
      <c r="E31" s="91">
        <v>21</v>
      </c>
      <c r="F31" s="101">
        <v>1200</v>
      </c>
      <c r="G31" s="288">
        <f>VLOOKUP($D$5,evap!$B$4:$P$88,MONTH(D31)+2,FALSE)/4*0.7+7</f>
        <v>36.942499999999995</v>
      </c>
      <c r="H31" s="98">
        <f t="shared" si="0"/>
        <v>0</v>
      </c>
      <c r="I31" s="98">
        <f>VLOOKUP(MONTH(D31),[0]!rainforpaddy,4)/1000*$E$6*1600*7</f>
        <v>0</v>
      </c>
      <c r="J31">
        <f t="shared" si="3"/>
        <v>4</v>
      </c>
      <c r="K31">
        <f t="shared" si="4"/>
        <v>80</v>
      </c>
      <c r="M31" s="91">
        <v>21</v>
      </c>
      <c r="N31" s="158">
        <v>2</v>
      </c>
      <c r="O31" s="158">
        <v>2</v>
      </c>
      <c r="P31" s="158">
        <v>2</v>
      </c>
      <c r="Q31" s="158">
        <v>2</v>
      </c>
      <c r="R31" s="158">
        <v>2</v>
      </c>
      <c r="S31" s="158">
        <v>2</v>
      </c>
      <c r="T31" s="158">
        <v>2</v>
      </c>
      <c r="U31" s="158">
        <v>2</v>
      </c>
      <c r="V31" s="158">
        <v>2</v>
      </c>
      <c r="W31" s="158">
        <v>2</v>
      </c>
      <c r="X31" s="158">
        <v>2</v>
      </c>
      <c r="Y31" s="158">
        <v>2</v>
      </c>
      <c r="Z31" s="158">
        <v>2</v>
      </c>
      <c r="AA31" s="158">
        <v>2</v>
      </c>
      <c r="AB31" s="158">
        <v>2</v>
      </c>
      <c r="AC31" s="158">
        <v>2</v>
      </c>
      <c r="AD31" s="158">
        <v>2</v>
      </c>
      <c r="AE31" s="158">
        <v>2</v>
      </c>
      <c r="AF31" s="158">
        <v>2</v>
      </c>
      <c r="AG31" s="158">
        <v>2</v>
      </c>
      <c r="AH31" s="158">
        <v>1</v>
      </c>
      <c r="AI31" s="158">
        <v>0</v>
      </c>
      <c r="AJ31" s="158">
        <v>0</v>
      </c>
      <c r="AK31" s="158">
        <v>0</v>
      </c>
      <c r="AL31" s="158">
        <v>0</v>
      </c>
      <c r="AM31" s="158">
        <v>2</v>
      </c>
    </row>
    <row r="32" spans="2:39" x14ac:dyDescent="0.15">
      <c r="B32" s="106">
        <f t="shared" si="1"/>
        <v>39900</v>
      </c>
      <c r="C32" s="107">
        <f t="shared" si="2"/>
        <v>39906</v>
      </c>
      <c r="D32" s="99">
        <f t="shared" si="5"/>
        <v>39906</v>
      </c>
      <c r="E32" s="91">
        <v>22</v>
      </c>
      <c r="F32" s="101">
        <v>1200</v>
      </c>
      <c r="G32" s="288">
        <f>VLOOKUP($D$5,evap!$B$4:$P$88,MONTH(D32)+2,FALSE)/4*0.7+7</f>
        <v>38.097499999999997</v>
      </c>
      <c r="H32" s="98">
        <f t="shared" si="0"/>
        <v>0</v>
      </c>
      <c r="I32" s="98">
        <f>VLOOKUP(MONTH(D32),[0]!rainforpaddy,4)/1000*$E$6*1600*7</f>
        <v>0</v>
      </c>
      <c r="J32">
        <f t="shared" si="3"/>
        <v>4</v>
      </c>
      <c r="K32">
        <f t="shared" si="4"/>
        <v>80</v>
      </c>
      <c r="M32" s="91">
        <v>22</v>
      </c>
      <c r="N32" s="158">
        <v>2</v>
      </c>
      <c r="O32" s="158">
        <v>2</v>
      </c>
      <c r="P32" s="158">
        <v>2</v>
      </c>
      <c r="Q32" s="158">
        <v>2</v>
      </c>
      <c r="R32" s="158">
        <v>2</v>
      </c>
      <c r="S32" s="158">
        <v>2</v>
      </c>
      <c r="T32" s="158">
        <v>2</v>
      </c>
      <c r="U32" s="158">
        <v>2</v>
      </c>
      <c r="V32" s="158">
        <v>2</v>
      </c>
      <c r="W32" s="158">
        <v>2</v>
      </c>
      <c r="X32" s="158">
        <v>2</v>
      </c>
      <c r="Y32" s="158">
        <v>2</v>
      </c>
      <c r="Z32" s="158">
        <v>2</v>
      </c>
      <c r="AA32" s="158">
        <v>2</v>
      </c>
      <c r="AB32" s="158">
        <v>2</v>
      </c>
      <c r="AC32" s="158">
        <v>2</v>
      </c>
      <c r="AD32" s="158">
        <v>2</v>
      </c>
      <c r="AE32" s="158">
        <v>2</v>
      </c>
      <c r="AF32" s="158">
        <v>2</v>
      </c>
      <c r="AG32" s="158">
        <v>2</v>
      </c>
      <c r="AH32" s="158">
        <v>2</v>
      </c>
      <c r="AI32" s="158">
        <v>1</v>
      </c>
      <c r="AJ32" s="158">
        <v>0</v>
      </c>
      <c r="AK32" s="158">
        <v>0</v>
      </c>
      <c r="AL32" s="158">
        <v>0</v>
      </c>
      <c r="AM32" s="158">
        <v>0</v>
      </c>
    </row>
    <row r="33" spans="2:39" x14ac:dyDescent="0.15">
      <c r="B33" s="106">
        <f t="shared" si="1"/>
        <v>39907</v>
      </c>
      <c r="C33" s="107">
        <f t="shared" si="2"/>
        <v>39913</v>
      </c>
      <c r="D33" s="99">
        <f t="shared" si="5"/>
        <v>39913</v>
      </c>
      <c r="E33" s="91">
        <v>23</v>
      </c>
      <c r="F33" s="101">
        <v>1200</v>
      </c>
      <c r="G33" s="288">
        <f>VLOOKUP($D$5,evap!$B$4:$P$88,MONTH(D33)+2,FALSE)/4*0.7+7</f>
        <v>38.097499999999997</v>
      </c>
      <c r="H33" s="98">
        <f t="shared" si="0"/>
        <v>0</v>
      </c>
      <c r="I33" s="98">
        <f>VLOOKUP(MONTH(D33),[0]!rainforpaddy,4)/1000*$E$6*1600*7</f>
        <v>0</v>
      </c>
      <c r="J33">
        <f t="shared" si="3"/>
        <v>4</v>
      </c>
      <c r="K33">
        <f t="shared" si="4"/>
        <v>81</v>
      </c>
      <c r="M33" s="91">
        <v>23</v>
      </c>
      <c r="N33" s="158">
        <v>0</v>
      </c>
      <c r="O33" s="158">
        <v>2</v>
      </c>
      <c r="P33" s="158">
        <v>2</v>
      </c>
      <c r="Q33" s="158">
        <v>2</v>
      </c>
      <c r="R33" s="158">
        <v>2</v>
      </c>
      <c r="S33" s="158">
        <v>2</v>
      </c>
      <c r="T33" s="158">
        <v>2</v>
      </c>
      <c r="U33" s="158">
        <v>2</v>
      </c>
      <c r="V33" s="158">
        <v>2</v>
      </c>
      <c r="W33" s="158">
        <v>2</v>
      </c>
      <c r="X33" s="158">
        <v>2</v>
      </c>
      <c r="Y33" s="158">
        <v>2</v>
      </c>
      <c r="Z33" s="158">
        <v>2</v>
      </c>
      <c r="AA33" s="158">
        <v>2</v>
      </c>
      <c r="AB33" s="158">
        <v>2</v>
      </c>
      <c r="AC33" s="158">
        <v>2</v>
      </c>
      <c r="AD33" s="158">
        <v>2</v>
      </c>
      <c r="AE33" s="158">
        <v>2</v>
      </c>
      <c r="AF33" s="158">
        <v>2</v>
      </c>
      <c r="AG33" s="158">
        <v>2</v>
      </c>
      <c r="AH33" s="158">
        <v>2</v>
      </c>
      <c r="AI33" s="158">
        <v>2</v>
      </c>
      <c r="AJ33" s="158">
        <v>1</v>
      </c>
      <c r="AK33" s="158">
        <v>0</v>
      </c>
      <c r="AL33" s="158">
        <v>0</v>
      </c>
      <c r="AM33" s="158">
        <v>0</v>
      </c>
    </row>
    <row r="34" spans="2:39" x14ac:dyDescent="0.15">
      <c r="B34" s="106">
        <f t="shared" si="1"/>
        <v>39914</v>
      </c>
      <c r="C34" s="107">
        <f t="shared" si="2"/>
        <v>39920</v>
      </c>
      <c r="D34" s="99">
        <f t="shared" si="5"/>
        <v>39920</v>
      </c>
      <c r="E34" s="91">
        <v>24</v>
      </c>
      <c r="F34" s="101">
        <v>1200</v>
      </c>
      <c r="G34" s="288">
        <f>VLOOKUP($D$5,evap!$B$4:$P$88,MONTH(D34)+2,FALSE)/4*0.7+7</f>
        <v>38.097499999999997</v>
      </c>
      <c r="H34" s="98">
        <f t="shared" si="0"/>
        <v>0</v>
      </c>
      <c r="I34" s="98">
        <f>VLOOKUP(MONTH(D34),[0]!rainforpaddy,4)/1000*$E$6*1600*7</f>
        <v>0</v>
      </c>
      <c r="J34">
        <f t="shared" si="3"/>
        <v>4</v>
      </c>
      <c r="K34">
        <f t="shared" si="4"/>
        <v>82</v>
      </c>
      <c r="M34" s="91">
        <v>24</v>
      </c>
      <c r="N34" s="158">
        <v>0</v>
      </c>
      <c r="O34" s="158">
        <v>0</v>
      </c>
      <c r="P34" s="158">
        <v>2</v>
      </c>
      <c r="Q34" s="158">
        <v>2</v>
      </c>
      <c r="R34" s="158">
        <v>2</v>
      </c>
      <c r="S34" s="158">
        <v>2</v>
      </c>
      <c r="T34" s="158">
        <v>2</v>
      </c>
      <c r="U34" s="158">
        <v>2</v>
      </c>
      <c r="V34" s="158">
        <v>2</v>
      </c>
      <c r="W34" s="158">
        <v>2</v>
      </c>
      <c r="X34" s="158">
        <v>2</v>
      </c>
      <c r="Y34" s="158">
        <v>2</v>
      </c>
      <c r="Z34" s="158">
        <v>2</v>
      </c>
      <c r="AA34" s="158">
        <v>2</v>
      </c>
      <c r="AB34" s="158">
        <v>2</v>
      </c>
      <c r="AC34" s="158">
        <v>2</v>
      </c>
      <c r="AD34" s="158">
        <v>2</v>
      </c>
      <c r="AE34" s="158">
        <v>2</v>
      </c>
      <c r="AF34" s="158">
        <v>2</v>
      </c>
      <c r="AG34" s="158">
        <v>2</v>
      </c>
      <c r="AH34" s="158">
        <v>2</v>
      </c>
      <c r="AI34" s="158">
        <v>2</v>
      </c>
      <c r="AJ34" s="158">
        <v>2</v>
      </c>
      <c r="AK34" s="158">
        <v>1</v>
      </c>
      <c r="AL34" s="158">
        <v>0</v>
      </c>
      <c r="AM34" s="158">
        <v>0</v>
      </c>
    </row>
    <row r="35" spans="2:39" x14ac:dyDescent="0.15">
      <c r="B35" s="106">
        <f t="shared" si="1"/>
        <v>39921</v>
      </c>
      <c r="C35" s="107">
        <f t="shared" si="2"/>
        <v>39927</v>
      </c>
      <c r="D35" s="99">
        <f t="shared" si="5"/>
        <v>39927</v>
      </c>
      <c r="E35" s="91">
        <v>25</v>
      </c>
      <c r="F35" s="101">
        <v>1200</v>
      </c>
      <c r="G35" s="288">
        <f>VLOOKUP($D$5,evap!$B$4:$P$88,MONTH(D35)+2,FALSE)/4*0.7+7</f>
        <v>38.097499999999997</v>
      </c>
      <c r="H35" s="98">
        <f t="shared" si="0"/>
        <v>0</v>
      </c>
      <c r="I35" s="98">
        <f>VLOOKUP(MONTH(D35),[0]!rainforpaddy,4)/1000*$E$6*1600*7</f>
        <v>0</v>
      </c>
      <c r="J35">
        <f t="shared" si="3"/>
        <v>4</v>
      </c>
      <c r="K35">
        <f t="shared" si="4"/>
        <v>83</v>
      </c>
      <c r="M35" s="91">
        <v>25</v>
      </c>
      <c r="N35" s="158">
        <v>0</v>
      </c>
      <c r="O35" s="158">
        <v>0</v>
      </c>
      <c r="P35" s="158">
        <v>0</v>
      </c>
      <c r="Q35" s="158">
        <v>2</v>
      </c>
      <c r="R35" s="158">
        <v>2</v>
      </c>
      <c r="S35" s="158">
        <v>2</v>
      </c>
      <c r="T35" s="158">
        <v>2</v>
      </c>
      <c r="U35" s="158">
        <v>2</v>
      </c>
      <c r="V35" s="158">
        <v>2</v>
      </c>
      <c r="W35" s="158">
        <v>2</v>
      </c>
      <c r="X35" s="158">
        <v>2</v>
      </c>
      <c r="Y35" s="158">
        <v>2</v>
      </c>
      <c r="Z35" s="158">
        <v>2</v>
      </c>
      <c r="AA35" s="158">
        <v>2</v>
      </c>
      <c r="AB35" s="158">
        <v>2</v>
      </c>
      <c r="AC35" s="158">
        <v>2</v>
      </c>
      <c r="AD35" s="158">
        <v>2</v>
      </c>
      <c r="AE35" s="158">
        <v>2</v>
      </c>
      <c r="AF35" s="158">
        <v>2</v>
      </c>
      <c r="AG35" s="158">
        <v>2</v>
      </c>
      <c r="AH35" s="158">
        <v>2</v>
      </c>
      <c r="AI35" s="158">
        <v>2</v>
      </c>
      <c r="AJ35" s="158">
        <v>2</v>
      </c>
      <c r="AK35" s="158">
        <v>2</v>
      </c>
      <c r="AL35" s="158">
        <v>1</v>
      </c>
      <c r="AM35" s="158">
        <v>0</v>
      </c>
    </row>
    <row r="36" spans="2:39" x14ac:dyDescent="0.15">
      <c r="B36" s="106">
        <f t="shared" si="1"/>
        <v>39928</v>
      </c>
      <c r="C36" s="107">
        <f t="shared" si="2"/>
        <v>39934</v>
      </c>
      <c r="D36" s="99">
        <f t="shared" si="5"/>
        <v>39934</v>
      </c>
      <c r="E36" s="91">
        <v>26</v>
      </c>
      <c r="F36" s="101">
        <v>1200</v>
      </c>
      <c r="G36" s="288">
        <f>VLOOKUP($D$5,evap!$B$4:$P$88,MONTH(D36)+2,FALSE)/4*0.7+7</f>
        <v>34.247499999999995</v>
      </c>
      <c r="H36" s="98">
        <f t="shared" si="0"/>
        <v>0</v>
      </c>
      <c r="I36" s="98">
        <f>VLOOKUP(MONTH(D36),[0]!rainforpaddy,4)/1000*$E$6*1600*7</f>
        <v>0</v>
      </c>
      <c r="J36">
        <f t="shared" si="3"/>
        <v>4</v>
      </c>
      <c r="K36">
        <f t="shared" si="4"/>
        <v>84</v>
      </c>
      <c r="M36" s="91">
        <v>26</v>
      </c>
      <c r="N36" s="158">
        <v>0</v>
      </c>
      <c r="O36" s="158">
        <v>0</v>
      </c>
      <c r="P36" s="158">
        <v>0</v>
      </c>
      <c r="Q36" s="158">
        <v>0</v>
      </c>
      <c r="R36" s="158">
        <v>2</v>
      </c>
      <c r="S36" s="158">
        <v>2</v>
      </c>
      <c r="T36" s="158">
        <v>2</v>
      </c>
      <c r="U36" s="158">
        <v>2</v>
      </c>
      <c r="V36" s="158">
        <v>2</v>
      </c>
      <c r="W36" s="158">
        <v>2</v>
      </c>
      <c r="X36" s="158">
        <v>2</v>
      </c>
      <c r="Y36" s="158">
        <v>2</v>
      </c>
      <c r="Z36" s="158">
        <v>2</v>
      </c>
      <c r="AA36" s="158">
        <v>2</v>
      </c>
      <c r="AB36" s="158">
        <v>2</v>
      </c>
      <c r="AC36" s="158">
        <v>2</v>
      </c>
      <c r="AD36" s="158">
        <v>2</v>
      </c>
      <c r="AE36" s="158">
        <v>2</v>
      </c>
      <c r="AF36" s="158">
        <v>2</v>
      </c>
      <c r="AG36" s="158">
        <v>2</v>
      </c>
      <c r="AH36" s="158">
        <v>2</v>
      </c>
      <c r="AI36" s="158">
        <v>2</v>
      </c>
      <c r="AJ36" s="158">
        <v>2</v>
      </c>
      <c r="AK36" s="158">
        <v>2</v>
      </c>
      <c r="AL36" s="158">
        <v>2</v>
      </c>
      <c r="AM36" s="158">
        <v>1</v>
      </c>
    </row>
    <row r="37" spans="2:39" x14ac:dyDescent="0.15">
      <c r="B37" s="106">
        <f t="shared" si="1"/>
        <v>39935</v>
      </c>
      <c r="C37" s="107">
        <f t="shared" si="2"/>
        <v>39941</v>
      </c>
      <c r="D37" s="99">
        <f t="shared" si="5"/>
        <v>39941</v>
      </c>
      <c r="E37" s="91">
        <v>27</v>
      </c>
      <c r="F37" s="101">
        <v>1200</v>
      </c>
      <c r="G37" s="288">
        <f>VLOOKUP($D$5,evap!$B$4:$P$88,MONTH(D37)+2,FALSE)/4*0.7+7</f>
        <v>34.247499999999995</v>
      </c>
      <c r="H37" s="98">
        <f t="shared" si="0"/>
        <v>0</v>
      </c>
      <c r="I37" s="98">
        <f>VLOOKUP(MONTH(D37),[0]!rainforpaddy,4)/1000*$E$6*1600*7</f>
        <v>0</v>
      </c>
      <c r="J37">
        <f t="shared" si="3"/>
        <v>3</v>
      </c>
      <c r="K37">
        <f t="shared" si="4"/>
        <v>84</v>
      </c>
      <c r="M37" s="91">
        <v>27</v>
      </c>
      <c r="N37" s="158">
        <v>1</v>
      </c>
      <c r="O37" s="158">
        <v>0</v>
      </c>
      <c r="P37" s="158">
        <v>0</v>
      </c>
      <c r="Q37" s="158">
        <v>0</v>
      </c>
      <c r="R37" s="158">
        <v>0</v>
      </c>
      <c r="S37" s="158">
        <v>2</v>
      </c>
      <c r="T37" s="158">
        <v>2</v>
      </c>
      <c r="U37" s="158">
        <v>2</v>
      </c>
      <c r="V37" s="158">
        <v>2</v>
      </c>
      <c r="W37" s="158">
        <v>2</v>
      </c>
      <c r="X37" s="158">
        <v>2</v>
      </c>
      <c r="Y37" s="158">
        <v>2</v>
      </c>
      <c r="Z37" s="158">
        <v>2</v>
      </c>
      <c r="AA37" s="158">
        <v>2</v>
      </c>
      <c r="AB37" s="158">
        <v>2</v>
      </c>
      <c r="AC37" s="158">
        <v>2</v>
      </c>
      <c r="AD37" s="158">
        <v>2</v>
      </c>
      <c r="AE37" s="158">
        <v>2</v>
      </c>
      <c r="AF37" s="158">
        <v>2</v>
      </c>
      <c r="AG37" s="158">
        <v>2</v>
      </c>
      <c r="AH37" s="158">
        <v>2</v>
      </c>
      <c r="AI37" s="158">
        <v>2</v>
      </c>
      <c r="AJ37" s="158">
        <v>2</v>
      </c>
      <c r="AK37" s="158">
        <v>2</v>
      </c>
      <c r="AL37" s="158">
        <v>2</v>
      </c>
      <c r="AM37" s="158">
        <v>2</v>
      </c>
    </row>
    <row r="38" spans="2:39" x14ac:dyDescent="0.15">
      <c r="B38" s="106">
        <f t="shared" si="1"/>
        <v>39942</v>
      </c>
      <c r="C38" s="107">
        <f t="shared" si="2"/>
        <v>39948</v>
      </c>
      <c r="D38" s="99">
        <f t="shared" si="5"/>
        <v>39948</v>
      </c>
      <c r="E38" s="91">
        <v>28</v>
      </c>
      <c r="F38" s="101">
        <v>1200</v>
      </c>
      <c r="G38" s="288">
        <f>VLOOKUP($D$5,evap!$B$4:$P$88,MONTH(D38)+2,FALSE)/4*0.7+7</f>
        <v>34.247499999999995</v>
      </c>
      <c r="H38" s="98">
        <f t="shared" si="0"/>
        <v>0</v>
      </c>
      <c r="I38" s="98">
        <f>VLOOKUP(MONTH(D38),[0]!rainforpaddy,4)/1000*$E$6*1600*7</f>
        <v>0</v>
      </c>
      <c r="J38">
        <f t="shared" si="3"/>
        <v>3</v>
      </c>
      <c r="K38">
        <f t="shared" si="4"/>
        <v>83</v>
      </c>
      <c r="M38" s="91">
        <v>28</v>
      </c>
      <c r="N38" s="158">
        <v>2</v>
      </c>
      <c r="O38" s="158">
        <v>1</v>
      </c>
      <c r="P38" s="158">
        <v>0</v>
      </c>
      <c r="Q38" s="158">
        <v>0</v>
      </c>
      <c r="R38" s="158">
        <v>0</v>
      </c>
      <c r="S38" s="158">
        <v>0</v>
      </c>
      <c r="T38" s="158">
        <v>2</v>
      </c>
      <c r="U38" s="158">
        <v>2</v>
      </c>
      <c r="V38" s="158">
        <v>2</v>
      </c>
      <c r="W38" s="158">
        <v>2</v>
      </c>
      <c r="X38" s="158">
        <v>2</v>
      </c>
      <c r="Y38" s="158">
        <v>2</v>
      </c>
      <c r="Z38" s="158">
        <v>2</v>
      </c>
      <c r="AA38" s="158">
        <v>2</v>
      </c>
      <c r="AB38" s="158">
        <v>2</v>
      </c>
      <c r="AC38" s="158">
        <v>2</v>
      </c>
      <c r="AD38" s="158">
        <v>2</v>
      </c>
      <c r="AE38" s="158">
        <v>2</v>
      </c>
      <c r="AF38" s="158">
        <v>2</v>
      </c>
      <c r="AG38" s="158">
        <v>2</v>
      </c>
      <c r="AH38" s="158">
        <v>2</v>
      </c>
      <c r="AI38" s="158">
        <v>2</v>
      </c>
      <c r="AJ38" s="158">
        <v>2</v>
      </c>
      <c r="AK38" s="158">
        <v>2</v>
      </c>
      <c r="AL38" s="158">
        <v>2</v>
      </c>
      <c r="AM38" s="158">
        <v>2</v>
      </c>
    </row>
    <row r="39" spans="2:39" x14ac:dyDescent="0.15">
      <c r="B39" s="106">
        <f t="shared" si="1"/>
        <v>39949</v>
      </c>
      <c r="C39" s="107">
        <f t="shared" si="2"/>
        <v>39955</v>
      </c>
      <c r="D39" s="99">
        <f t="shared" si="5"/>
        <v>39955</v>
      </c>
      <c r="E39" s="91">
        <v>29</v>
      </c>
      <c r="F39" s="101">
        <v>1200</v>
      </c>
      <c r="G39" s="288">
        <f>VLOOKUP($D$5,evap!$B$4:$P$88,MONTH(D39)+2,FALSE)/4*0.7+7</f>
        <v>34.247499999999995</v>
      </c>
      <c r="H39" s="98">
        <f t="shared" si="0"/>
        <v>0</v>
      </c>
      <c r="I39" s="98">
        <f>VLOOKUP(MONTH(D39),[0]!rainforpaddy,4)/1000*$E$6*1600*7</f>
        <v>0</v>
      </c>
      <c r="J39">
        <f t="shared" si="3"/>
        <v>3</v>
      </c>
      <c r="K39">
        <f t="shared" si="4"/>
        <v>82</v>
      </c>
      <c r="M39" s="91">
        <v>29</v>
      </c>
      <c r="N39" s="158">
        <v>2</v>
      </c>
      <c r="O39" s="158">
        <v>2</v>
      </c>
      <c r="P39" s="158">
        <v>1</v>
      </c>
      <c r="Q39" s="158">
        <v>0</v>
      </c>
      <c r="R39" s="158">
        <v>0</v>
      </c>
      <c r="S39" s="158">
        <v>0</v>
      </c>
      <c r="T39" s="158">
        <v>0</v>
      </c>
      <c r="U39" s="158">
        <v>2</v>
      </c>
      <c r="V39" s="158">
        <v>2</v>
      </c>
      <c r="W39" s="158">
        <v>2</v>
      </c>
      <c r="X39" s="158">
        <v>2</v>
      </c>
      <c r="Y39" s="158">
        <v>2</v>
      </c>
      <c r="Z39" s="158">
        <v>2</v>
      </c>
      <c r="AA39" s="158">
        <v>2</v>
      </c>
      <c r="AB39" s="158">
        <v>2</v>
      </c>
      <c r="AC39" s="158">
        <v>2</v>
      </c>
      <c r="AD39" s="158">
        <v>2</v>
      </c>
      <c r="AE39" s="158">
        <v>2</v>
      </c>
      <c r="AF39" s="158">
        <v>2</v>
      </c>
      <c r="AG39" s="158">
        <v>2</v>
      </c>
      <c r="AH39" s="158">
        <v>2</v>
      </c>
      <c r="AI39" s="158">
        <v>2</v>
      </c>
      <c r="AJ39" s="158">
        <v>2</v>
      </c>
      <c r="AK39" s="158">
        <v>2</v>
      </c>
      <c r="AL39" s="158">
        <v>2</v>
      </c>
      <c r="AM39" s="158">
        <v>2</v>
      </c>
    </row>
    <row r="40" spans="2:39" x14ac:dyDescent="0.15">
      <c r="B40" s="106">
        <f t="shared" si="1"/>
        <v>39956</v>
      </c>
      <c r="C40" s="107">
        <f t="shared" si="2"/>
        <v>39962</v>
      </c>
      <c r="D40" s="99">
        <f t="shared" si="5"/>
        <v>39962</v>
      </c>
      <c r="E40" s="91">
        <v>30</v>
      </c>
      <c r="F40" s="101">
        <v>1200</v>
      </c>
      <c r="G40" s="288">
        <f>VLOOKUP($D$5,evap!$B$4:$P$88,MONTH(D40)+2,FALSE)/4*0.7+7</f>
        <v>34.247499999999995</v>
      </c>
      <c r="H40" s="98">
        <f t="shared" si="0"/>
        <v>0</v>
      </c>
      <c r="I40" s="98">
        <f>VLOOKUP(MONTH(D40),[0]!rainforpaddy,4)/1000*$E$6*1600*7</f>
        <v>0</v>
      </c>
      <c r="J40">
        <f t="shared" si="3"/>
        <v>3</v>
      </c>
      <c r="K40">
        <f t="shared" si="4"/>
        <v>81</v>
      </c>
      <c r="M40" s="91">
        <v>30</v>
      </c>
      <c r="N40" s="158">
        <v>2</v>
      </c>
      <c r="O40" s="158">
        <v>2</v>
      </c>
      <c r="P40" s="158">
        <v>2</v>
      </c>
      <c r="Q40" s="158">
        <v>1</v>
      </c>
      <c r="R40" s="158">
        <v>0</v>
      </c>
      <c r="S40" s="158">
        <v>0</v>
      </c>
      <c r="T40" s="158">
        <v>0</v>
      </c>
      <c r="U40" s="158">
        <v>0</v>
      </c>
      <c r="V40" s="158">
        <v>2</v>
      </c>
      <c r="W40" s="158">
        <v>2</v>
      </c>
      <c r="X40" s="158">
        <v>2</v>
      </c>
      <c r="Y40" s="158">
        <v>2</v>
      </c>
      <c r="Z40" s="158">
        <v>2</v>
      </c>
      <c r="AA40" s="158">
        <v>2</v>
      </c>
      <c r="AB40" s="158">
        <v>2</v>
      </c>
      <c r="AC40" s="158">
        <v>2</v>
      </c>
      <c r="AD40" s="158">
        <v>2</v>
      </c>
      <c r="AE40" s="158">
        <v>2</v>
      </c>
      <c r="AF40" s="158">
        <v>2</v>
      </c>
      <c r="AG40" s="158">
        <v>2</v>
      </c>
      <c r="AH40" s="158">
        <v>2</v>
      </c>
      <c r="AI40" s="158">
        <v>2</v>
      </c>
      <c r="AJ40" s="158">
        <v>2</v>
      </c>
      <c r="AK40" s="158">
        <v>2</v>
      </c>
      <c r="AL40" s="158">
        <v>2</v>
      </c>
      <c r="AM40" s="158">
        <v>2</v>
      </c>
    </row>
    <row r="41" spans="2:39" x14ac:dyDescent="0.15">
      <c r="B41" s="106">
        <f t="shared" si="1"/>
        <v>39963</v>
      </c>
      <c r="C41" s="107">
        <f t="shared" si="2"/>
        <v>39969</v>
      </c>
      <c r="D41" s="99">
        <f t="shared" si="5"/>
        <v>39969</v>
      </c>
      <c r="E41" s="91">
        <v>31</v>
      </c>
      <c r="F41" s="101">
        <v>1200</v>
      </c>
      <c r="G41" s="288">
        <f>VLOOKUP($D$5,evap!$B$4:$P$88,MONTH(D41)+2,FALSE)/4*0.7+7</f>
        <v>34.019999999999996</v>
      </c>
      <c r="H41" s="98">
        <f t="shared" si="0"/>
        <v>0</v>
      </c>
      <c r="I41" s="98">
        <f>VLOOKUP(MONTH(D41),[0]!rainforpaddy,4)/1000*$E$6*1600*7</f>
        <v>0</v>
      </c>
      <c r="J41">
        <f t="shared" si="3"/>
        <v>4</v>
      </c>
      <c r="K41">
        <f t="shared" si="4"/>
        <v>80</v>
      </c>
      <c r="M41" s="91">
        <v>31</v>
      </c>
      <c r="N41" s="158">
        <v>2</v>
      </c>
      <c r="O41" s="158">
        <v>2</v>
      </c>
      <c r="P41" s="158">
        <v>2</v>
      </c>
      <c r="Q41" s="158">
        <v>2</v>
      </c>
      <c r="R41" s="158">
        <v>1</v>
      </c>
      <c r="S41" s="158">
        <v>0</v>
      </c>
      <c r="T41" s="158">
        <v>0</v>
      </c>
      <c r="U41" s="158">
        <v>0</v>
      </c>
      <c r="V41" s="158">
        <v>0</v>
      </c>
      <c r="W41" s="158">
        <v>2</v>
      </c>
      <c r="X41" s="158">
        <v>2</v>
      </c>
      <c r="Y41" s="158">
        <v>2</v>
      </c>
      <c r="Z41" s="158">
        <v>2</v>
      </c>
      <c r="AA41" s="158">
        <v>2</v>
      </c>
      <c r="AB41" s="158">
        <v>2</v>
      </c>
      <c r="AC41" s="158">
        <v>2</v>
      </c>
      <c r="AD41" s="158">
        <v>2</v>
      </c>
      <c r="AE41" s="158">
        <v>2</v>
      </c>
      <c r="AF41" s="158">
        <v>2</v>
      </c>
      <c r="AG41" s="158">
        <v>2</v>
      </c>
      <c r="AH41" s="158">
        <v>2</v>
      </c>
      <c r="AI41" s="158">
        <v>2</v>
      </c>
      <c r="AJ41" s="158">
        <v>2</v>
      </c>
      <c r="AK41" s="158">
        <v>2</v>
      </c>
      <c r="AL41" s="158">
        <v>2</v>
      </c>
      <c r="AM41" s="158">
        <v>2</v>
      </c>
    </row>
    <row r="42" spans="2:39" x14ac:dyDescent="0.15">
      <c r="B42" s="106">
        <f t="shared" si="1"/>
        <v>39970</v>
      </c>
      <c r="C42" s="107">
        <f t="shared" si="2"/>
        <v>39976</v>
      </c>
      <c r="D42" s="99">
        <f t="shared" si="5"/>
        <v>39976</v>
      </c>
      <c r="E42" s="91">
        <v>32</v>
      </c>
      <c r="F42" s="101">
        <v>1200</v>
      </c>
      <c r="G42" s="288">
        <f>VLOOKUP($D$5,evap!$B$4:$P$88,MONTH(D42)+2,FALSE)/4*0.7+7</f>
        <v>34.019999999999996</v>
      </c>
      <c r="H42" s="98">
        <f t="shared" si="0"/>
        <v>0</v>
      </c>
      <c r="I42" s="98">
        <f>VLOOKUP(MONTH(D42),[0]!rainforpaddy,4)/1000*$E$6*1600*7</f>
        <v>0</v>
      </c>
      <c r="J42">
        <f t="shared" si="3"/>
        <v>4</v>
      </c>
      <c r="K42">
        <f t="shared" si="4"/>
        <v>80</v>
      </c>
      <c r="M42" s="91">
        <v>32</v>
      </c>
      <c r="N42" s="158">
        <v>2</v>
      </c>
      <c r="O42" s="158">
        <v>2</v>
      </c>
      <c r="P42" s="158">
        <v>2</v>
      </c>
      <c r="Q42" s="158">
        <v>2</v>
      </c>
      <c r="R42" s="158">
        <v>2</v>
      </c>
      <c r="S42" s="158">
        <v>1</v>
      </c>
      <c r="T42" s="158">
        <v>0</v>
      </c>
      <c r="U42" s="158">
        <v>0</v>
      </c>
      <c r="V42" s="158">
        <v>0</v>
      </c>
      <c r="W42" s="158">
        <v>0</v>
      </c>
      <c r="X42" s="158">
        <v>2</v>
      </c>
      <c r="Y42" s="158">
        <v>2</v>
      </c>
      <c r="Z42" s="158">
        <v>2</v>
      </c>
      <c r="AA42" s="158">
        <v>2</v>
      </c>
      <c r="AB42" s="158">
        <v>2</v>
      </c>
      <c r="AC42" s="158">
        <v>2</v>
      </c>
      <c r="AD42" s="158">
        <v>2</v>
      </c>
      <c r="AE42" s="158">
        <v>2</v>
      </c>
      <c r="AF42" s="158">
        <v>2</v>
      </c>
      <c r="AG42" s="158">
        <v>2</v>
      </c>
      <c r="AH42" s="158">
        <v>2</v>
      </c>
      <c r="AI42" s="158">
        <v>2</v>
      </c>
      <c r="AJ42" s="158">
        <v>2</v>
      </c>
      <c r="AK42" s="158">
        <v>2</v>
      </c>
      <c r="AL42" s="158">
        <v>2</v>
      </c>
      <c r="AM42" s="158">
        <v>2</v>
      </c>
    </row>
    <row r="43" spans="2:39" x14ac:dyDescent="0.15">
      <c r="B43" s="106">
        <f t="shared" si="1"/>
        <v>39977</v>
      </c>
      <c r="C43" s="107">
        <f t="shared" ref="C43:C62" si="6">B43+6</f>
        <v>39983</v>
      </c>
      <c r="D43" s="99">
        <f t="shared" si="5"/>
        <v>39983</v>
      </c>
      <c r="E43" s="91">
        <v>33</v>
      </c>
      <c r="F43" s="101">
        <v>1200</v>
      </c>
      <c r="G43" s="288">
        <f>VLOOKUP($D$5,evap!$B$4:$P$88,MONTH(D43)+2,FALSE)/4*0.7+7</f>
        <v>34.019999999999996</v>
      </c>
      <c r="H43" s="98">
        <f t="shared" ref="H43:H62" si="7">+(F43*J43+G43*K43)*$E$6/100*1.6</f>
        <v>0</v>
      </c>
      <c r="I43" s="98">
        <f>VLOOKUP(MONTH(D43),[0]!rainforpaddy,4)/1000*$E$6*1600*7</f>
        <v>0</v>
      </c>
      <c r="J43">
        <f t="shared" si="3"/>
        <v>4</v>
      </c>
      <c r="K43">
        <f t="shared" si="4"/>
        <v>80</v>
      </c>
      <c r="M43" s="91">
        <v>33</v>
      </c>
      <c r="N43" s="158">
        <v>2</v>
      </c>
      <c r="O43" s="158">
        <v>2</v>
      </c>
      <c r="P43" s="158">
        <v>2</v>
      </c>
      <c r="Q43" s="158">
        <v>2</v>
      </c>
      <c r="R43" s="158">
        <v>2</v>
      </c>
      <c r="S43" s="158">
        <v>2</v>
      </c>
      <c r="T43" s="158">
        <v>1</v>
      </c>
      <c r="U43" s="158">
        <v>0</v>
      </c>
      <c r="V43" s="158">
        <v>0</v>
      </c>
      <c r="W43" s="158">
        <v>0</v>
      </c>
      <c r="X43" s="158">
        <v>0</v>
      </c>
      <c r="Y43" s="158">
        <v>2</v>
      </c>
      <c r="Z43" s="158">
        <v>2</v>
      </c>
      <c r="AA43" s="158">
        <v>2</v>
      </c>
      <c r="AB43" s="158">
        <v>2</v>
      </c>
      <c r="AC43" s="158">
        <v>2</v>
      </c>
      <c r="AD43" s="158">
        <v>2</v>
      </c>
      <c r="AE43" s="158">
        <v>2</v>
      </c>
      <c r="AF43" s="158">
        <v>2</v>
      </c>
      <c r="AG43" s="158">
        <v>2</v>
      </c>
      <c r="AH43" s="158">
        <v>2</v>
      </c>
      <c r="AI43" s="158">
        <v>2</v>
      </c>
      <c r="AJ43" s="158">
        <v>2</v>
      </c>
      <c r="AK43" s="158">
        <v>2</v>
      </c>
      <c r="AL43" s="158">
        <v>2</v>
      </c>
      <c r="AM43" s="158">
        <v>2</v>
      </c>
    </row>
    <row r="44" spans="2:39" x14ac:dyDescent="0.15">
      <c r="B44" s="106">
        <f t="shared" ref="B44:B62" si="8">C43+1</f>
        <v>39984</v>
      </c>
      <c r="C44" s="107">
        <f t="shared" si="6"/>
        <v>39990</v>
      </c>
      <c r="D44" s="99">
        <f t="shared" si="5"/>
        <v>39990</v>
      </c>
      <c r="E44" s="91">
        <v>34</v>
      </c>
      <c r="F44" s="101">
        <v>1200</v>
      </c>
      <c r="G44" s="288">
        <f>VLOOKUP($D$5,evap!$B$4:$P$88,MONTH(D44)+2,FALSE)/4*0.7+7</f>
        <v>34.019999999999996</v>
      </c>
      <c r="H44" s="98">
        <f t="shared" si="7"/>
        <v>0</v>
      </c>
      <c r="I44" s="98">
        <f>VLOOKUP(MONTH(D44),[0]!rainforpaddy,4)/1000*$E$6*1600*7</f>
        <v>0</v>
      </c>
      <c r="J44">
        <f t="shared" si="3"/>
        <v>4</v>
      </c>
      <c r="K44">
        <f t="shared" si="4"/>
        <v>80</v>
      </c>
      <c r="M44" s="91">
        <v>34</v>
      </c>
      <c r="N44" s="158">
        <v>2</v>
      </c>
      <c r="O44" s="158">
        <v>2</v>
      </c>
      <c r="P44" s="158">
        <v>2</v>
      </c>
      <c r="Q44" s="158">
        <v>2</v>
      </c>
      <c r="R44" s="158">
        <v>2</v>
      </c>
      <c r="S44" s="158">
        <v>2</v>
      </c>
      <c r="T44" s="158">
        <v>2</v>
      </c>
      <c r="U44" s="158">
        <v>1</v>
      </c>
      <c r="V44" s="158">
        <v>0</v>
      </c>
      <c r="W44" s="158">
        <v>0</v>
      </c>
      <c r="X44" s="158">
        <v>0</v>
      </c>
      <c r="Y44" s="158">
        <v>0</v>
      </c>
      <c r="Z44" s="158">
        <v>2</v>
      </c>
      <c r="AA44" s="158">
        <v>2</v>
      </c>
      <c r="AB44" s="158">
        <v>2</v>
      </c>
      <c r="AC44" s="158">
        <v>2</v>
      </c>
      <c r="AD44" s="158">
        <v>2</v>
      </c>
      <c r="AE44" s="158">
        <v>2</v>
      </c>
      <c r="AF44" s="158">
        <v>2</v>
      </c>
      <c r="AG44" s="158">
        <v>2</v>
      </c>
      <c r="AH44" s="158">
        <v>2</v>
      </c>
      <c r="AI44" s="158">
        <v>2</v>
      </c>
      <c r="AJ44" s="158">
        <v>2</v>
      </c>
      <c r="AK44" s="158">
        <v>2</v>
      </c>
      <c r="AL44" s="158">
        <v>2</v>
      </c>
      <c r="AM44" s="158">
        <v>2</v>
      </c>
    </row>
    <row r="45" spans="2:39" x14ac:dyDescent="0.15">
      <c r="B45" s="106">
        <f t="shared" si="8"/>
        <v>39991</v>
      </c>
      <c r="C45" s="107">
        <f t="shared" si="6"/>
        <v>39997</v>
      </c>
      <c r="D45" s="99">
        <f t="shared" si="5"/>
        <v>39997</v>
      </c>
      <c r="E45" s="91">
        <v>35</v>
      </c>
      <c r="F45" s="101">
        <v>1200</v>
      </c>
      <c r="G45" s="288">
        <f>VLOOKUP($D$5,evap!$B$4:$P$88,MONTH(D45)+2,FALSE)/4*0.7+7</f>
        <v>33.74</v>
      </c>
      <c r="H45" s="98">
        <f t="shared" si="7"/>
        <v>0</v>
      </c>
      <c r="I45" s="98">
        <f>VLOOKUP(MONTH(D45),[0]!rainforpaddy,4)/1000*$E$6*1600*7</f>
        <v>0</v>
      </c>
      <c r="J45">
        <f t="shared" si="3"/>
        <v>4</v>
      </c>
      <c r="K45">
        <f t="shared" si="4"/>
        <v>80</v>
      </c>
      <c r="M45" s="91">
        <v>35</v>
      </c>
      <c r="N45" s="158">
        <v>2</v>
      </c>
      <c r="O45" s="158">
        <v>2</v>
      </c>
      <c r="P45" s="158">
        <v>2</v>
      </c>
      <c r="Q45" s="158">
        <v>2</v>
      </c>
      <c r="R45" s="158">
        <v>2</v>
      </c>
      <c r="S45" s="158">
        <v>2</v>
      </c>
      <c r="T45" s="158">
        <v>2</v>
      </c>
      <c r="U45" s="158">
        <v>2</v>
      </c>
      <c r="V45" s="158">
        <v>1</v>
      </c>
      <c r="W45" s="158">
        <v>0</v>
      </c>
      <c r="X45" s="158">
        <v>0</v>
      </c>
      <c r="Y45" s="158">
        <v>0</v>
      </c>
      <c r="Z45" s="158">
        <v>0</v>
      </c>
      <c r="AA45" s="158">
        <v>2</v>
      </c>
      <c r="AB45" s="158">
        <v>2</v>
      </c>
      <c r="AC45" s="158">
        <v>2</v>
      </c>
      <c r="AD45" s="158">
        <v>2</v>
      </c>
      <c r="AE45" s="158">
        <v>2</v>
      </c>
      <c r="AF45" s="158">
        <v>2</v>
      </c>
      <c r="AG45" s="158">
        <v>2</v>
      </c>
      <c r="AH45" s="158">
        <v>2</v>
      </c>
      <c r="AI45" s="158">
        <v>2</v>
      </c>
      <c r="AJ45" s="158">
        <v>2</v>
      </c>
      <c r="AK45" s="158">
        <v>2</v>
      </c>
      <c r="AL45" s="158">
        <v>2</v>
      </c>
      <c r="AM45" s="158">
        <v>2</v>
      </c>
    </row>
    <row r="46" spans="2:39" x14ac:dyDescent="0.15">
      <c r="B46" s="106">
        <f t="shared" si="8"/>
        <v>39998</v>
      </c>
      <c r="C46" s="107">
        <f t="shared" si="6"/>
        <v>40004</v>
      </c>
      <c r="D46" s="99">
        <f t="shared" si="5"/>
        <v>40004</v>
      </c>
      <c r="E46" s="91">
        <v>36</v>
      </c>
      <c r="F46" s="101">
        <v>1200</v>
      </c>
      <c r="G46" s="288">
        <f>VLOOKUP($D$5,evap!$B$4:$P$88,MONTH(D46)+2,FALSE)/4*0.7+7</f>
        <v>33.74</v>
      </c>
      <c r="H46" s="98">
        <f t="shared" si="7"/>
        <v>0</v>
      </c>
      <c r="I46" s="98">
        <f>VLOOKUP(MONTH(D46),[0]!rainforpaddy,4)/1000*$E$6*1600*7</f>
        <v>0</v>
      </c>
      <c r="J46">
        <f t="shared" si="3"/>
        <v>4</v>
      </c>
      <c r="K46">
        <f t="shared" si="4"/>
        <v>80</v>
      </c>
      <c r="M46" s="91">
        <v>36</v>
      </c>
      <c r="N46" s="158">
        <v>2</v>
      </c>
      <c r="O46" s="158">
        <v>2</v>
      </c>
      <c r="P46" s="158">
        <v>2</v>
      </c>
      <c r="Q46" s="158">
        <v>2</v>
      </c>
      <c r="R46" s="158">
        <v>2</v>
      </c>
      <c r="S46" s="158">
        <v>2</v>
      </c>
      <c r="T46" s="158">
        <v>2</v>
      </c>
      <c r="U46" s="158">
        <v>2</v>
      </c>
      <c r="V46" s="158">
        <v>2</v>
      </c>
      <c r="W46" s="158">
        <v>1</v>
      </c>
      <c r="X46" s="158">
        <v>0</v>
      </c>
      <c r="Y46" s="158">
        <v>0</v>
      </c>
      <c r="Z46" s="158">
        <v>0</v>
      </c>
      <c r="AA46" s="158">
        <v>0</v>
      </c>
      <c r="AB46" s="158">
        <v>2</v>
      </c>
      <c r="AC46" s="158">
        <v>2</v>
      </c>
      <c r="AD46" s="158">
        <v>2</v>
      </c>
      <c r="AE46" s="158">
        <v>2</v>
      </c>
      <c r="AF46" s="158">
        <v>2</v>
      </c>
      <c r="AG46" s="158">
        <v>2</v>
      </c>
      <c r="AH46" s="158">
        <v>2</v>
      </c>
      <c r="AI46" s="158">
        <v>2</v>
      </c>
      <c r="AJ46" s="158">
        <v>2</v>
      </c>
      <c r="AK46" s="158">
        <v>2</v>
      </c>
      <c r="AL46" s="158">
        <v>2</v>
      </c>
      <c r="AM46" s="158">
        <v>2</v>
      </c>
    </row>
    <row r="47" spans="2:39" x14ac:dyDescent="0.15">
      <c r="B47" s="106">
        <f t="shared" si="8"/>
        <v>40005</v>
      </c>
      <c r="C47" s="107">
        <f t="shared" si="6"/>
        <v>40011</v>
      </c>
      <c r="D47" s="99">
        <f t="shared" si="5"/>
        <v>40011</v>
      </c>
      <c r="E47" s="91">
        <v>37</v>
      </c>
      <c r="F47" s="101">
        <v>1200</v>
      </c>
      <c r="G47" s="288">
        <f>VLOOKUP($D$5,evap!$B$4:$P$88,MONTH(D47)+2,FALSE)/4*0.7+7</f>
        <v>33.74</v>
      </c>
      <c r="H47" s="98">
        <f t="shared" si="7"/>
        <v>0</v>
      </c>
      <c r="I47" s="98">
        <f>VLOOKUP(MONTH(D47),[0]!rainforpaddy,4)/1000*$E$6*1600*7</f>
        <v>0</v>
      </c>
      <c r="J47">
        <f t="shared" si="3"/>
        <v>4</v>
      </c>
      <c r="K47">
        <f t="shared" si="4"/>
        <v>80</v>
      </c>
      <c r="M47" s="91">
        <v>37</v>
      </c>
      <c r="N47" s="158">
        <v>2</v>
      </c>
      <c r="O47" s="158">
        <v>2</v>
      </c>
      <c r="P47" s="158">
        <v>2</v>
      </c>
      <c r="Q47" s="158">
        <v>2</v>
      </c>
      <c r="R47" s="158">
        <v>2</v>
      </c>
      <c r="S47" s="158">
        <v>2</v>
      </c>
      <c r="T47" s="158">
        <v>2</v>
      </c>
      <c r="U47" s="158">
        <v>2</v>
      </c>
      <c r="V47" s="158">
        <v>2</v>
      </c>
      <c r="W47" s="158">
        <v>2</v>
      </c>
      <c r="X47" s="158">
        <v>1</v>
      </c>
      <c r="Y47" s="158">
        <v>0</v>
      </c>
      <c r="Z47" s="158">
        <v>0</v>
      </c>
      <c r="AA47" s="158">
        <v>0</v>
      </c>
      <c r="AB47" s="158">
        <v>0</v>
      </c>
      <c r="AC47" s="158">
        <v>2</v>
      </c>
      <c r="AD47" s="158">
        <v>2</v>
      </c>
      <c r="AE47" s="158">
        <v>2</v>
      </c>
      <c r="AF47" s="158">
        <v>2</v>
      </c>
      <c r="AG47" s="158">
        <v>2</v>
      </c>
      <c r="AH47" s="158">
        <v>2</v>
      </c>
      <c r="AI47" s="158">
        <v>2</v>
      </c>
      <c r="AJ47" s="158">
        <v>2</v>
      </c>
      <c r="AK47" s="158">
        <v>2</v>
      </c>
      <c r="AL47" s="158">
        <v>2</v>
      </c>
      <c r="AM47" s="158">
        <v>2</v>
      </c>
    </row>
    <row r="48" spans="2:39" x14ac:dyDescent="0.15">
      <c r="B48" s="106">
        <f t="shared" si="8"/>
        <v>40012</v>
      </c>
      <c r="C48" s="107">
        <f t="shared" si="6"/>
        <v>40018</v>
      </c>
      <c r="D48" s="99">
        <f t="shared" si="5"/>
        <v>40018</v>
      </c>
      <c r="E48" s="91">
        <v>38</v>
      </c>
      <c r="F48" s="101">
        <v>1200</v>
      </c>
      <c r="G48" s="288">
        <f>VLOOKUP($D$5,evap!$B$4:$P$88,MONTH(D48)+2,FALSE)/4*0.7+7</f>
        <v>33.74</v>
      </c>
      <c r="H48" s="98">
        <f t="shared" si="7"/>
        <v>0</v>
      </c>
      <c r="I48" s="98">
        <f>VLOOKUP(MONTH(D48),[0]!rainforpaddy,4)/1000*$E$6*1600*7</f>
        <v>0</v>
      </c>
      <c r="J48">
        <f t="shared" si="3"/>
        <v>4</v>
      </c>
      <c r="K48">
        <f t="shared" si="4"/>
        <v>80</v>
      </c>
      <c r="M48" s="91">
        <v>38</v>
      </c>
      <c r="N48" s="158">
        <v>2</v>
      </c>
      <c r="O48" s="158">
        <v>2</v>
      </c>
      <c r="P48" s="158">
        <v>2</v>
      </c>
      <c r="Q48" s="158">
        <v>2</v>
      </c>
      <c r="R48" s="158">
        <v>2</v>
      </c>
      <c r="S48" s="158">
        <v>2</v>
      </c>
      <c r="T48" s="158">
        <v>2</v>
      </c>
      <c r="U48" s="158">
        <v>2</v>
      </c>
      <c r="V48" s="158">
        <v>2</v>
      </c>
      <c r="W48" s="158">
        <v>2</v>
      </c>
      <c r="X48" s="158">
        <v>2</v>
      </c>
      <c r="Y48" s="158">
        <v>1</v>
      </c>
      <c r="Z48" s="158">
        <v>0</v>
      </c>
      <c r="AA48" s="158">
        <v>0</v>
      </c>
      <c r="AB48" s="158">
        <v>0</v>
      </c>
      <c r="AC48" s="158">
        <v>0</v>
      </c>
      <c r="AD48" s="158">
        <v>2</v>
      </c>
      <c r="AE48" s="158">
        <v>2</v>
      </c>
      <c r="AF48" s="158">
        <v>2</v>
      </c>
      <c r="AG48" s="158">
        <v>2</v>
      </c>
      <c r="AH48" s="158">
        <v>2</v>
      </c>
      <c r="AI48" s="158">
        <v>2</v>
      </c>
      <c r="AJ48" s="158">
        <v>2</v>
      </c>
      <c r="AK48" s="158">
        <v>2</v>
      </c>
      <c r="AL48" s="158">
        <v>2</v>
      </c>
      <c r="AM48" s="158">
        <v>2</v>
      </c>
    </row>
    <row r="49" spans="2:39" x14ac:dyDescent="0.15">
      <c r="B49" s="106">
        <f t="shared" si="8"/>
        <v>40019</v>
      </c>
      <c r="C49" s="107">
        <f t="shared" si="6"/>
        <v>40025</v>
      </c>
      <c r="D49" s="99">
        <f t="shared" si="5"/>
        <v>40025</v>
      </c>
      <c r="E49" s="91">
        <v>39</v>
      </c>
      <c r="F49" s="101">
        <v>1200</v>
      </c>
      <c r="G49" s="288">
        <f>VLOOKUP($D$5,evap!$B$4:$P$88,MONTH(D49)+2,FALSE)/4*0.7+7</f>
        <v>33.74</v>
      </c>
      <c r="H49" s="98">
        <f t="shared" si="7"/>
        <v>0</v>
      </c>
      <c r="I49" s="98">
        <f>VLOOKUP(MONTH(D49),[0]!rainforpaddy,4)/1000*$E$6*1600*7</f>
        <v>0</v>
      </c>
      <c r="J49">
        <f t="shared" si="3"/>
        <v>4</v>
      </c>
      <c r="K49">
        <f t="shared" si="4"/>
        <v>80</v>
      </c>
      <c r="M49" s="91">
        <v>39</v>
      </c>
      <c r="N49" s="158">
        <v>2</v>
      </c>
      <c r="O49" s="158">
        <v>2</v>
      </c>
      <c r="P49" s="158">
        <v>2</v>
      </c>
      <c r="Q49" s="158">
        <v>2</v>
      </c>
      <c r="R49" s="158">
        <v>2</v>
      </c>
      <c r="S49" s="158">
        <v>2</v>
      </c>
      <c r="T49" s="158">
        <v>2</v>
      </c>
      <c r="U49" s="158">
        <v>2</v>
      </c>
      <c r="V49" s="158">
        <v>2</v>
      </c>
      <c r="W49" s="158">
        <v>2</v>
      </c>
      <c r="X49" s="158">
        <v>2</v>
      </c>
      <c r="Y49" s="158">
        <v>2</v>
      </c>
      <c r="Z49" s="158">
        <v>1</v>
      </c>
      <c r="AA49" s="158">
        <v>0</v>
      </c>
      <c r="AB49" s="158">
        <v>0</v>
      </c>
      <c r="AC49" s="158">
        <v>0</v>
      </c>
      <c r="AD49" s="158">
        <v>0</v>
      </c>
      <c r="AE49" s="158">
        <v>2</v>
      </c>
      <c r="AF49" s="158">
        <v>2</v>
      </c>
      <c r="AG49" s="158">
        <v>2</v>
      </c>
      <c r="AH49" s="158">
        <v>2</v>
      </c>
      <c r="AI49" s="158">
        <v>2</v>
      </c>
      <c r="AJ49" s="158">
        <v>2</v>
      </c>
      <c r="AK49" s="158">
        <v>2</v>
      </c>
      <c r="AL49" s="158">
        <v>2</v>
      </c>
      <c r="AM49" s="158">
        <v>2</v>
      </c>
    </row>
    <row r="50" spans="2:39" x14ac:dyDescent="0.15">
      <c r="B50" s="106">
        <f t="shared" si="8"/>
        <v>40026</v>
      </c>
      <c r="C50" s="107">
        <f t="shared" si="6"/>
        <v>40032</v>
      </c>
      <c r="D50" s="99">
        <f t="shared" si="5"/>
        <v>40032</v>
      </c>
      <c r="E50" s="91">
        <v>40</v>
      </c>
      <c r="F50" s="101">
        <v>1200</v>
      </c>
      <c r="G50" s="288">
        <f>VLOOKUP($D$5,evap!$B$4:$P$88,MONTH(D50)+2,FALSE)/4*0.7+7</f>
        <v>31.15</v>
      </c>
      <c r="H50" s="98">
        <f t="shared" si="7"/>
        <v>0</v>
      </c>
      <c r="I50" s="98">
        <f>VLOOKUP(MONTH(D50),[0]!rainforpaddy,4)/1000*$E$6*1600*7</f>
        <v>0</v>
      </c>
      <c r="J50">
        <f t="shared" si="3"/>
        <v>4</v>
      </c>
      <c r="K50">
        <f t="shared" si="4"/>
        <v>80</v>
      </c>
      <c r="M50" s="91">
        <v>40</v>
      </c>
      <c r="N50" s="158">
        <v>2</v>
      </c>
      <c r="O50" s="158">
        <v>2</v>
      </c>
      <c r="P50" s="158">
        <v>2</v>
      </c>
      <c r="Q50" s="158">
        <v>2</v>
      </c>
      <c r="R50" s="158">
        <v>2</v>
      </c>
      <c r="S50" s="158">
        <v>2</v>
      </c>
      <c r="T50" s="158">
        <v>2</v>
      </c>
      <c r="U50" s="158">
        <v>2</v>
      </c>
      <c r="V50" s="158">
        <v>2</v>
      </c>
      <c r="W50" s="158">
        <v>2</v>
      </c>
      <c r="X50" s="158">
        <v>2</v>
      </c>
      <c r="Y50" s="158">
        <v>2</v>
      </c>
      <c r="Z50" s="158">
        <v>2</v>
      </c>
      <c r="AA50" s="158">
        <v>1</v>
      </c>
      <c r="AB50" s="158">
        <v>0</v>
      </c>
      <c r="AC50" s="158">
        <v>0</v>
      </c>
      <c r="AD50" s="158">
        <v>0</v>
      </c>
      <c r="AE50" s="158">
        <v>0</v>
      </c>
      <c r="AF50" s="158">
        <v>2</v>
      </c>
      <c r="AG50" s="158">
        <v>2</v>
      </c>
      <c r="AH50" s="158">
        <v>2</v>
      </c>
      <c r="AI50" s="158">
        <v>2</v>
      </c>
      <c r="AJ50" s="158">
        <v>2</v>
      </c>
      <c r="AK50" s="158">
        <v>2</v>
      </c>
      <c r="AL50" s="158">
        <v>2</v>
      </c>
      <c r="AM50" s="158">
        <v>2</v>
      </c>
    </row>
    <row r="51" spans="2:39" x14ac:dyDescent="0.15">
      <c r="B51" s="106">
        <f t="shared" si="8"/>
        <v>40033</v>
      </c>
      <c r="C51" s="107">
        <f t="shared" si="6"/>
        <v>40039</v>
      </c>
      <c r="D51" s="99">
        <f t="shared" si="5"/>
        <v>40039</v>
      </c>
      <c r="E51" s="91">
        <v>41</v>
      </c>
      <c r="F51" s="101">
        <v>1200</v>
      </c>
      <c r="G51" s="288">
        <f>VLOOKUP($D$5,evap!$B$4:$P$88,MONTH(D51)+2,FALSE)/4*0.7+7</f>
        <v>31.15</v>
      </c>
      <c r="H51" s="98">
        <f t="shared" si="7"/>
        <v>0</v>
      </c>
      <c r="I51" s="98">
        <f>VLOOKUP(MONTH(D51),[0]!rainforpaddy,4)/1000*$E$6*1600*7</f>
        <v>0</v>
      </c>
      <c r="J51">
        <f t="shared" si="3"/>
        <v>4</v>
      </c>
      <c r="K51">
        <f t="shared" si="4"/>
        <v>80</v>
      </c>
      <c r="M51" s="91">
        <v>41</v>
      </c>
      <c r="N51" s="158">
        <v>2</v>
      </c>
      <c r="O51" s="158">
        <v>2</v>
      </c>
      <c r="P51" s="158">
        <v>2</v>
      </c>
      <c r="Q51" s="158">
        <v>2</v>
      </c>
      <c r="R51" s="158">
        <v>2</v>
      </c>
      <c r="S51" s="158">
        <v>2</v>
      </c>
      <c r="T51" s="158">
        <v>2</v>
      </c>
      <c r="U51" s="158">
        <v>2</v>
      </c>
      <c r="V51" s="158">
        <v>2</v>
      </c>
      <c r="W51" s="158">
        <v>2</v>
      </c>
      <c r="X51" s="158">
        <v>2</v>
      </c>
      <c r="Y51" s="158">
        <v>2</v>
      </c>
      <c r="Z51" s="158">
        <v>2</v>
      </c>
      <c r="AA51" s="158">
        <v>2</v>
      </c>
      <c r="AB51" s="158">
        <v>1</v>
      </c>
      <c r="AC51" s="158">
        <v>0</v>
      </c>
      <c r="AD51" s="158">
        <v>0</v>
      </c>
      <c r="AE51" s="158">
        <v>0</v>
      </c>
      <c r="AF51" s="158">
        <v>0</v>
      </c>
      <c r="AG51" s="158">
        <v>2</v>
      </c>
      <c r="AH51" s="158">
        <v>2</v>
      </c>
      <c r="AI51" s="158">
        <v>2</v>
      </c>
      <c r="AJ51" s="158">
        <v>2</v>
      </c>
      <c r="AK51" s="158">
        <v>2</v>
      </c>
      <c r="AL51" s="158">
        <v>2</v>
      </c>
      <c r="AM51" s="158">
        <v>2</v>
      </c>
    </row>
    <row r="52" spans="2:39" x14ac:dyDescent="0.15">
      <c r="B52" s="106">
        <f t="shared" si="8"/>
        <v>40040</v>
      </c>
      <c r="C52" s="107">
        <f t="shared" si="6"/>
        <v>40046</v>
      </c>
      <c r="D52" s="99">
        <f t="shared" si="5"/>
        <v>40046</v>
      </c>
      <c r="E52" s="91">
        <v>42</v>
      </c>
      <c r="F52" s="101">
        <v>1200</v>
      </c>
      <c r="G52" s="288">
        <f>VLOOKUP($D$5,evap!$B$4:$P$88,MONTH(D52)+2,FALSE)/4*0.7+7</f>
        <v>31.15</v>
      </c>
      <c r="H52" s="98">
        <f t="shared" si="7"/>
        <v>0</v>
      </c>
      <c r="I52" s="98">
        <f>VLOOKUP(MONTH(D52),[0]!rainforpaddy,4)/1000*$E$6*1600*7</f>
        <v>0</v>
      </c>
      <c r="J52">
        <f t="shared" si="3"/>
        <v>4</v>
      </c>
      <c r="K52">
        <f t="shared" si="4"/>
        <v>80</v>
      </c>
      <c r="M52" s="91">
        <v>42</v>
      </c>
      <c r="N52" s="158">
        <v>2</v>
      </c>
      <c r="O52" s="158">
        <v>2</v>
      </c>
      <c r="P52" s="158">
        <v>2</v>
      </c>
      <c r="Q52" s="158">
        <v>2</v>
      </c>
      <c r="R52" s="158">
        <v>2</v>
      </c>
      <c r="S52" s="158">
        <v>2</v>
      </c>
      <c r="T52" s="158">
        <v>2</v>
      </c>
      <c r="U52" s="158">
        <v>2</v>
      </c>
      <c r="V52" s="158">
        <v>2</v>
      </c>
      <c r="W52" s="158">
        <v>2</v>
      </c>
      <c r="X52" s="158">
        <v>2</v>
      </c>
      <c r="Y52" s="158">
        <v>2</v>
      </c>
      <c r="Z52" s="158">
        <v>2</v>
      </c>
      <c r="AA52" s="158">
        <v>2</v>
      </c>
      <c r="AB52" s="158">
        <v>2</v>
      </c>
      <c r="AC52" s="158">
        <v>1</v>
      </c>
      <c r="AD52" s="158">
        <v>0</v>
      </c>
      <c r="AE52" s="158">
        <v>0</v>
      </c>
      <c r="AF52" s="158">
        <v>0</v>
      </c>
      <c r="AG52" s="158">
        <v>0</v>
      </c>
      <c r="AH52" s="158">
        <v>2</v>
      </c>
      <c r="AI52" s="158">
        <v>2</v>
      </c>
      <c r="AJ52" s="158">
        <v>2</v>
      </c>
      <c r="AK52" s="158">
        <v>2</v>
      </c>
      <c r="AL52" s="158">
        <v>2</v>
      </c>
      <c r="AM52" s="158">
        <v>2</v>
      </c>
    </row>
    <row r="53" spans="2:39" x14ac:dyDescent="0.15">
      <c r="B53" s="106">
        <f t="shared" si="8"/>
        <v>40047</v>
      </c>
      <c r="C53" s="107">
        <f t="shared" si="6"/>
        <v>40053</v>
      </c>
      <c r="D53" s="99">
        <f t="shared" si="5"/>
        <v>40053</v>
      </c>
      <c r="E53" s="91">
        <v>43</v>
      </c>
      <c r="F53" s="101">
        <v>1200</v>
      </c>
      <c r="G53" s="288">
        <f>VLOOKUP($D$5,evap!$B$4:$P$88,MONTH(D53)+2,FALSE)/4*0.7+7</f>
        <v>31.15</v>
      </c>
      <c r="H53" s="98">
        <f t="shared" si="7"/>
        <v>0</v>
      </c>
      <c r="I53" s="98">
        <f>VLOOKUP(MONTH(D53),[0]!rainforpaddy,4)/1000*$E$6*1600*7</f>
        <v>0</v>
      </c>
      <c r="J53">
        <f t="shared" si="3"/>
        <v>4</v>
      </c>
      <c r="K53">
        <f t="shared" si="4"/>
        <v>80</v>
      </c>
      <c r="M53" s="91">
        <v>43</v>
      </c>
      <c r="N53" s="158">
        <v>2</v>
      </c>
      <c r="O53" s="158">
        <v>2</v>
      </c>
      <c r="P53" s="158">
        <v>2</v>
      </c>
      <c r="Q53" s="158">
        <v>2</v>
      </c>
      <c r="R53" s="158">
        <v>2</v>
      </c>
      <c r="S53" s="158">
        <v>2</v>
      </c>
      <c r="T53" s="158">
        <v>2</v>
      </c>
      <c r="U53" s="158">
        <v>2</v>
      </c>
      <c r="V53" s="158">
        <v>2</v>
      </c>
      <c r="W53" s="158">
        <v>2</v>
      </c>
      <c r="X53" s="158">
        <v>2</v>
      </c>
      <c r="Y53" s="158">
        <v>2</v>
      </c>
      <c r="Z53" s="158">
        <v>2</v>
      </c>
      <c r="AA53" s="158">
        <v>2</v>
      </c>
      <c r="AB53" s="158">
        <v>2</v>
      </c>
      <c r="AC53" s="158">
        <v>2</v>
      </c>
      <c r="AD53" s="158">
        <v>1</v>
      </c>
      <c r="AE53" s="158">
        <v>0</v>
      </c>
      <c r="AF53" s="158">
        <v>0</v>
      </c>
      <c r="AG53" s="158">
        <v>0</v>
      </c>
      <c r="AH53" s="158">
        <v>0</v>
      </c>
      <c r="AI53" s="158">
        <v>2</v>
      </c>
      <c r="AJ53" s="158">
        <v>2</v>
      </c>
      <c r="AK53" s="158">
        <v>2</v>
      </c>
      <c r="AL53" s="158">
        <v>2</v>
      </c>
      <c r="AM53" s="158">
        <v>2</v>
      </c>
    </row>
    <row r="54" spans="2:39" x14ac:dyDescent="0.15">
      <c r="B54" s="106">
        <f t="shared" si="8"/>
        <v>40054</v>
      </c>
      <c r="C54" s="107">
        <f t="shared" si="6"/>
        <v>40060</v>
      </c>
      <c r="D54" s="99">
        <f t="shared" si="5"/>
        <v>40060</v>
      </c>
      <c r="E54" s="91">
        <v>44</v>
      </c>
      <c r="F54" s="101">
        <v>1200</v>
      </c>
      <c r="G54" s="288">
        <f>VLOOKUP($D$5,evap!$B$4:$P$88,MONTH(D54)+2,FALSE)/4*0.7+7</f>
        <v>27.614999999999998</v>
      </c>
      <c r="H54" s="98">
        <f t="shared" si="7"/>
        <v>0</v>
      </c>
      <c r="I54" s="98">
        <f>VLOOKUP(MONTH(D54),[0]!rainforpaddy,4)/1000*$E$6*1600*7</f>
        <v>0</v>
      </c>
      <c r="J54">
        <f t="shared" si="3"/>
        <v>4</v>
      </c>
      <c r="K54">
        <f t="shared" si="4"/>
        <v>80</v>
      </c>
      <c r="M54" s="91">
        <v>44</v>
      </c>
      <c r="N54" s="158">
        <v>2</v>
      </c>
      <c r="O54" s="158">
        <v>2</v>
      </c>
      <c r="P54" s="158">
        <v>2</v>
      </c>
      <c r="Q54" s="158">
        <v>2</v>
      </c>
      <c r="R54" s="158">
        <v>2</v>
      </c>
      <c r="S54" s="158">
        <v>2</v>
      </c>
      <c r="T54" s="158">
        <v>2</v>
      </c>
      <c r="U54" s="158">
        <v>2</v>
      </c>
      <c r="V54" s="158">
        <v>2</v>
      </c>
      <c r="W54" s="158">
        <v>2</v>
      </c>
      <c r="X54" s="158">
        <v>2</v>
      </c>
      <c r="Y54" s="158">
        <v>2</v>
      </c>
      <c r="Z54" s="158">
        <v>2</v>
      </c>
      <c r="AA54" s="158">
        <v>2</v>
      </c>
      <c r="AB54" s="158">
        <v>2</v>
      </c>
      <c r="AC54" s="158">
        <v>2</v>
      </c>
      <c r="AD54" s="158">
        <v>2</v>
      </c>
      <c r="AE54" s="158">
        <v>1</v>
      </c>
      <c r="AF54" s="158">
        <v>0</v>
      </c>
      <c r="AG54" s="158">
        <v>0</v>
      </c>
      <c r="AH54" s="158">
        <v>0</v>
      </c>
      <c r="AI54" s="158">
        <v>0</v>
      </c>
      <c r="AJ54" s="158">
        <v>2</v>
      </c>
      <c r="AK54" s="158">
        <v>2</v>
      </c>
      <c r="AL54" s="158">
        <v>2</v>
      </c>
      <c r="AM54" s="158">
        <v>2</v>
      </c>
    </row>
    <row r="55" spans="2:39" x14ac:dyDescent="0.15">
      <c r="B55" s="106">
        <f t="shared" si="8"/>
        <v>40061</v>
      </c>
      <c r="C55" s="107">
        <f t="shared" si="6"/>
        <v>40067</v>
      </c>
      <c r="D55" s="99">
        <f t="shared" si="5"/>
        <v>40067</v>
      </c>
      <c r="E55" s="91">
        <v>45</v>
      </c>
      <c r="F55" s="101">
        <v>1200</v>
      </c>
      <c r="G55" s="288">
        <f>VLOOKUP($D$5,evap!$B$4:$P$88,MONTH(D55)+2,FALSE)/4*0.7+7</f>
        <v>27.614999999999998</v>
      </c>
      <c r="H55" s="98">
        <f t="shared" si="7"/>
        <v>0</v>
      </c>
      <c r="I55" s="98">
        <f>VLOOKUP(MONTH(D55),[0]!rainforpaddy,4)/1000*$E$6*1600*7</f>
        <v>0</v>
      </c>
      <c r="J55">
        <f t="shared" si="3"/>
        <v>4</v>
      </c>
      <c r="K55">
        <f t="shared" si="4"/>
        <v>80</v>
      </c>
      <c r="M55" s="91">
        <v>45</v>
      </c>
      <c r="N55" s="158">
        <v>2</v>
      </c>
      <c r="O55" s="158">
        <v>2</v>
      </c>
      <c r="P55" s="158">
        <v>2</v>
      </c>
      <c r="Q55" s="158">
        <v>2</v>
      </c>
      <c r="R55" s="158">
        <v>2</v>
      </c>
      <c r="S55" s="158">
        <v>2</v>
      </c>
      <c r="T55" s="158">
        <v>2</v>
      </c>
      <c r="U55" s="158">
        <v>2</v>
      </c>
      <c r="V55" s="158">
        <v>2</v>
      </c>
      <c r="W55" s="158">
        <v>2</v>
      </c>
      <c r="X55" s="158">
        <v>2</v>
      </c>
      <c r="Y55" s="158">
        <v>2</v>
      </c>
      <c r="Z55" s="158">
        <v>2</v>
      </c>
      <c r="AA55" s="158">
        <v>2</v>
      </c>
      <c r="AB55" s="158">
        <v>2</v>
      </c>
      <c r="AC55" s="158">
        <v>2</v>
      </c>
      <c r="AD55" s="158">
        <v>2</v>
      </c>
      <c r="AE55" s="158">
        <v>2</v>
      </c>
      <c r="AF55" s="158">
        <v>1</v>
      </c>
      <c r="AG55" s="158">
        <v>0</v>
      </c>
      <c r="AH55" s="158">
        <v>0</v>
      </c>
      <c r="AI55" s="158">
        <v>0</v>
      </c>
      <c r="AJ55" s="158">
        <v>0</v>
      </c>
      <c r="AK55" s="158">
        <v>2</v>
      </c>
      <c r="AL55" s="158">
        <v>2</v>
      </c>
      <c r="AM55" s="158">
        <v>2</v>
      </c>
    </row>
    <row r="56" spans="2:39" x14ac:dyDescent="0.15">
      <c r="B56" s="106">
        <f t="shared" si="8"/>
        <v>40068</v>
      </c>
      <c r="C56" s="107">
        <f t="shared" si="6"/>
        <v>40074</v>
      </c>
      <c r="D56" s="99">
        <f t="shared" si="5"/>
        <v>40074</v>
      </c>
      <c r="E56" s="91">
        <v>46</v>
      </c>
      <c r="F56" s="101">
        <v>1200</v>
      </c>
      <c r="G56" s="288">
        <f>VLOOKUP($D$5,evap!$B$4:$P$88,MONTH(D56)+2,FALSE)/4*0.7+7</f>
        <v>27.614999999999998</v>
      </c>
      <c r="H56" s="98">
        <f t="shared" si="7"/>
        <v>0</v>
      </c>
      <c r="I56" s="98">
        <f>VLOOKUP(MONTH(D56),[0]!rainforpaddy,4)/1000*$E$6*1600*7</f>
        <v>0</v>
      </c>
      <c r="J56">
        <f t="shared" si="3"/>
        <v>4</v>
      </c>
      <c r="K56">
        <f t="shared" si="4"/>
        <v>80</v>
      </c>
      <c r="M56" s="91">
        <v>46</v>
      </c>
      <c r="N56" s="158">
        <v>2</v>
      </c>
      <c r="O56" s="158">
        <v>2</v>
      </c>
      <c r="P56" s="158">
        <v>2</v>
      </c>
      <c r="Q56" s="158">
        <v>2</v>
      </c>
      <c r="R56" s="158">
        <v>2</v>
      </c>
      <c r="S56" s="158">
        <v>2</v>
      </c>
      <c r="T56" s="158">
        <v>2</v>
      </c>
      <c r="U56" s="158">
        <v>2</v>
      </c>
      <c r="V56" s="158">
        <v>2</v>
      </c>
      <c r="W56" s="158">
        <v>2</v>
      </c>
      <c r="X56" s="158">
        <v>2</v>
      </c>
      <c r="Y56" s="158">
        <v>2</v>
      </c>
      <c r="Z56" s="158">
        <v>2</v>
      </c>
      <c r="AA56" s="158">
        <v>2</v>
      </c>
      <c r="AB56" s="158">
        <v>2</v>
      </c>
      <c r="AC56" s="158">
        <v>2</v>
      </c>
      <c r="AD56" s="158">
        <v>2</v>
      </c>
      <c r="AE56" s="158">
        <v>2</v>
      </c>
      <c r="AF56" s="158">
        <v>2</v>
      </c>
      <c r="AG56" s="158">
        <v>1</v>
      </c>
      <c r="AH56" s="158">
        <v>0</v>
      </c>
      <c r="AI56" s="158">
        <v>0</v>
      </c>
      <c r="AJ56" s="158">
        <v>0</v>
      </c>
      <c r="AK56" s="158">
        <v>0</v>
      </c>
      <c r="AL56" s="158">
        <v>2</v>
      </c>
      <c r="AM56" s="158">
        <v>2</v>
      </c>
    </row>
    <row r="57" spans="2:39" x14ac:dyDescent="0.15">
      <c r="B57" s="106">
        <f t="shared" si="8"/>
        <v>40075</v>
      </c>
      <c r="C57" s="107">
        <f t="shared" si="6"/>
        <v>40081</v>
      </c>
      <c r="D57" s="99">
        <f t="shared" si="5"/>
        <v>40081</v>
      </c>
      <c r="E57" s="91">
        <v>47</v>
      </c>
      <c r="F57" s="101">
        <v>1200</v>
      </c>
      <c r="G57" s="288">
        <f>VLOOKUP($D$5,evap!$B$4:$P$88,MONTH(D57)+2,FALSE)/4*0.7+7</f>
        <v>27.614999999999998</v>
      </c>
      <c r="H57" s="98">
        <f t="shared" si="7"/>
        <v>0</v>
      </c>
      <c r="I57" s="98">
        <f>VLOOKUP(MONTH(D57),[0]!rainforpaddy,4)/1000*$E$6*1600*7</f>
        <v>0</v>
      </c>
      <c r="J57">
        <f t="shared" si="3"/>
        <v>4</v>
      </c>
      <c r="K57">
        <f t="shared" si="4"/>
        <v>80</v>
      </c>
      <c r="M57" s="91">
        <v>47</v>
      </c>
      <c r="N57" s="158">
        <v>2</v>
      </c>
      <c r="O57" s="158">
        <v>2</v>
      </c>
      <c r="P57" s="158">
        <v>2</v>
      </c>
      <c r="Q57" s="158">
        <v>2</v>
      </c>
      <c r="R57" s="158">
        <v>2</v>
      </c>
      <c r="S57" s="158">
        <v>2</v>
      </c>
      <c r="T57" s="158">
        <v>2</v>
      </c>
      <c r="U57" s="158">
        <v>2</v>
      </c>
      <c r="V57" s="158">
        <v>2</v>
      </c>
      <c r="W57" s="158">
        <v>2</v>
      </c>
      <c r="X57" s="158">
        <v>2</v>
      </c>
      <c r="Y57" s="158">
        <v>2</v>
      </c>
      <c r="Z57" s="158">
        <v>2</v>
      </c>
      <c r="AA57" s="158">
        <v>2</v>
      </c>
      <c r="AB57" s="158">
        <v>2</v>
      </c>
      <c r="AC57" s="158">
        <v>2</v>
      </c>
      <c r="AD57" s="158">
        <v>2</v>
      </c>
      <c r="AE57" s="158">
        <v>2</v>
      </c>
      <c r="AF57" s="158">
        <v>2</v>
      </c>
      <c r="AG57" s="158">
        <v>2</v>
      </c>
      <c r="AH57" s="158">
        <v>1</v>
      </c>
      <c r="AI57" s="158">
        <v>0</v>
      </c>
      <c r="AJ57" s="158">
        <v>0</v>
      </c>
      <c r="AK57" s="158">
        <v>0</v>
      </c>
      <c r="AL57" s="158">
        <v>0</v>
      </c>
      <c r="AM57" s="158">
        <v>2</v>
      </c>
    </row>
    <row r="58" spans="2:39" x14ac:dyDescent="0.15">
      <c r="B58" s="106">
        <f t="shared" si="8"/>
        <v>40082</v>
      </c>
      <c r="C58" s="107">
        <f t="shared" si="6"/>
        <v>40088</v>
      </c>
      <c r="D58" s="99">
        <f t="shared" si="5"/>
        <v>40088</v>
      </c>
      <c r="E58" s="91">
        <v>48</v>
      </c>
      <c r="F58" s="101">
        <v>1200</v>
      </c>
      <c r="G58" s="288">
        <f>VLOOKUP($D$5,evap!$B$4:$P$88,MONTH(D58)+2,FALSE)/4*0.7+7</f>
        <v>26.95</v>
      </c>
      <c r="H58" s="98">
        <f t="shared" si="7"/>
        <v>0</v>
      </c>
      <c r="I58" s="98">
        <f>VLOOKUP(MONTH(D58),[0]!rainforpaddy,4)/1000*$E$6*1600*7</f>
        <v>0</v>
      </c>
      <c r="J58">
        <f t="shared" si="3"/>
        <v>4</v>
      </c>
      <c r="K58">
        <f t="shared" si="4"/>
        <v>80</v>
      </c>
      <c r="M58" s="91">
        <v>48</v>
      </c>
      <c r="N58" s="158">
        <v>2</v>
      </c>
      <c r="O58" s="158">
        <v>2</v>
      </c>
      <c r="P58" s="158">
        <v>2</v>
      </c>
      <c r="Q58" s="158">
        <v>2</v>
      </c>
      <c r="R58" s="158">
        <v>2</v>
      </c>
      <c r="S58" s="158">
        <v>2</v>
      </c>
      <c r="T58" s="158">
        <v>2</v>
      </c>
      <c r="U58" s="158">
        <v>2</v>
      </c>
      <c r="V58" s="158">
        <v>2</v>
      </c>
      <c r="W58" s="158">
        <v>2</v>
      </c>
      <c r="X58" s="158">
        <v>2</v>
      </c>
      <c r="Y58" s="158">
        <v>2</v>
      </c>
      <c r="Z58" s="158">
        <v>2</v>
      </c>
      <c r="AA58" s="158">
        <v>2</v>
      </c>
      <c r="AB58" s="158">
        <v>2</v>
      </c>
      <c r="AC58" s="158">
        <v>2</v>
      </c>
      <c r="AD58" s="158">
        <v>2</v>
      </c>
      <c r="AE58" s="158">
        <v>2</v>
      </c>
      <c r="AF58" s="158">
        <v>2</v>
      </c>
      <c r="AG58" s="158">
        <v>2</v>
      </c>
      <c r="AH58" s="158">
        <v>2</v>
      </c>
      <c r="AI58" s="158">
        <v>1</v>
      </c>
      <c r="AJ58" s="158">
        <v>0</v>
      </c>
      <c r="AK58" s="158">
        <v>0</v>
      </c>
      <c r="AL58" s="158">
        <v>0</v>
      </c>
      <c r="AM58" s="158">
        <v>0</v>
      </c>
    </row>
    <row r="59" spans="2:39" x14ac:dyDescent="0.15">
      <c r="B59" s="106">
        <f t="shared" si="8"/>
        <v>40089</v>
      </c>
      <c r="C59" s="107">
        <f t="shared" si="6"/>
        <v>40095</v>
      </c>
      <c r="D59" s="99">
        <f t="shared" si="5"/>
        <v>40095</v>
      </c>
      <c r="E59" s="91">
        <v>49</v>
      </c>
      <c r="F59" s="101">
        <v>1200</v>
      </c>
      <c r="G59" s="288">
        <f>VLOOKUP($D$5,evap!$B$4:$P$88,MONTH(D59)+2,FALSE)/4*0.7+7</f>
        <v>26.95</v>
      </c>
      <c r="H59" s="98">
        <f t="shared" si="7"/>
        <v>0</v>
      </c>
      <c r="I59" s="98">
        <f>VLOOKUP(MONTH(D59),[0]!rainforpaddy,4)/1000*$E$6*1600*7</f>
        <v>0</v>
      </c>
      <c r="J59">
        <f t="shared" si="3"/>
        <v>4</v>
      </c>
      <c r="K59">
        <f t="shared" si="4"/>
        <v>81</v>
      </c>
      <c r="M59" s="91">
        <v>49</v>
      </c>
      <c r="N59" s="158">
        <v>0</v>
      </c>
      <c r="O59" s="158">
        <v>2</v>
      </c>
      <c r="P59" s="158">
        <v>2</v>
      </c>
      <c r="Q59" s="158">
        <v>2</v>
      </c>
      <c r="R59" s="158">
        <v>2</v>
      </c>
      <c r="S59" s="158">
        <v>2</v>
      </c>
      <c r="T59" s="158">
        <v>2</v>
      </c>
      <c r="U59" s="158">
        <v>2</v>
      </c>
      <c r="V59" s="158">
        <v>2</v>
      </c>
      <c r="W59" s="158">
        <v>2</v>
      </c>
      <c r="X59" s="158">
        <v>2</v>
      </c>
      <c r="Y59" s="158">
        <v>2</v>
      </c>
      <c r="Z59" s="158">
        <v>2</v>
      </c>
      <c r="AA59" s="158">
        <v>2</v>
      </c>
      <c r="AB59" s="158">
        <v>2</v>
      </c>
      <c r="AC59" s="158">
        <v>2</v>
      </c>
      <c r="AD59" s="158">
        <v>2</v>
      </c>
      <c r="AE59" s="158">
        <v>2</v>
      </c>
      <c r="AF59" s="158">
        <v>2</v>
      </c>
      <c r="AG59" s="158">
        <v>2</v>
      </c>
      <c r="AH59" s="158">
        <v>2</v>
      </c>
      <c r="AI59" s="158">
        <v>2</v>
      </c>
      <c r="AJ59" s="158">
        <v>1</v>
      </c>
      <c r="AK59" s="158">
        <v>0</v>
      </c>
      <c r="AL59" s="158">
        <v>0</v>
      </c>
      <c r="AM59" s="158">
        <v>0</v>
      </c>
    </row>
    <row r="60" spans="2:39" x14ac:dyDescent="0.15">
      <c r="B60" s="106">
        <f t="shared" si="8"/>
        <v>40096</v>
      </c>
      <c r="C60" s="107">
        <f t="shared" si="6"/>
        <v>40102</v>
      </c>
      <c r="D60" s="99">
        <f t="shared" si="5"/>
        <v>40102</v>
      </c>
      <c r="E60" s="91">
        <v>50</v>
      </c>
      <c r="F60" s="101">
        <v>1200</v>
      </c>
      <c r="G60" s="288">
        <f>VLOOKUP($D$5,evap!$B$4:$P$88,MONTH(D60)+2,FALSE)/4*0.7+7</f>
        <v>26.95</v>
      </c>
      <c r="H60" s="98">
        <f t="shared" si="7"/>
        <v>0</v>
      </c>
      <c r="I60" s="98">
        <f>VLOOKUP(MONTH(D60),[0]!rainforpaddy,4)/1000*$E$6*1600*7</f>
        <v>0</v>
      </c>
      <c r="J60">
        <f t="shared" si="3"/>
        <v>4</v>
      </c>
      <c r="K60">
        <f t="shared" si="4"/>
        <v>82</v>
      </c>
      <c r="M60" s="91">
        <v>50</v>
      </c>
      <c r="N60" s="158">
        <v>0</v>
      </c>
      <c r="O60" s="158">
        <v>0</v>
      </c>
      <c r="P60" s="158">
        <v>2</v>
      </c>
      <c r="Q60" s="158">
        <v>2</v>
      </c>
      <c r="R60" s="158">
        <v>2</v>
      </c>
      <c r="S60" s="158">
        <v>2</v>
      </c>
      <c r="T60" s="158">
        <v>2</v>
      </c>
      <c r="U60" s="158">
        <v>2</v>
      </c>
      <c r="V60" s="158">
        <v>2</v>
      </c>
      <c r="W60" s="158">
        <v>2</v>
      </c>
      <c r="X60" s="158">
        <v>2</v>
      </c>
      <c r="Y60" s="158">
        <v>2</v>
      </c>
      <c r="Z60" s="158">
        <v>2</v>
      </c>
      <c r="AA60" s="158">
        <v>2</v>
      </c>
      <c r="AB60" s="158">
        <v>2</v>
      </c>
      <c r="AC60" s="158">
        <v>2</v>
      </c>
      <c r="AD60" s="158">
        <v>2</v>
      </c>
      <c r="AE60" s="158">
        <v>2</v>
      </c>
      <c r="AF60" s="158">
        <v>2</v>
      </c>
      <c r="AG60" s="158">
        <v>2</v>
      </c>
      <c r="AH60" s="158">
        <v>2</v>
      </c>
      <c r="AI60" s="158">
        <v>2</v>
      </c>
      <c r="AJ60" s="158">
        <v>2</v>
      </c>
      <c r="AK60" s="158">
        <v>1</v>
      </c>
      <c r="AL60" s="158">
        <v>0</v>
      </c>
      <c r="AM60" s="158">
        <v>0</v>
      </c>
    </row>
    <row r="61" spans="2:39" x14ac:dyDescent="0.15">
      <c r="B61" s="106">
        <f t="shared" si="8"/>
        <v>40103</v>
      </c>
      <c r="C61" s="107">
        <f t="shared" si="6"/>
        <v>40109</v>
      </c>
      <c r="D61" s="99">
        <f t="shared" si="5"/>
        <v>40109</v>
      </c>
      <c r="E61" s="91">
        <v>51</v>
      </c>
      <c r="F61" s="101">
        <v>1200</v>
      </c>
      <c r="G61" s="288">
        <f>VLOOKUP($D$5,evap!$B$4:$P$88,MONTH(D61)+2,FALSE)/4*0.7+7</f>
        <v>26.95</v>
      </c>
      <c r="H61" s="98">
        <f t="shared" si="7"/>
        <v>0</v>
      </c>
      <c r="I61" s="98">
        <f>VLOOKUP(MONTH(D61),[0]!rainforpaddy,4)/1000*$E$6*1600*7</f>
        <v>0</v>
      </c>
      <c r="J61">
        <f t="shared" si="3"/>
        <v>4</v>
      </c>
      <c r="K61">
        <f t="shared" si="4"/>
        <v>83</v>
      </c>
      <c r="M61" s="91">
        <v>51</v>
      </c>
      <c r="N61" s="158">
        <v>0</v>
      </c>
      <c r="O61" s="158">
        <v>0</v>
      </c>
      <c r="P61" s="158">
        <v>0</v>
      </c>
      <c r="Q61" s="158">
        <v>2</v>
      </c>
      <c r="R61" s="158">
        <v>2</v>
      </c>
      <c r="S61" s="158">
        <v>2</v>
      </c>
      <c r="T61" s="158">
        <v>2</v>
      </c>
      <c r="U61" s="158">
        <v>2</v>
      </c>
      <c r="V61" s="158">
        <v>2</v>
      </c>
      <c r="W61" s="158">
        <v>2</v>
      </c>
      <c r="X61" s="158">
        <v>2</v>
      </c>
      <c r="Y61" s="158">
        <v>2</v>
      </c>
      <c r="Z61" s="158">
        <v>2</v>
      </c>
      <c r="AA61" s="158">
        <v>2</v>
      </c>
      <c r="AB61" s="158">
        <v>2</v>
      </c>
      <c r="AC61" s="158">
        <v>2</v>
      </c>
      <c r="AD61" s="158">
        <v>2</v>
      </c>
      <c r="AE61" s="158">
        <v>2</v>
      </c>
      <c r="AF61" s="158">
        <v>2</v>
      </c>
      <c r="AG61" s="158">
        <v>2</v>
      </c>
      <c r="AH61" s="158">
        <v>2</v>
      </c>
      <c r="AI61" s="158">
        <v>2</v>
      </c>
      <c r="AJ61" s="158">
        <v>2</v>
      </c>
      <c r="AK61" s="158">
        <v>2</v>
      </c>
      <c r="AL61" s="158">
        <v>1</v>
      </c>
      <c r="AM61" s="158">
        <v>0</v>
      </c>
    </row>
    <row r="62" spans="2:39" x14ac:dyDescent="0.15">
      <c r="B62" s="108">
        <f t="shared" si="8"/>
        <v>40110</v>
      </c>
      <c r="C62" s="109">
        <f t="shared" si="6"/>
        <v>40116</v>
      </c>
      <c r="D62" s="99">
        <f t="shared" si="5"/>
        <v>40116</v>
      </c>
      <c r="E62" s="92">
        <v>52</v>
      </c>
      <c r="F62" s="101">
        <v>1200</v>
      </c>
      <c r="G62" s="289">
        <f>VLOOKUP($D$5,evap!$B$4:$P$88,MONTH(D62)+2,FALSE)/4*0.7+7</f>
        <v>26.95</v>
      </c>
      <c r="H62" s="98">
        <f t="shared" si="7"/>
        <v>0</v>
      </c>
      <c r="I62" s="98">
        <f>VLOOKUP(MONTH(D62),[0]!rainforpaddy,4)/1000*$E$6*1600*7</f>
        <v>0</v>
      </c>
      <c r="J62">
        <f t="shared" si="3"/>
        <v>4</v>
      </c>
      <c r="K62">
        <f t="shared" si="4"/>
        <v>84</v>
      </c>
      <c r="M62" s="92">
        <v>52</v>
      </c>
      <c r="N62" s="158">
        <v>0</v>
      </c>
      <c r="O62" s="158">
        <v>0</v>
      </c>
      <c r="P62" s="158">
        <v>0</v>
      </c>
      <c r="Q62" s="158">
        <v>0</v>
      </c>
      <c r="R62" s="158">
        <v>2</v>
      </c>
      <c r="S62" s="158">
        <v>2</v>
      </c>
      <c r="T62" s="158">
        <v>2</v>
      </c>
      <c r="U62" s="158">
        <v>2</v>
      </c>
      <c r="V62" s="158">
        <v>2</v>
      </c>
      <c r="W62" s="158">
        <v>2</v>
      </c>
      <c r="X62" s="158">
        <v>2</v>
      </c>
      <c r="Y62" s="158">
        <v>2</v>
      </c>
      <c r="Z62" s="158">
        <v>2</v>
      </c>
      <c r="AA62" s="158">
        <v>2</v>
      </c>
      <c r="AB62" s="158">
        <v>2</v>
      </c>
      <c r="AC62" s="158">
        <v>2</v>
      </c>
      <c r="AD62" s="158">
        <v>2</v>
      </c>
      <c r="AE62" s="158">
        <v>2</v>
      </c>
      <c r="AF62" s="158">
        <v>2</v>
      </c>
      <c r="AG62" s="158">
        <v>2</v>
      </c>
      <c r="AH62" s="158">
        <v>2</v>
      </c>
      <c r="AI62" s="158">
        <v>2</v>
      </c>
      <c r="AJ62" s="158">
        <v>2</v>
      </c>
      <c r="AK62" s="158">
        <v>2</v>
      </c>
      <c r="AL62" s="158">
        <v>2</v>
      </c>
      <c r="AM62" s="158">
        <v>1</v>
      </c>
    </row>
    <row r="63" spans="2:39" x14ac:dyDescent="0.15">
      <c r="H63" s="49">
        <f>SUM(H11:H62)</f>
        <v>0</v>
      </c>
      <c r="I63" s="49">
        <f>SUM(I11:I62)</f>
        <v>0</v>
      </c>
    </row>
  </sheetData>
  <sheetProtection password="DD72" sheet="1" objects="1" scenarios="1"/>
  <mergeCells count="2">
    <mergeCell ref="D3:E3"/>
    <mergeCell ref="D5:E5"/>
  </mergeCells>
  <phoneticPr fontId="2" type="noConversion"/>
  <conditionalFormatting sqref="F11:I62">
    <cfRule type="cellIs" dxfId="1" priority="1" stopIfTrue="1" operator="equal">
      <formula>0</formula>
    </cfRule>
  </conditionalFormatting>
  <dataValidations count="2">
    <dataValidation type="list" allowBlank="1" showInputMessage="1" showErrorMessage="1" sqref="E4" xr:uid="{CA857AC1-B084-EB4B-A9EE-313FF98555E3}">
      <formula1>Week</formula1>
    </dataValidation>
    <dataValidation type="list" allowBlank="1" showInputMessage="1" showErrorMessage="1" sqref="D3" xr:uid="{BC8293D3-7832-5544-8484-F3E670926FC2}">
      <formula1>province</formula1>
    </dataValidation>
  </dataValidations>
  <pageMargins left="0.75" right="0.39" top="0.42" bottom="0.46" header="0.24" footer="0.17"/>
  <pageSetup paperSize="9" scale="90" orientation="portrait" horizontalDpi="360" verticalDpi="360"/>
  <headerFooter alignWithMargins="0">
    <oddFooter>&amp;L&amp;Z&amp;F&amp;A&amp;C&amp;P/&amp;N&amp;R&amp;D</oddFooter>
  </headerFooter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A43F-7248-8C4A-A2DE-2254F2763B5E}">
  <sheetPr codeName="Sheet19">
    <tabColor indexed="57"/>
  </sheetPr>
  <dimension ref="B1:K64"/>
  <sheetViews>
    <sheetView showGridLines="0" workbookViewId="0">
      <selection activeCell="D5" sqref="D5:E5"/>
    </sheetView>
  </sheetViews>
  <sheetFormatPr baseColWidth="10" defaultRowHeight="13" x14ac:dyDescent="0.15"/>
  <cols>
    <col min="1" max="1" width="2.6640625" customWidth="1"/>
    <col min="2" max="3" width="8.83203125" customWidth="1"/>
    <col min="4" max="4" width="8" customWidth="1"/>
    <col min="5" max="5" width="6.5" customWidth="1"/>
    <col min="6" max="6" width="8.83203125" customWidth="1"/>
    <col min="7" max="7" width="9.33203125" bestFit="1" customWidth="1"/>
    <col min="8" max="8" width="14" bestFit="1" customWidth="1"/>
    <col min="9" max="256" width="8.83203125" customWidth="1"/>
  </cols>
  <sheetData>
    <row r="1" spans="2:11" ht="16" x14ac:dyDescent="0.2">
      <c r="B1" s="145" t="s">
        <v>389</v>
      </c>
    </row>
    <row r="2" spans="2:11" ht="14" thickBot="1" x14ac:dyDescent="0.2"/>
    <row r="3" spans="2:11" x14ac:dyDescent="0.15">
      <c r="B3" s="127" t="s">
        <v>108</v>
      </c>
      <c r="C3" s="128"/>
      <c r="D3" s="827" t="str">
        <f>+fill_data!C4</f>
        <v>นครราชสีมา</v>
      </c>
      <c r="E3" s="828"/>
      <c r="G3" s="152"/>
    </row>
    <row r="4" spans="2:11" x14ac:dyDescent="0.15">
      <c r="B4" s="130" t="s">
        <v>147</v>
      </c>
      <c r="D4" s="46"/>
      <c r="E4" s="141">
        <v>1</v>
      </c>
    </row>
    <row r="5" spans="2:11" x14ac:dyDescent="0.15">
      <c r="B5" s="132" t="s">
        <v>377</v>
      </c>
      <c r="D5" s="635" t="str">
        <f>VLOOKUP(D3,Prv!$D$3:$E$78,2,FALSE)</f>
        <v>นครราชสีมา</v>
      </c>
      <c r="E5" s="636"/>
    </row>
    <row r="6" spans="2:11" ht="14" thickBot="1" x14ac:dyDescent="0.2">
      <c r="B6" s="136" t="s">
        <v>390</v>
      </c>
      <c r="C6" s="142"/>
      <c r="D6" s="143"/>
      <c r="E6" s="144">
        <f>+fill_data!K54</f>
        <v>0</v>
      </c>
    </row>
    <row r="8" spans="2:11" x14ac:dyDescent="0.15">
      <c r="B8" s="119" t="s">
        <v>352</v>
      </c>
      <c r="C8" s="119" t="s">
        <v>353</v>
      </c>
      <c r="D8" s="119" t="s">
        <v>354</v>
      </c>
      <c r="E8" s="119" t="s">
        <v>355</v>
      </c>
      <c r="F8" s="119" t="s">
        <v>356</v>
      </c>
      <c r="G8" s="119" t="s">
        <v>357</v>
      </c>
      <c r="H8" s="119" t="s">
        <v>423</v>
      </c>
    </row>
    <row r="9" spans="2:11" x14ac:dyDescent="0.15">
      <c r="B9" s="33" t="s">
        <v>163</v>
      </c>
      <c r="C9" s="34"/>
      <c r="D9" s="35" t="s">
        <v>166</v>
      </c>
      <c r="E9" s="35" t="s">
        <v>2</v>
      </c>
      <c r="F9" s="37" t="s">
        <v>384</v>
      </c>
      <c r="G9" s="37"/>
      <c r="H9" s="37" t="s">
        <v>170</v>
      </c>
      <c r="K9" s="37" t="s">
        <v>601</v>
      </c>
    </row>
    <row r="10" spans="2:11" x14ac:dyDescent="0.15">
      <c r="B10" s="38" t="s">
        <v>164</v>
      </c>
      <c r="C10" s="39" t="s">
        <v>165</v>
      </c>
      <c r="D10" s="40"/>
      <c r="E10" s="40"/>
      <c r="F10" s="36" t="s">
        <v>383</v>
      </c>
      <c r="G10" s="36" t="s">
        <v>392</v>
      </c>
      <c r="H10" s="37" t="s">
        <v>172</v>
      </c>
      <c r="K10" s="41" t="s">
        <v>172</v>
      </c>
    </row>
    <row r="11" spans="2:11" x14ac:dyDescent="0.15">
      <c r="B11" s="104">
        <v>39753</v>
      </c>
      <c r="C11" s="105">
        <f t="shared" ref="C11:C42" si="0">B11+6</f>
        <v>39759</v>
      </c>
      <c r="D11" s="153">
        <f>+C11</f>
        <v>39759</v>
      </c>
      <c r="E11" s="90">
        <v>1</v>
      </c>
      <c r="F11" s="98">
        <v>1200</v>
      </c>
      <c r="G11" s="342">
        <f>VLOOKUP($D$5,evap!$B$4:$P$88,MONTH(D11)+2,FALSE)/4*0.7+7</f>
        <v>30.274999999999999</v>
      </c>
      <c r="H11" s="159">
        <f>+(F11*I11+G11*J11)*$E$6/100*1.6</f>
        <v>0</v>
      </c>
      <c r="I11">
        <v>3</v>
      </c>
      <c r="J11">
        <v>97</v>
      </c>
      <c r="K11" s="98">
        <f>VLOOKUP(MONTH(D11),[0]!rainforpaddy,4)/1000*$E$6*1600*7</f>
        <v>0</v>
      </c>
    </row>
    <row r="12" spans="2:11" x14ac:dyDescent="0.15">
      <c r="B12" s="106">
        <f t="shared" ref="B12:B43" si="1">C11+1</f>
        <v>39760</v>
      </c>
      <c r="C12" s="107">
        <f t="shared" si="0"/>
        <v>39766</v>
      </c>
      <c r="D12" s="99">
        <f>+C12</f>
        <v>39766</v>
      </c>
      <c r="E12" s="91">
        <v>2</v>
      </c>
      <c r="F12" s="101">
        <v>1200</v>
      </c>
      <c r="G12" s="343">
        <f>VLOOKUP($D$5,evap!$B$4:$P$88,MONTH(D12)+2,FALSE)/4*0.7+7</f>
        <v>30.274999999999999</v>
      </c>
      <c r="H12" s="160">
        <f t="shared" ref="H12:H62" si="2">+(F12*I12+G12*J12)*$E$6/100*1.6</f>
        <v>0</v>
      </c>
      <c r="I12">
        <v>3</v>
      </c>
      <c r="J12">
        <v>97</v>
      </c>
      <c r="K12" s="98">
        <f>VLOOKUP(MONTH(D12),[0]!rainforpaddy,4)/1000*$E$6*1600*7</f>
        <v>0</v>
      </c>
    </row>
    <row r="13" spans="2:11" x14ac:dyDescent="0.15">
      <c r="B13" s="106">
        <f t="shared" si="1"/>
        <v>39767</v>
      </c>
      <c r="C13" s="107">
        <f t="shared" si="0"/>
        <v>39773</v>
      </c>
      <c r="D13" s="99">
        <f t="shared" ref="D13:D62" si="3">+C13</f>
        <v>39773</v>
      </c>
      <c r="E13" s="91">
        <v>3</v>
      </c>
      <c r="F13" s="101">
        <v>1200</v>
      </c>
      <c r="G13" s="343">
        <f>VLOOKUP($D$5,evap!$B$4:$P$88,MONTH(D13)+2,FALSE)/4*0.7+7</f>
        <v>30.274999999999999</v>
      </c>
      <c r="H13" s="160">
        <f t="shared" si="2"/>
        <v>0</v>
      </c>
      <c r="I13">
        <v>3</v>
      </c>
      <c r="J13">
        <v>97</v>
      </c>
      <c r="K13" s="98">
        <f>VLOOKUP(MONTH(D13),[0]!rainforpaddy,4)/1000*$E$6*1600*7</f>
        <v>0</v>
      </c>
    </row>
    <row r="14" spans="2:11" x14ac:dyDescent="0.15">
      <c r="B14" s="106">
        <f t="shared" si="1"/>
        <v>39774</v>
      </c>
      <c r="C14" s="107">
        <f t="shared" si="0"/>
        <v>39780</v>
      </c>
      <c r="D14" s="99">
        <f t="shared" si="3"/>
        <v>39780</v>
      </c>
      <c r="E14" s="91">
        <v>4</v>
      </c>
      <c r="F14" s="101">
        <v>1200</v>
      </c>
      <c r="G14" s="343">
        <f>VLOOKUP($D$5,evap!$B$4:$P$88,MONTH(D14)+2,FALSE)/4*0.7+7</f>
        <v>30.274999999999999</v>
      </c>
      <c r="H14" s="160">
        <f t="shared" si="2"/>
        <v>0</v>
      </c>
      <c r="I14">
        <v>3</v>
      </c>
      <c r="J14">
        <v>97</v>
      </c>
      <c r="K14" s="98">
        <f>VLOOKUP(MONTH(D14),[0]!rainforpaddy,4)/1000*$E$6*1600*7</f>
        <v>0</v>
      </c>
    </row>
    <row r="15" spans="2:11" x14ac:dyDescent="0.15">
      <c r="B15" s="106">
        <f t="shared" si="1"/>
        <v>39781</v>
      </c>
      <c r="C15" s="107">
        <f t="shared" si="0"/>
        <v>39787</v>
      </c>
      <c r="D15" s="99">
        <f t="shared" si="3"/>
        <v>39787</v>
      </c>
      <c r="E15" s="91">
        <v>5</v>
      </c>
      <c r="F15" s="101">
        <v>1200</v>
      </c>
      <c r="G15" s="343">
        <f>VLOOKUP($D$5,evap!$B$4:$P$88,MONTH(D15)+2,FALSE)/4*0.7+7</f>
        <v>32.182500000000005</v>
      </c>
      <c r="H15" s="160">
        <f t="shared" si="2"/>
        <v>0</v>
      </c>
      <c r="I15">
        <v>4</v>
      </c>
      <c r="J15">
        <v>96</v>
      </c>
      <c r="K15" s="98">
        <f>VLOOKUP(MONTH(D15),[0]!rainforpaddy,4)/1000*$E$6*1600*7</f>
        <v>0</v>
      </c>
    </row>
    <row r="16" spans="2:11" x14ac:dyDescent="0.15">
      <c r="B16" s="106">
        <f t="shared" si="1"/>
        <v>39788</v>
      </c>
      <c r="C16" s="107">
        <f t="shared" si="0"/>
        <v>39794</v>
      </c>
      <c r="D16" s="99">
        <f t="shared" si="3"/>
        <v>39794</v>
      </c>
      <c r="E16" s="91">
        <v>6</v>
      </c>
      <c r="F16" s="101">
        <v>1200</v>
      </c>
      <c r="G16" s="343">
        <f>VLOOKUP($D$5,evap!$B$4:$P$88,MONTH(D16)+2,FALSE)/4*0.7+7</f>
        <v>32.182500000000005</v>
      </c>
      <c r="H16" s="160">
        <f t="shared" si="2"/>
        <v>0</v>
      </c>
      <c r="I16">
        <v>4</v>
      </c>
      <c r="J16">
        <v>96</v>
      </c>
      <c r="K16" s="98">
        <f>VLOOKUP(MONTH(D16),[0]!rainforpaddy,4)/1000*$E$6*1600*7</f>
        <v>0</v>
      </c>
    </row>
    <row r="17" spans="2:11" x14ac:dyDescent="0.15">
      <c r="B17" s="106">
        <f t="shared" si="1"/>
        <v>39795</v>
      </c>
      <c r="C17" s="107">
        <f t="shared" si="0"/>
        <v>39801</v>
      </c>
      <c r="D17" s="99">
        <f t="shared" si="3"/>
        <v>39801</v>
      </c>
      <c r="E17" s="91">
        <v>7</v>
      </c>
      <c r="F17" s="101">
        <v>1200</v>
      </c>
      <c r="G17" s="343">
        <f>VLOOKUP($D$5,evap!$B$4:$P$88,MONTH(D17)+2,FALSE)/4*0.7+7</f>
        <v>32.182500000000005</v>
      </c>
      <c r="H17" s="160">
        <f t="shared" si="2"/>
        <v>0</v>
      </c>
      <c r="I17">
        <v>4</v>
      </c>
      <c r="J17">
        <v>96</v>
      </c>
      <c r="K17" s="98">
        <f>VLOOKUP(MONTH(D17),[0]!rainforpaddy,4)/1000*$E$6*1600*7</f>
        <v>0</v>
      </c>
    </row>
    <row r="18" spans="2:11" x14ac:dyDescent="0.15">
      <c r="B18" s="106">
        <f t="shared" si="1"/>
        <v>39802</v>
      </c>
      <c r="C18" s="107">
        <f t="shared" si="0"/>
        <v>39808</v>
      </c>
      <c r="D18" s="99">
        <f t="shared" si="3"/>
        <v>39808</v>
      </c>
      <c r="E18" s="91">
        <v>8</v>
      </c>
      <c r="F18" s="101">
        <v>1200</v>
      </c>
      <c r="G18" s="343">
        <f>VLOOKUP($D$5,evap!$B$4:$P$88,MONTH(D18)+2,FALSE)/4*0.7+7</f>
        <v>32.182500000000005</v>
      </c>
      <c r="H18" s="160">
        <f t="shared" si="2"/>
        <v>0</v>
      </c>
      <c r="I18">
        <v>4</v>
      </c>
      <c r="J18">
        <v>96</v>
      </c>
      <c r="K18" s="98">
        <f>VLOOKUP(MONTH(D18),[0]!rainforpaddy,4)/1000*$E$6*1600*7</f>
        <v>0</v>
      </c>
    </row>
    <row r="19" spans="2:11" x14ac:dyDescent="0.15">
      <c r="B19" s="106">
        <f t="shared" si="1"/>
        <v>39809</v>
      </c>
      <c r="C19" s="107">
        <f t="shared" si="0"/>
        <v>39815</v>
      </c>
      <c r="D19" s="99">
        <f t="shared" si="3"/>
        <v>39815</v>
      </c>
      <c r="E19" s="91">
        <v>9</v>
      </c>
      <c r="F19" s="101">
        <v>1200</v>
      </c>
      <c r="G19" s="343">
        <f>VLOOKUP($D$5,evap!$B$4:$P$88,MONTH(D19)+2,FALSE)/4*0.7+7</f>
        <v>31.395</v>
      </c>
      <c r="H19" s="160">
        <f t="shared" si="2"/>
        <v>0</v>
      </c>
      <c r="I19">
        <v>4</v>
      </c>
      <c r="J19">
        <v>96</v>
      </c>
      <c r="K19" s="98">
        <f>VLOOKUP(MONTH(D19),[0]!rainforpaddy,4)/1000*$E$6*1600*7</f>
        <v>0</v>
      </c>
    </row>
    <row r="20" spans="2:11" x14ac:dyDescent="0.15">
      <c r="B20" s="106">
        <f t="shared" si="1"/>
        <v>39816</v>
      </c>
      <c r="C20" s="107">
        <f t="shared" si="0"/>
        <v>39822</v>
      </c>
      <c r="D20" s="99">
        <f t="shared" si="3"/>
        <v>39822</v>
      </c>
      <c r="E20" s="91">
        <v>10</v>
      </c>
      <c r="F20" s="101">
        <v>1200</v>
      </c>
      <c r="G20" s="343">
        <f>VLOOKUP($D$5,evap!$B$4:$P$88,MONTH(D20)+2,FALSE)/4*0.7+7</f>
        <v>31.395</v>
      </c>
      <c r="H20" s="160">
        <f t="shared" si="2"/>
        <v>0</v>
      </c>
      <c r="I20">
        <v>4</v>
      </c>
      <c r="J20">
        <v>96</v>
      </c>
      <c r="K20" s="98">
        <f>VLOOKUP(MONTH(D20),[0]!rainforpaddy,4)/1000*$E$6*1600*7</f>
        <v>0</v>
      </c>
    </row>
    <row r="21" spans="2:11" x14ac:dyDescent="0.15">
      <c r="B21" s="106">
        <f t="shared" si="1"/>
        <v>39823</v>
      </c>
      <c r="C21" s="107">
        <f t="shared" si="0"/>
        <v>39829</v>
      </c>
      <c r="D21" s="99">
        <f t="shared" si="3"/>
        <v>39829</v>
      </c>
      <c r="E21" s="91">
        <v>11</v>
      </c>
      <c r="F21" s="101">
        <v>1200</v>
      </c>
      <c r="G21" s="343">
        <f>VLOOKUP($D$5,evap!$B$4:$P$88,MONTH(D21)+2,FALSE)/4*0.7+7</f>
        <v>31.395</v>
      </c>
      <c r="H21" s="160">
        <f t="shared" si="2"/>
        <v>0</v>
      </c>
      <c r="I21">
        <v>4</v>
      </c>
      <c r="J21">
        <v>96</v>
      </c>
      <c r="K21" s="98">
        <f>VLOOKUP(MONTH(D21),[0]!rainforpaddy,4)/1000*$E$6*1600*7</f>
        <v>0</v>
      </c>
    </row>
    <row r="22" spans="2:11" x14ac:dyDescent="0.15">
      <c r="B22" s="106">
        <f t="shared" si="1"/>
        <v>39830</v>
      </c>
      <c r="C22" s="107">
        <f t="shared" si="0"/>
        <v>39836</v>
      </c>
      <c r="D22" s="99">
        <f t="shared" si="3"/>
        <v>39836</v>
      </c>
      <c r="E22" s="91">
        <v>12</v>
      </c>
      <c r="F22" s="101">
        <v>1200</v>
      </c>
      <c r="G22" s="343">
        <f>VLOOKUP($D$5,evap!$B$4:$P$88,MONTH(D22)+2,FALSE)/4*0.7+7</f>
        <v>31.395</v>
      </c>
      <c r="H22" s="160">
        <f t="shared" si="2"/>
        <v>0</v>
      </c>
      <c r="I22">
        <v>4</v>
      </c>
      <c r="J22">
        <v>96</v>
      </c>
      <c r="K22" s="98">
        <f>VLOOKUP(MONTH(D22),[0]!rainforpaddy,4)/1000*$E$6*1600*7</f>
        <v>0</v>
      </c>
    </row>
    <row r="23" spans="2:11" x14ac:dyDescent="0.15">
      <c r="B23" s="106">
        <f t="shared" si="1"/>
        <v>39837</v>
      </c>
      <c r="C23" s="107">
        <f t="shared" si="0"/>
        <v>39843</v>
      </c>
      <c r="D23" s="99">
        <f t="shared" si="3"/>
        <v>39843</v>
      </c>
      <c r="E23" s="91">
        <v>13</v>
      </c>
      <c r="F23" s="101">
        <v>1200</v>
      </c>
      <c r="G23" s="343">
        <f>VLOOKUP($D$5,evap!$B$4:$P$88,MONTH(D23)+2,FALSE)/4*0.7+7</f>
        <v>31.395</v>
      </c>
      <c r="H23" s="160">
        <f t="shared" si="2"/>
        <v>0</v>
      </c>
      <c r="I23">
        <v>4</v>
      </c>
      <c r="J23">
        <v>96</v>
      </c>
      <c r="K23" s="98">
        <f>VLOOKUP(MONTH(D23),[0]!rainforpaddy,4)/1000*$E$6*1600*7</f>
        <v>0</v>
      </c>
    </row>
    <row r="24" spans="2:11" x14ac:dyDescent="0.15">
      <c r="B24" s="106">
        <f t="shared" si="1"/>
        <v>39844</v>
      </c>
      <c r="C24" s="107">
        <f t="shared" si="0"/>
        <v>39850</v>
      </c>
      <c r="D24" s="99">
        <f t="shared" si="3"/>
        <v>39850</v>
      </c>
      <c r="E24" s="91">
        <v>14</v>
      </c>
      <c r="F24" s="101">
        <v>1200</v>
      </c>
      <c r="G24" s="343">
        <f>VLOOKUP($D$5,evap!$B$4:$P$88,MONTH(D24)+2,FALSE)/4*0.7+7</f>
        <v>32.8825</v>
      </c>
      <c r="H24" s="160">
        <f t="shared" si="2"/>
        <v>0</v>
      </c>
      <c r="I24">
        <v>4</v>
      </c>
      <c r="J24">
        <v>96</v>
      </c>
      <c r="K24" s="98">
        <f>VLOOKUP(MONTH(D24),[0]!rainforpaddy,4)/1000*$E$6*1600*7</f>
        <v>0</v>
      </c>
    </row>
    <row r="25" spans="2:11" x14ac:dyDescent="0.15">
      <c r="B25" s="106">
        <f t="shared" si="1"/>
        <v>39851</v>
      </c>
      <c r="C25" s="107">
        <f t="shared" si="0"/>
        <v>39857</v>
      </c>
      <c r="D25" s="99">
        <f t="shared" si="3"/>
        <v>39857</v>
      </c>
      <c r="E25" s="91">
        <v>15</v>
      </c>
      <c r="F25" s="101">
        <v>1200</v>
      </c>
      <c r="G25" s="343">
        <f>VLOOKUP($D$5,evap!$B$4:$P$88,MONTH(D25)+2,FALSE)/4*0.7+7</f>
        <v>32.8825</v>
      </c>
      <c r="H25" s="160">
        <f t="shared" si="2"/>
        <v>0</v>
      </c>
      <c r="I25">
        <v>4</v>
      </c>
      <c r="J25">
        <v>96</v>
      </c>
      <c r="K25" s="98">
        <f>VLOOKUP(MONTH(D25),[0]!rainforpaddy,4)/1000*$E$6*1600*7</f>
        <v>0</v>
      </c>
    </row>
    <row r="26" spans="2:11" x14ac:dyDescent="0.15">
      <c r="B26" s="106">
        <f t="shared" si="1"/>
        <v>39858</v>
      </c>
      <c r="C26" s="107">
        <f t="shared" si="0"/>
        <v>39864</v>
      </c>
      <c r="D26" s="99">
        <f t="shared" si="3"/>
        <v>39864</v>
      </c>
      <c r="E26" s="91">
        <v>16</v>
      </c>
      <c r="F26" s="101">
        <v>1200</v>
      </c>
      <c r="G26" s="343">
        <f>VLOOKUP($D$5,evap!$B$4:$P$88,MONTH(D26)+2,FALSE)/4*0.7+7</f>
        <v>32.8825</v>
      </c>
      <c r="H26" s="160">
        <f t="shared" si="2"/>
        <v>0</v>
      </c>
      <c r="I26">
        <v>4</v>
      </c>
      <c r="J26">
        <v>96</v>
      </c>
      <c r="K26" s="98">
        <f>VLOOKUP(MONTH(D26),[0]!rainforpaddy,4)/1000*$E$6*1600*7</f>
        <v>0</v>
      </c>
    </row>
    <row r="27" spans="2:11" x14ac:dyDescent="0.15">
      <c r="B27" s="106">
        <f t="shared" si="1"/>
        <v>39865</v>
      </c>
      <c r="C27" s="107">
        <f t="shared" si="0"/>
        <v>39871</v>
      </c>
      <c r="D27" s="99">
        <f t="shared" si="3"/>
        <v>39871</v>
      </c>
      <c r="E27" s="91">
        <v>17</v>
      </c>
      <c r="F27" s="101">
        <v>1200</v>
      </c>
      <c r="G27" s="343">
        <f>VLOOKUP($D$5,evap!$B$4:$P$88,MONTH(D27)+2,FALSE)/4*0.7+7</f>
        <v>32.8825</v>
      </c>
      <c r="H27" s="160">
        <f t="shared" si="2"/>
        <v>0</v>
      </c>
      <c r="I27">
        <v>4</v>
      </c>
      <c r="J27">
        <v>96</v>
      </c>
      <c r="K27" s="98">
        <f>VLOOKUP(MONTH(D27),[0]!rainforpaddy,4)/1000*$E$6*1600*7</f>
        <v>0</v>
      </c>
    </row>
    <row r="28" spans="2:11" x14ac:dyDescent="0.15">
      <c r="B28" s="106">
        <f t="shared" si="1"/>
        <v>39872</v>
      </c>
      <c r="C28" s="107">
        <f t="shared" si="0"/>
        <v>39878</v>
      </c>
      <c r="D28" s="99">
        <f t="shared" si="3"/>
        <v>39878</v>
      </c>
      <c r="E28" s="91">
        <v>18</v>
      </c>
      <c r="F28" s="101">
        <v>1200</v>
      </c>
      <c r="G28" s="343">
        <f>VLOOKUP($D$5,evap!$B$4:$P$88,MONTH(D28)+2,FALSE)/4*0.7+7</f>
        <v>36.942499999999995</v>
      </c>
      <c r="H28" s="160">
        <f t="shared" si="2"/>
        <v>0</v>
      </c>
      <c r="I28">
        <v>4</v>
      </c>
      <c r="J28">
        <v>96</v>
      </c>
      <c r="K28" s="98">
        <f>VLOOKUP(MONTH(D28),[0]!rainforpaddy,4)/1000*$E$6*1600*7</f>
        <v>0</v>
      </c>
    </row>
    <row r="29" spans="2:11" x14ac:dyDescent="0.15">
      <c r="B29" s="106">
        <f t="shared" si="1"/>
        <v>39879</v>
      </c>
      <c r="C29" s="107">
        <f t="shared" si="0"/>
        <v>39885</v>
      </c>
      <c r="D29" s="99">
        <f t="shared" si="3"/>
        <v>39885</v>
      </c>
      <c r="E29" s="91">
        <v>19</v>
      </c>
      <c r="F29" s="101">
        <v>1200</v>
      </c>
      <c r="G29" s="343">
        <f>VLOOKUP($D$5,evap!$B$4:$P$88,MONTH(D29)+2,FALSE)/4*0.7+7</f>
        <v>36.942499999999995</v>
      </c>
      <c r="H29" s="160">
        <f t="shared" si="2"/>
        <v>0</v>
      </c>
      <c r="I29">
        <v>4</v>
      </c>
      <c r="J29">
        <v>96</v>
      </c>
      <c r="K29" s="98">
        <f>VLOOKUP(MONTH(D29),[0]!rainforpaddy,4)/1000*$E$6*1600*7</f>
        <v>0</v>
      </c>
    </row>
    <row r="30" spans="2:11" x14ac:dyDescent="0.15">
      <c r="B30" s="106">
        <f t="shared" si="1"/>
        <v>39886</v>
      </c>
      <c r="C30" s="107">
        <f t="shared" si="0"/>
        <v>39892</v>
      </c>
      <c r="D30" s="99">
        <f t="shared" si="3"/>
        <v>39892</v>
      </c>
      <c r="E30" s="91">
        <v>20</v>
      </c>
      <c r="F30" s="101">
        <v>1200</v>
      </c>
      <c r="G30" s="343">
        <f>VLOOKUP($D$5,evap!$B$4:$P$88,MONTH(D30)+2,FALSE)/4*0.7+7</f>
        <v>36.942499999999995</v>
      </c>
      <c r="H30" s="160">
        <f t="shared" si="2"/>
        <v>0</v>
      </c>
      <c r="I30">
        <v>4</v>
      </c>
      <c r="J30">
        <v>96</v>
      </c>
      <c r="K30" s="98">
        <f>VLOOKUP(MONTH(D30),[0]!rainforpaddy,4)/1000*$E$6*1600*7</f>
        <v>0</v>
      </c>
    </row>
    <row r="31" spans="2:11" x14ac:dyDescent="0.15">
      <c r="B31" s="106">
        <f t="shared" si="1"/>
        <v>39893</v>
      </c>
      <c r="C31" s="107">
        <f t="shared" si="0"/>
        <v>39899</v>
      </c>
      <c r="D31" s="99">
        <f t="shared" si="3"/>
        <v>39899</v>
      </c>
      <c r="E31" s="91">
        <v>21</v>
      </c>
      <c r="F31" s="101">
        <v>1200</v>
      </c>
      <c r="G31" s="343">
        <f>VLOOKUP($D$5,evap!$B$4:$P$88,MONTH(D31)+2,FALSE)/4*0.7+7</f>
        <v>36.942499999999995</v>
      </c>
      <c r="H31" s="160">
        <f t="shared" si="2"/>
        <v>0</v>
      </c>
      <c r="I31">
        <v>4</v>
      </c>
      <c r="J31">
        <v>96</v>
      </c>
      <c r="K31" s="98">
        <f>VLOOKUP(MONTH(D31),[0]!rainforpaddy,4)/1000*$E$6*1600*7</f>
        <v>0</v>
      </c>
    </row>
    <row r="32" spans="2:11" x14ac:dyDescent="0.15">
      <c r="B32" s="106">
        <f t="shared" si="1"/>
        <v>39900</v>
      </c>
      <c r="C32" s="107">
        <f t="shared" si="0"/>
        <v>39906</v>
      </c>
      <c r="D32" s="99">
        <f t="shared" si="3"/>
        <v>39906</v>
      </c>
      <c r="E32" s="91">
        <v>22</v>
      </c>
      <c r="F32" s="101">
        <v>1200</v>
      </c>
      <c r="G32" s="343">
        <f>VLOOKUP($D$5,evap!$B$4:$P$88,MONTH(D32)+2,FALSE)/4*0.7+7</f>
        <v>38.097499999999997</v>
      </c>
      <c r="H32" s="160">
        <f t="shared" si="2"/>
        <v>0</v>
      </c>
      <c r="I32">
        <v>4</v>
      </c>
      <c r="J32">
        <v>96</v>
      </c>
      <c r="K32" s="98">
        <f>VLOOKUP(MONTH(D32),[0]!rainforpaddy,4)/1000*$E$6*1600*7</f>
        <v>0</v>
      </c>
    </row>
    <row r="33" spans="2:11" x14ac:dyDescent="0.15">
      <c r="B33" s="106">
        <f t="shared" si="1"/>
        <v>39907</v>
      </c>
      <c r="C33" s="107">
        <f t="shared" si="0"/>
        <v>39913</v>
      </c>
      <c r="D33" s="99">
        <f t="shared" si="3"/>
        <v>39913</v>
      </c>
      <c r="E33" s="91">
        <v>23</v>
      </c>
      <c r="F33" s="101">
        <v>1200</v>
      </c>
      <c r="G33" s="343">
        <f>VLOOKUP($D$5,evap!$B$4:$P$88,MONTH(D33)+2,FALSE)/4*0.7+7</f>
        <v>38.097499999999997</v>
      </c>
      <c r="H33" s="160">
        <f t="shared" si="2"/>
        <v>0</v>
      </c>
      <c r="I33">
        <v>4</v>
      </c>
      <c r="J33">
        <v>96</v>
      </c>
      <c r="K33" s="98">
        <f>VLOOKUP(MONTH(D33),[0]!rainforpaddy,4)/1000*$E$6*1600*7</f>
        <v>0</v>
      </c>
    </row>
    <row r="34" spans="2:11" x14ac:dyDescent="0.15">
      <c r="B34" s="106">
        <f t="shared" si="1"/>
        <v>39914</v>
      </c>
      <c r="C34" s="107">
        <f t="shared" si="0"/>
        <v>39920</v>
      </c>
      <c r="D34" s="99">
        <f t="shared" si="3"/>
        <v>39920</v>
      </c>
      <c r="E34" s="91">
        <v>24</v>
      </c>
      <c r="F34" s="101">
        <v>1200</v>
      </c>
      <c r="G34" s="343">
        <f>VLOOKUP($D$5,evap!$B$4:$P$88,MONTH(D34)+2,FALSE)/4*0.7+7</f>
        <v>38.097499999999997</v>
      </c>
      <c r="H34" s="160">
        <f t="shared" si="2"/>
        <v>0</v>
      </c>
      <c r="I34">
        <v>4</v>
      </c>
      <c r="J34">
        <v>96</v>
      </c>
      <c r="K34" s="98">
        <f>VLOOKUP(MONTH(D34),[0]!rainforpaddy,4)/1000*$E$6*1600*7</f>
        <v>0</v>
      </c>
    </row>
    <row r="35" spans="2:11" x14ac:dyDescent="0.15">
      <c r="B35" s="106">
        <f t="shared" si="1"/>
        <v>39921</v>
      </c>
      <c r="C35" s="107">
        <f t="shared" si="0"/>
        <v>39927</v>
      </c>
      <c r="D35" s="99">
        <f t="shared" si="3"/>
        <v>39927</v>
      </c>
      <c r="E35" s="91">
        <v>25</v>
      </c>
      <c r="F35" s="101">
        <v>1200</v>
      </c>
      <c r="G35" s="343">
        <f>VLOOKUP($D$5,evap!$B$4:$P$88,MONTH(D35)+2,FALSE)/4*0.7+7</f>
        <v>38.097499999999997</v>
      </c>
      <c r="H35" s="160">
        <f t="shared" si="2"/>
        <v>0</v>
      </c>
      <c r="I35">
        <v>4</v>
      </c>
      <c r="J35">
        <v>96</v>
      </c>
      <c r="K35" s="98">
        <f>VLOOKUP(MONTH(D35),[0]!rainforpaddy,4)/1000*$E$6*1600*7</f>
        <v>0</v>
      </c>
    </row>
    <row r="36" spans="2:11" x14ac:dyDescent="0.15">
      <c r="B36" s="106">
        <f t="shared" si="1"/>
        <v>39928</v>
      </c>
      <c r="C36" s="107">
        <f t="shared" si="0"/>
        <v>39934</v>
      </c>
      <c r="D36" s="99">
        <f t="shared" si="3"/>
        <v>39934</v>
      </c>
      <c r="E36" s="91">
        <v>26</v>
      </c>
      <c r="F36" s="101">
        <v>1200</v>
      </c>
      <c r="G36" s="343">
        <f>VLOOKUP($D$5,evap!$B$4:$P$88,MONTH(D36)+2,FALSE)/4*0.7+7</f>
        <v>34.247499999999995</v>
      </c>
      <c r="H36" s="160">
        <f t="shared" si="2"/>
        <v>0</v>
      </c>
      <c r="I36">
        <v>4</v>
      </c>
      <c r="J36">
        <v>96</v>
      </c>
      <c r="K36" s="98">
        <f>VLOOKUP(MONTH(D36),[0]!rainforpaddy,4)/1000*$E$6*1600*7</f>
        <v>0</v>
      </c>
    </row>
    <row r="37" spans="2:11" x14ac:dyDescent="0.15">
      <c r="B37" s="106">
        <f t="shared" si="1"/>
        <v>39935</v>
      </c>
      <c r="C37" s="107">
        <f t="shared" si="0"/>
        <v>39941</v>
      </c>
      <c r="D37" s="99">
        <f t="shared" si="3"/>
        <v>39941</v>
      </c>
      <c r="E37" s="91">
        <v>27</v>
      </c>
      <c r="F37" s="101">
        <v>1200</v>
      </c>
      <c r="G37" s="343">
        <f>VLOOKUP($D$5,evap!$B$4:$P$88,MONTH(D37)+2,FALSE)/4*0.7+7</f>
        <v>34.247499999999995</v>
      </c>
      <c r="H37" s="160">
        <f t="shared" si="2"/>
        <v>0</v>
      </c>
      <c r="I37">
        <v>3</v>
      </c>
      <c r="J37">
        <v>97</v>
      </c>
      <c r="K37" s="98">
        <f>VLOOKUP(MONTH(D37),[0]!rainforpaddy,4)/1000*$E$6*1600*7</f>
        <v>0</v>
      </c>
    </row>
    <row r="38" spans="2:11" x14ac:dyDescent="0.15">
      <c r="B38" s="106">
        <f t="shared" si="1"/>
        <v>39942</v>
      </c>
      <c r="C38" s="107">
        <f t="shared" si="0"/>
        <v>39948</v>
      </c>
      <c r="D38" s="99">
        <f t="shared" si="3"/>
        <v>39948</v>
      </c>
      <c r="E38" s="91">
        <v>28</v>
      </c>
      <c r="F38" s="101">
        <v>1200</v>
      </c>
      <c r="G38" s="343">
        <f>VLOOKUP($D$5,evap!$B$4:$P$88,MONTH(D38)+2,FALSE)/4*0.7+7</f>
        <v>34.247499999999995</v>
      </c>
      <c r="H38" s="160">
        <f t="shared" si="2"/>
        <v>0</v>
      </c>
      <c r="I38">
        <v>3</v>
      </c>
      <c r="J38">
        <v>97</v>
      </c>
      <c r="K38" s="98">
        <f>VLOOKUP(MONTH(D38),[0]!rainforpaddy,4)/1000*$E$6*1600*7</f>
        <v>0</v>
      </c>
    </row>
    <row r="39" spans="2:11" x14ac:dyDescent="0.15">
      <c r="B39" s="106">
        <f t="shared" si="1"/>
        <v>39949</v>
      </c>
      <c r="C39" s="107">
        <f t="shared" si="0"/>
        <v>39955</v>
      </c>
      <c r="D39" s="99">
        <f t="shared" si="3"/>
        <v>39955</v>
      </c>
      <c r="E39" s="91">
        <v>29</v>
      </c>
      <c r="F39" s="101">
        <v>1200</v>
      </c>
      <c r="G39" s="343">
        <f>VLOOKUP($D$5,evap!$B$4:$P$88,MONTH(D39)+2,FALSE)/4*0.7+7</f>
        <v>34.247499999999995</v>
      </c>
      <c r="H39" s="160">
        <f t="shared" si="2"/>
        <v>0</v>
      </c>
      <c r="I39">
        <v>3</v>
      </c>
      <c r="J39">
        <v>97</v>
      </c>
      <c r="K39" s="98">
        <f>VLOOKUP(MONTH(D39),[0]!rainforpaddy,4)/1000*$E$6*1600*7</f>
        <v>0</v>
      </c>
    </row>
    <row r="40" spans="2:11" x14ac:dyDescent="0.15">
      <c r="B40" s="106">
        <f t="shared" si="1"/>
        <v>39956</v>
      </c>
      <c r="C40" s="107">
        <f t="shared" si="0"/>
        <v>39962</v>
      </c>
      <c r="D40" s="99">
        <f t="shared" si="3"/>
        <v>39962</v>
      </c>
      <c r="E40" s="91">
        <v>30</v>
      </c>
      <c r="F40" s="101">
        <v>1200</v>
      </c>
      <c r="G40" s="343">
        <f>VLOOKUP($D$5,evap!$B$4:$P$88,MONTH(D40)+2,FALSE)/4*0.7+7</f>
        <v>34.247499999999995</v>
      </c>
      <c r="H40" s="160">
        <f t="shared" si="2"/>
        <v>0</v>
      </c>
      <c r="I40">
        <v>3</v>
      </c>
      <c r="J40">
        <v>97</v>
      </c>
      <c r="K40" s="98">
        <f>VLOOKUP(MONTH(D40),[0]!rainforpaddy,4)/1000*$E$6*1600*7</f>
        <v>0</v>
      </c>
    </row>
    <row r="41" spans="2:11" x14ac:dyDescent="0.15">
      <c r="B41" s="106">
        <f t="shared" si="1"/>
        <v>39963</v>
      </c>
      <c r="C41" s="107">
        <f t="shared" si="0"/>
        <v>39969</v>
      </c>
      <c r="D41" s="99">
        <f t="shared" si="3"/>
        <v>39969</v>
      </c>
      <c r="E41" s="91">
        <v>31</v>
      </c>
      <c r="F41" s="101">
        <v>1200</v>
      </c>
      <c r="G41" s="343">
        <f>VLOOKUP($D$5,evap!$B$4:$P$88,MONTH(D41)+2,FALSE)/4*0.7+7</f>
        <v>34.019999999999996</v>
      </c>
      <c r="H41" s="160">
        <f t="shared" si="2"/>
        <v>0</v>
      </c>
      <c r="I41">
        <v>4</v>
      </c>
      <c r="J41">
        <v>96</v>
      </c>
      <c r="K41" s="98">
        <f>VLOOKUP(MONTH(D41),[0]!rainforpaddy,4)/1000*$E$6*1600*7</f>
        <v>0</v>
      </c>
    </row>
    <row r="42" spans="2:11" x14ac:dyDescent="0.15">
      <c r="B42" s="106">
        <f t="shared" si="1"/>
        <v>39970</v>
      </c>
      <c r="C42" s="107">
        <f t="shared" si="0"/>
        <v>39976</v>
      </c>
      <c r="D42" s="99">
        <f t="shared" si="3"/>
        <v>39976</v>
      </c>
      <c r="E42" s="91">
        <v>32</v>
      </c>
      <c r="F42" s="101">
        <v>1200</v>
      </c>
      <c r="G42" s="343">
        <f>VLOOKUP($D$5,evap!$B$4:$P$88,MONTH(D42)+2,FALSE)/4*0.7+7</f>
        <v>34.019999999999996</v>
      </c>
      <c r="H42" s="160">
        <f t="shared" si="2"/>
        <v>0</v>
      </c>
      <c r="I42">
        <v>4</v>
      </c>
      <c r="J42">
        <v>96</v>
      </c>
      <c r="K42" s="98">
        <f>VLOOKUP(MONTH(D42),[0]!rainforpaddy,4)/1000*$E$6*1600*7</f>
        <v>0</v>
      </c>
    </row>
    <row r="43" spans="2:11" x14ac:dyDescent="0.15">
      <c r="B43" s="106">
        <f t="shared" si="1"/>
        <v>39977</v>
      </c>
      <c r="C43" s="107">
        <f t="shared" ref="C43:C62" si="4">B43+6</f>
        <v>39983</v>
      </c>
      <c r="D43" s="99">
        <f t="shared" si="3"/>
        <v>39983</v>
      </c>
      <c r="E43" s="91">
        <v>33</v>
      </c>
      <c r="F43" s="101">
        <v>1200</v>
      </c>
      <c r="G43" s="343">
        <f>VLOOKUP($D$5,evap!$B$4:$P$88,MONTH(D43)+2,FALSE)/4*0.7+7</f>
        <v>34.019999999999996</v>
      </c>
      <c r="H43" s="160">
        <f t="shared" si="2"/>
        <v>0</v>
      </c>
      <c r="I43">
        <v>4</v>
      </c>
      <c r="J43">
        <v>96</v>
      </c>
      <c r="K43" s="98">
        <f>VLOOKUP(MONTH(D43),[0]!rainforpaddy,4)/1000*$E$6*1600*7</f>
        <v>0</v>
      </c>
    </row>
    <row r="44" spans="2:11" x14ac:dyDescent="0.15">
      <c r="B44" s="106">
        <f t="shared" ref="B44:B62" si="5">C43+1</f>
        <v>39984</v>
      </c>
      <c r="C44" s="107">
        <f t="shared" si="4"/>
        <v>39990</v>
      </c>
      <c r="D44" s="99">
        <f t="shared" si="3"/>
        <v>39990</v>
      </c>
      <c r="E44" s="91">
        <v>34</v>
      </c>
      <c r="F44" s="101">
        <v>1200</v>
      </c>
      <c r="G44" s="343">
        <f>VLOOKUP($D$5,evap!$B$4:$P$88,MONTH(D44)+2,FALSE)/4*0.7+7</f>
        <v>34.019999999999996</v>
      </c>
      <c r="H44" s="160">
        <f t="shared" si="2"/>
        <v>0</v>
      </c>
      <c r="I44">
        <v>4</v>
      </c>
      <c r="J44">
        <v>96</v>
      </c>
      <c r="K44" s="98">
        <f>VLOOKUP(MONTH(D44),[0]!rainforpaddy,4)/1000*$E$6*1600*7</f>
        <v>0</v>
      </c>
    </row>
    <row r="45" spans="2:11" x14ac:dyDescent="0.15">
      <c r="B45" s="106">
        <f t="shared" si="5"/>
        <v>39991</v>
      </c>
      <c r="C45" s="107">
        <f t="shared" si="4"/>
        <v>39997</v>
      </c>
      <c r="D45" s="99">
        <f t="shared" si="3"/>
        <v>39997</v>
      </c>
      <c r="E45" s="91">
        <v>35</v>
      </c>
      <c r="F45" s="101">
        <v>1200</v>
      </c>
      <c r="G45" s="343">
        <f>VLOOKUP($D$5,evap!$B$4:$P$88,MONTH(D45)+2,FALSE)/4*0.7+7</f>
        <v>33.74</v>
      </c>
      <c r="H45" s="160">
        <f t="shared" si="2"/>
        <v>0</v>
      </c>
      <c r="I45">
        <v>4</v>
      </c>
      <c r="J45">
        <v>96</v>
      </c>
      <c r="K45" s="98">
        <f>VLOOKUP(MONTH(D45),[0]!rainforpaddy,4)/1000*$E$6*1600*7</f>
        <v>0</v>
      </c>
    </row>
    <row r="46" spans="2:11" x14ac:dyDescent="0.15">
      <c r="B46" s="106">
        <f t="shared" si="5"/>
        <v>39998</v>
      </c>
      <c r="C46" s="107">
        <f t="shared" si="4"/>
        <v>40004</v>
      </c>
      <c r="D46" s="99">
        <f t="shared" si="3"/>
        <v>40004</v>
      </c>
      <c r="E46" s="91">
        <v>36</v>
      </c>
      <c r="F46" s="101">
        <v>1200</v>
      </c>
      <c r="G46" s="343">
        <f>VLOOKUP($D$5,evap!$B$4:$P$88,MONTH(D46)+2,FALSE)/4*0.7+7</f>
        <v>33.74</v>
      </c>
      <c r="H46" s="160">
        <f t="shared" si="2"/>
        <v>0</v>
      </c>
      <c r="I46">
        <v>4</v>
      </c>
      <c r="J46">
        <v>96</v>
      </c>
      <c r="K46" s="98">
        <f>VLOOKUP(MONTH(D46),[0]!rainforpaddy,4)/1000*$E$6*1600*7</f>
        <v>0</v>
      </c>
    </row>
    <row r="47" spans="2:11" x14ac:dyDescent="0.15">
      <c r="B47" s="106">
        <f t="shared" si="5"/>
        <v>40005</v>
      </c>
      <c r="C47" s="107">
        <f t="shared" si="4"/>
        <v>40011</v>
      </c>
      <c r="D47" s="99">
        <f t="shared" si="3"/>
        <v>40011</v>
      </c>
      <c r="E47" s="91">
        <v>37</v>
      </c>
      <c r="F47" s="101">
        <v>1200</v>
      </c>
      <c r="G47" s="343">
        <f>VLOOKUP($D$5,evap!$B$4:$P$88,MONTH(D47)+2,FALSE)/4*0.7+7</f>
        <v>33.74</v>
      </c>
      <c r="H47" s="160">
        <f t="shared" si="2"/>
        <v>0</v>
      </c>
      <c r="I47">
        <v>4</v>
      </c>
      <c r="J47">
        <v>96</v>
      </c>
      <c r="K47" s="98">
        <f>VLOOKUP(MONTH(D47),[0]!rainforpaddy,4)/1000*$E$6*1600*7</f>
        <v>0</v>
      </c>
    </row>
    <row r="48" spans="2:11" x14ac:dyDescent="0.15">
      <c r="B48" s="106">
        <f t="shared" si="5"/>
        <v>40012</v>
      </c>
      <c r="C48" s="107">
        <f t="shared" si="4"/>
        <v>40018</v>
      </c>
      <c r="D48" s="99">
        <f t="shared" si="3"/>
        <v>40018</v>
      </c>
      <c r="E48" s="91">
        <v>38</v>
      </c>
      <c r="F48" s="101">
        <v>1200</v>
      </c>
      <c r="G48" s="343">
        <f>VLOOKUP($D$5,evap!$B$4:$P$88,MONTH(D48)+2,FALSE)/4*0.7+7</f>
        <v>33.74</v>
      </c>
      <c r="H48" s="160">
        <f t="shared" si="2"/>
        <v>0</v>
      </c>
      <c r="I48">
        <v>4</v>
      </c>
      <c r="J48">
        <v>96</v>
      </c>
      <c r="K48" s="98">
        <f>VLOOKUP(MONTH(D48),[0]!rainforpaddy,4)/1000*$E$6*1600*7</f>
        <v>0</v>
      </c>
    </row>
    <row r="49" spans="2:11" x14ac:dyDescent="0.15">
      <c r="B49" s="106">
        <f t="shared" si="5"/>
        <v>40019</v>
      </c>
      <c r="C49" s="107">
        <f t="shared" si="4"/>
        <v>40025</v>
      </c>
      <c r="D49" s="99">
        <f t="shared" si="3"/>
        <v>40025</v>
      </c>
      <c r="E49" s="91">
        <v>39</v>
      </c>
      <c r="F49" s="101">
        <v>1200</v>
      </c>
      <c r="G49" s="343">
        <f>VLOOKUP($D$5,evap!$B$4:$P$88,MONTH(D49)+2,FALSE)/4*0.7+7</f>
        <v>33.74</v>
      </c>
      <c r="H49" s="160">
        <f t="shared" si="2"/>
        <v>0</v>
      </c>
      <c r="I49">
        <v>4</v>
      </c>
      <c r="J49">
        <v>96</v>
      </c>
      <c r="K49" s="98">
        <f>VLOOKUP(MONTH(D49),[0]!rainforpaddy,4)/1000*$E$6*1600*7</f>
        <v>0</v>
      </c>
    </row>
    <row r="50" spans="2:11" x14ac:dyDescent="0.15">
      <c r="B50" s="106">
        <f t="shared" si="5"/>
        <v>40026</v>
      </c>
      <c r="C50" s="107">
        <f t="shared" si="4"/>
        <v>40032</v>
      </c>
      <c r="D50" s="99">
        <f t="shared" si="3"/>
        <v>40032</v>
      </c>
      <c r="E50" s="91">
        <v>40</v>
      </c>
      <c r="F50" s="101">
        <v>1200</v>
      </c>
      <c r="G50" s="343">
        <f>VLOOKUP($D$5,evap!$B$4:$P$88,MONTH(D50)+2,FALSE)/4*0.7+7</f>
        <v>31.15</v>
      </c>
      <c r="H50" s="161">
        <f t="shared" si="2"/>
        <v>0</v>
      </c>
      <c r="I50">
        <v>4</v>
      </c>
      <c r="J50">
        <v>96</v>
      </c>
      <c r="K50" s="98">
        <f>VLOOKUP(MONTH(D50),[0]!rainforpaddy,4)/1000*$E$6*1600*7</f>
        <v>0</v>
      </c>
    </row>
    <row r="51" spans="2:11" x14ac:dyDescent="0.15">
      <c r="B51" s="106">
        <f t="shared" si="5"/>
        <v>40033</v>
      </c>
      <c r="C51" s="107">
        <f t="shared" si="4"/>
        <v>40039</v>
      </c>
      <c r="D51" s="99">
        <f t="shared" si="3"/>
        <v>40039</v>
      </c>
      <c r="E51" s="91">
        <v>41</v>
      </c>
      <c r="F51" s="101">
        <v>1200</v>
      </c>
      <c r="G51" s="343">
        <f>VLOOKUP($D$5,evap!$B$4:$P$88,MONTH(D51)+2,FALSE)/4*0.7+7</f>
        <v>31.15</v>
      </c>
      <c r="H51" s="161">
        <f t="shared" si="2"/>
        <v>0</v>
      </c>
      <c r="I51">
        <v>4</v>
      </c>
      <c r="J51">
        <v>96</v>
      </c>
      <c r="K51" s="98">
        <f>VLOOKUP(MONTH(D51),[0]!rainforpaddy,4)/1000*$E$6*1600*7</f>
        <v>0</v>
      </c>
    </row>
    <row r="52" spans="2:11" x14ac:dyDescent="0.15">
      <c r="B52" s="106">
        <f t="shared" si="5"/>
        <v>40040</v>
      </c>
      <c r="C52" s="107">
        <f t="shared" si="4"/>
        <v>40046</v>
      </c>
      <c r="D52" s="99">
        <f t="shared" si="3"/>
        <v>40046</v>
      </c>
      <c r="E52" s="91">
        <v>42</v>
      </c>
      <c r="F52" s="101">
        <v>1200</v>
      </c>
      <c r="G52" s="343">
        <f>VLOOKUP($D$5,evap!$B$4:$P$88,MONTH(D52)+2,FALSE)/4*0.7+7</f>
        <v>31.15</v>
      </c>
      <c r="H52" s="161">
        <f t="shared" si="2"/>
        <v>0</v>
      </c>
      <c r="I52">
        <v>4</v>
      </c>
      <c r="J52">
        <v>96</v>
      </c>
      <c r="K52" s="98">
        <f>VLOOKUP(MONTH(D52),[0]!rainforpaddy,4)/1000*$E$6*1600*7</f>
        <v>0</v>
      </c>
    </row>
    <row r="53" spans="2:11" x14ac:dyDescent="0.15">
      <c r="B53" s="106">
        <f t="shared" si="5"/>
        <v>40047</v>
      </c>
      <c r="C53" s="107">
        <f t="shared" si="4"/>
        <v>40053</v>
      </c>
      <c r="D53" s="99">
        <f t="shared" si="3"/>
        <v>40053</v>
      </c>
      <c r="E53" s="91">
        <v>43</v>
      </c>
      <c r="F53" s="101">
        <v>1200</v>
      </c>
      <c r="G53" s="343">
        <f>VLOOKUP($D$5,evap!$B$4:$P$88,MONTH(D53)+2,FALSE)/4*0.7+7</f>
        <v>31.15</v>
      </c>
      <c r="H53" s="161">
        <f t="shared" si="2"/>
        <v>0</v>
      </c>
      <c r="I53">
        <v>4</v>
      </c>
      <c r="J53">
        <v>96</v>
      </c>
      <c r="K53" s="98">
        <f>VLOOKUP(MONTH(D53),[0]!rainforpaddy,4)/1000*$E$6*1600*7</f>
        <v>0</v>
      </c>
    </row>
    <row r="54" spans="2:11" x14ac:dyDescent="0.15">
      <c r="B54" s="106">
        <f t="shared" si="5"/>
        <v>40054</v>
      </c>
      <c r="C54" s="107">
        <f t="shared" si="4"/>
        <v>40060</v>
      </c>
      <c r="D54" s="99">
        <f t="shared" si="3"/>
        <v>40060</v>
      </c>
      <c r="E54" s="91">
        <v>44</v>
      </c>
      <c r="F54" s="101">
        <v>1200</v>
      </c>
      <c r="G54" s="343">
        <f>VLOOKUP($D$5,evap!$B$4:$P$88,MONTH(D54)+2,FALSE)/4*0.7+7</f>
        <v>27.614999999999998</v>
      </c>
      <c r="H54" s="161">
        <f t="shared" si="2"/>
        <v>0</v>
      </c>
      <c r="I54">
        <v>4</v>
      </c>
      <c r="J54">
        <v>96</v>
      </c>
      <c r="K54" s="98">
        <f>VLOOKUP(MONTH(D54),[0]!rainforpaddy,4)/1000*$E$6*1600*7</f>
        <v>0</v>
      </c>
    </row>
    <row r="55" spans="2:11" x14ac:dyDescent="0.15">
      <c r="B55" s="106">
        <f t="shared" si="5"/>
        <v>40061</v>
      </c>
      <c r="C55" s="107">
        <f t="shared" si="4"/>
        <v>40067</v>
      </c>
      <c r="D55" s="99">
        <f t="shared" si="3"/>
        <v>40067</v>
      </c>
      <c r="E55" s="91">
        <v>45</v>
      </c>
      <c r="F55" s="101">
        <v>1200</v>
      </c>
      <c r="G55" s="343">
        <f>VLOOKUP($D$5,evap!$B$4:$P$88,MONTH(D55)+2,FALSE)/4*0.7+7</f>
        <v>27.614999999999998</v>
      </c>
      <c r="H55" s="161">
        <f t="shared" si="2"/>
        <v>0</v>
      </c>
      <c r="I55">
        <v>4</v>
      </c>
      <c r="J55">
        <v>96</v>
      </c>
      <c r="K55" s="98">
        <f>VLOOKUP(MONTH(D55),[0]!rainforpaddy,4)/1000*$E$6*1600*7</f>
        <v>0</v>
      </c>
    </row>
    <row r="56" spans="2:11" x14ac:dyDescent="0.15">
      <c r="B56" s="106">
        <f t="shared" si="5"/>
        <v>40068</v>
      </c>
      <c r="C56" s="107">
        <f t="shared" si="4"/>
        <v>40074</v>
      </c>
      <c r="D56" s="99">
        <f t="shared" si="3"/>
        <v>40074</v>
      </c>
      <c r="E56" s="91">
        <v>46</v>
      </c>
      <c r="F56" s="101">
        <v>1200</v>
      </c>
      <c r="G56" s="343">
        <f>VLOOKUP($D$5,evap!$B$4:$P$88,MONTH(D56)+2,FALSE)/4*0.7+7</f>
        <v>27.614999999999998</v>
      </c>
      <c r="H56" s="161">
        <f t="shared" si="2"/>
        <v>0</v>
      </c>
      <c r="I56">
        <v>4</v>
      </c>
      <c r="J56">
        <v>96</v>
      </c>
      <c r="K56" s="98">
        <f>VLOOKUP(MONTH(D56),[0]!rainforpaddy,4)/1000*$E$6*1600*7</f>
        <v>0</v>
      </c>
    </row>
    <row r="57" spans="2:11" x14ac:dyDescent="0.15">
      <c r="B57" s="106">
        <f t="shared" si="5"/>
        <v>40075</v>
      </c>
      <c r="C57" s="107">
        <f t="shared" si="4"/>
        <v>40081</v>
      </c>
      <c r="D57" s="99">
        <f t="shared" si="3"/>
        <v>40081</v>
      </c>
      <c r="E57" s="91">
        <v>47</v>
      </c>
      <c r="F57" s="101">
        <v>1200</v>
      </c>
      <c r="G57" s="343">
        <f>VLOOKUP($D$5,evap!$B$4:$P$88,MONTH(D57)+2,FALSE)/4*0.7+7</f>
        <v>27.614999999999998</v>
      </c>
      <c r="H57" s="161">
        <f t="shared" si="2"/>
        <v>0</v>
      </c>
      <c r="I57">
        <v>4</v>
      </c>
      <c r="J57">
        <v>96</v>
      </c>
      <c r="K57" s="98">
        <f>VLOOKUP(MONTH(D57),[0]!rainforpaddy,4)/1000*$E$6*1600*7</f>
        <v>0</v>
      </c>
    </row>
    <row r="58" spans="2:11" x14ac:dyDescent="0.15">
      <c r="B58" s="106">
        <f t="shared" si="5"/>
        <v>40082</v>
      </c>
      <c r="C58" s="107">
        <f t="shared" si="4"/>
        <v>40088</v>
      </c>
      <c r="D58" s="99">
        <f t="shared" si="3"/>
        <v>40088</v>
      </c>
      <c r="E58" s="91">
        <v>48</v>
      </c>
      <c r="F58" s="101">
        <v>1200</v>
      </c>
      <c r="G58" s="343">
        <f>VLOOKUP($D$5,evap!$B$4:$P$88,MONTH(D58)+2,FALSE)/4*0.7+7</f>
        <v>26.95</v>
      </c>
      <c r="H58" s="161">
        <f t="shared" si="2"/>
        <v>0</v>
      </c>
      <c r="I58">
        <v>4</v>
      </c>
      <c r="J58">
        <v>96</v>
      </c>
      <c r="K58" s="98">
        <f>VLOOKUP(MONTH(D58),[0]!rainforpaddy,4)/1000*$E$6*1600*7</f>
        <v>0</v>
      </c>
    </row>
    <row r="59" spans="2:11" x14ac:dyDescent="0.15">
      <c r="B59" s="106">
        <f t="shared" si="5"/>
        <v>40089</v>
      </c>
      <c r="C59" s="107">
        <f t="shared" si="4"/>
        <v>40095</v>
      </c>
      <c r="D59" s="99">
        <f t="shared" si="3"/>
        <v>40095</v>
      </c>
      <c r="E59" s="91">
        <v>49</v>
      </c>
      <c r="F59" s="101">
        <v>1200</v>
      </c>
      <c r="G59" s="343">
        <f>VLOOKUP($D$5,evap!$B$4:$P$88,MONTH(D59)+2,FALSE)/4*0.7+7</f>
        <v>26.95</v>
      </c>
      <c r="H59" s="161">
        <f t="shared" si="2"/>
        <v>0</v>
      </c>
      <c r="I59">
        <v>4</v>
      </c>
      <c r="J59">
        <v>96</v>
      </c>
      <c r="K59" s="98">
        <f>VLOOKUP(MONTH(D59),[0]!rainforpaddy,4)/1000*$E$6*1600*7</f>
        <v>0</v>
      </c>
    </row>
    <row r="60" spans="2:11" x14ac:dyDescent="0.15">
      <c r="B60" s="106">
        <f t="shared" si="5"/>
        <v>40096</v>
      </c>
      <c r="C60" s="107">
        <f t="shared" si="4"/>
        <v>40102</v>
      </c>
      <c r="D60" s="99">
        <f t="shared" si="3"/>
        <v>40102</v>
      </c>
      <c r="E60" s="91">
        <v>50</v>
      </c>
      <c r="F60" s="101">
        <v>1200</v>
      </c>
      <c r="G60" s="343">
        <f>VLOOKUP($D$5,evap!$B$4:$P$88,MONTH(D60)+2,FALSE)/4*0.7+7</f>
        <v>26.95</v>
      </c>
      <c r="H60" s="161">
        <f t="shared" si="2"/>
        <v>0</v>
      </c>
      <c r="I60">
        <v>4</v>
      </c>
      <c r="J60">
        <v>96</v>
      </c>
      <c r="K60" s="98">
        <f>VLOOKUP(MONTH(D60),[0]!rainforpaddy,4)/1000*$E$6*1600*7</f>
        <v>0</v>
      </c>
    </row>
    <row r="61" spans="2:11" x14ac:dyDescent="0.15">
      <c r="B61" s="106">
        <f t="shared" si="5"/>
        <v>40103</v>
      </c>
      <c r="C61" s="107">
        <f t="shared" si="4"/>
        <v>40109</v>
      </c>
      <c r="D61" s="99">
        <f t="shared" si="3"/>
        <v>40109</v>
      </c>
      <c r="E61" s="91">
        <v>51</v>
      </c>
      <c r="F61" s="101">
        <v>1200</v>
      </c>
      <c r="G61" s="343">
        <f>VLOOKUP($D$5,evap!$B$4:$P$88,MONTH(D61)+2,FALSE)/4*0.7+7</f>
        <v>26.95</v>
      </c>
      <c r="H61" s="161">
        <f t="shared" si="2"/>
        <v>0</v>
      </c>
      <c r="I61">
        <v>4</v>
      </c>
      <c r="J61">
        <v>96</v>
      </c>
      <c r="K61" s="98">
        <f>VLOOKUP(MONTH(D61),[0]!rainforpaddy,4)/1000*$E$6*1600*7</f>
        <v>0</v>
      </c>
    </row>
    <row r="62" spans="2:11" x14ac:dyDescent="0.15">
      <c r="B62" s="108">
        <f t="shared" si="5"/>
        <v>40110</v>
      </c>
      <c r="C62" s="109">
        <f t="shared" si="4"/>
        <v>40116</v>
      </c>
      <c r="D62" s="99">
        <f t="shared" si="3"/>
        <v>40116</v>
      </c>
      <c r="E62" s="92">
        <v>52</v>
      </c>
      <c r="F62" s="103">
        <v>1200</v>
      </c>
      <c r="G62" s="344">
        <f>VLOOKUP($D$5,evap!$B$4:$P$88,MONTH(D62)+2,FALSE)/4*0.7+7</f>
        <v>26.95</v>
      </c>
      <c r="H62" s="162">
        <f t="shared" si="2"/>
        <v>0</v>
      </c>
      <c r="I62">
        <v>4</v>
      </c>
      <c r="J62">
        <v>96</v>
      </c>
      <c r="K62" s="98">
        <f>VLOOKUP(MONTH(D62),[0]!rainforpaddy,4)/1000*$E$6*1600*7</f>
        <v>0</v>
      </c>
    </row>
    <row r="63" spans="2:11" x14ac:dyDescent="0.15">
      <c r="G63" s="163"/>
      <c r="H63" s="345">
        <f>SUM(H11:H62)</f>
        <v>0</v>
      </c>
      <c r="K63" s="49">
        <f>SUM(K11:K62)</f>
        <v>0</v>
      </c>
    </row>
    <row r="64" spans="2:11" x14ac:dyDescent="0.15">
      <c r="H64" s="341"/>
    </row>
  </sheetData>
  <sheetProtection password="DD72" sheet="1" objects="1" scenarios="1"/>
  <mergeCells count="2">
    <mergeCell ref="D3:E3"/>
    <mergeCell ref="D5:E5"/>
  </mergeCells>
  <phoneticPr fontId="2" type="noConversion"/>
  <conditionalFormatting sqref="K11:K62 F11:H62">
    <cfRule type="cellIs" dxfId="0" priority="1" stopIfTrue="1" operator="equal">
      <formula>0</formula>
    </cfRule>
  </conditionalFormatting>
  <pageMargins left="0.37" right="0.17" top="0.46" bottom="0.54" header="0.17" footer="0.17"/>
  <pageSetup paperSize="9" scale="95" orientation="portrait" horizontalDpi="360" verticalDpi="360"/>
  <headerFooter alignWithMargins="0">
    <oddFooter>&amp;L&amp;Z&amp;F&amp;A&amp;C&amp;P/&amp;N&amp;R&amp;D</oddFooter>
  </headerFooter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4DA8B-CEC3-4340-997F-2459CA0FFEE3}">
  <sheetPr codeName="Sheet5"/>
  <dimension ref="B2:E78"/>
  <sheetViews>
    <sheetView showGridLines="0" workbookViewId="0">
      <pane xSplit="2" ySplit="2" topLeftCell="C3" activePane="bottomRight" state="frozen"/>
      <selection activeCell="F19" sqref="F19"/>
      <selection pane="topRight" activeCell="F19" sqref="F19"/>
      <selection pane="bottomLeft" activeCell="F19" sqref="F19"/>
      <selection pane="bottomRight" activeCell="C2" sqref="C2"/>
    </sheetView>
  </sheetViews>
  <sheetFormatPr baseColWidth="10" defaultRowHeight="13" x14ac:dyDescent="0.15"/>
  <cols>
    <col min="1" max="1" width="6" customWidth="1"/>
    <col min="2" max="2" width="5.1640625" customWidth="1"/>
    <col min="3" max="3" width="8.33203125" bestFit="1" customWidth="1"/>
    <col min="4" max="4" width="17.1640625" customWidth="1"/>
    <col min="5" max="5" width="18.83203125" bestFit="1" customWidth="1"/>
    <col min="6" max="256" width="8.83203125" customWidth="1"/>
  </cols>
  <sheetData>
    <row r="2" spans="2:5" x14ac:dyDescent="0.15">
      <c r="B2" s="4" t="s">
        <v>0</v>
      </c>
      <c r="C2" s="4" t="s">
        <v>111</v>
      </c>
      <c r="D2" s="4" t="s">
        <v>110</v>
      </c>
      <c r="E2" s="3" t="s">
        <v>143</v>
      </c>
    </row>
    <row r="3" spans="2:5" x14ac:dyDescent="0.15">
      <c r="B3" s="24">
        <v>1</v>
      </c>
      <c r="C3" s="24">
        <v>109</v>
      </c>
      <c r="D3" s="1" t="s">
        <v>112</v>
      </c>
      <c r="E3" s="1" t="s">
        <v>52</v>
      </c>
    </row>
    <row r="4" spans="2:5" x14ac:dyDescent="0.15">
      <c r="B4" s="24">
        <v>2</v>
      </c>
      <c r="C4" s="24">
        <v>124</v>
      </c>
      <c r="D4" s="1" t="s">
        <v>113</v>
      </c>
      <c r="E4" s="1" t="s">
        <v>58</v>
      </c>
    </row>
    <row r="5" spans="2:5" x14ac:dyDescent="0.15">
      <c r="B5" s="24">
        <v>3</v>
      </c>
      <c r="C5" s="24">
        <v>128</v>
      </c>
      <c r="D5" s="1" t="s">
        <v>114</v>
      </c>
      <c r="E5" s="1" t="s">
        <v>58</v>
      </c>
    </row>
    <row r="6" spans="2:5" x14ac:dyDescent="0.15">
      <c r="B6" s="24">
        <v>4</v>
      </c>
      <c r="C6" s="24">
        <v>132</v>
      </c>
      <c r="D6" s="1" t="s">
        <v>109</v>
      </c>
      <c r="E6" s="1" t="s">
        <v>109</v>
      </c>
    </row>
    <row r="7" spans="2:5" x14ac:dyDescent="0.15">
      <c r="B7" s="24">
        <v>5</v>
      </c>
      <c r="C7" s="24">
        <v>133</v>
      </c>
      <c r="D7" s="1" t="s">
        <v>115</v>
      </c>
      <c r="E7" s="1" t="s">
        <v>51</v>
      </c>
    </row>
    <row r="8" spans="2:5" x14ac:dyDescent="0.15">
      <c r="B8" s="24">
        <v>6</v>
      </c>
      <c r="C8" s="24">
        <v>149</v>
      </c>
      <c r="D8" s="1" t="s">
        <v>52</v>
      </c>
      <c r="E8" s="1" t="s">
        <v>52</v>
      </c>
    </row>
    <row r="9" spans="2:5" x14ac:dyDescent="0.15">
      <c r="B9" s="24">
        <v>7</v>
      </c>
      <c r="C9" s="24">
        <v>160</v>
      </c>
      <c r="D9" s="1" t="s">
        <v>116</v>
      </c>
      <c r="E9" s="1" t="s">
        <v>52</v>
      </c>
    </row>
    <row r="10" spans="2:5" x14ac:dyDescent="0.15">
      <c r="B10" s="24">
        <v>8</v>
      </c>
      <c r="C10" s="24">
        <v>161</v>
      </c>
      <c r="D10" s="1" t="s">
        <v>117</v>
      </c>
      <c r="E10" s="1" t="s">
        <v>52</v>
      </c>
    </row>
    <row r="11" spans="2:5" x14ac:dyDescent="0.15">
      <c r="B11" s="24">
        <v>9</v>
      </c>
      <c r="C11" s="24">
        <v>167</v>
      </c>
      <c r="D11" s="1" t="s">
        <v>118</v>
      </c>
      <c r="E11" s="1" t="s">
        <v>51</v>
      </c>
    </row>
    <row r="12" spans="2:5" x14ac:dyDescent="0.15">
      <c r="B12" s="24">
        <v>10</v>
      </c>
      <c r="C12" s="24">
        <v>206</v>
      </c>
      <c r="D12" s="1" t="s">
        <v>69</v>
      </c>
      <c r="E12" s="1" t="s">
        <v>69</v>
      </c>
    </row>
    <row r="13" spans="2:5" x14ac:dyDescent="0.15">
      <c r="B13" s="24">
        <v>11</v>
      </c>
      <c r="C13" s="24">
        <v>207</v>
      </c>
      <c r="D13" s="1" t="s">
        <v>119</v>
      </c>
      <c r="E13" s="1" t="s">
        <v>60</v>
      </c>
    </row>
    <row r="14" spans="2:5" x14ac:dyDescent="0.15">
      <c r="B14" s="24">
        <v>12</v>
      </c>
      <c r="C14" s="24">
        <v>208</v>
      </c>
      <c r="D14" s="1" t="s">
        <v>63</v>
      </c>
      <c r="E14" s="1" t="s">
        <v>63</v>
      </c>
    </row>
    <row r="15" spans="2:5" x14ac:dyDescent="0.15">
      <c r="B15" s="24">
        <v>13</v>
      </c>
      <c r="C15" s="24">
        <v>215</v>
      </c>
      <c r="D15" s="1" t="s">
        <v>120</v>
      </c>
      <c r="E15" s="1" t="s">
        <v>69</v>
      </c>
    </row>
    <row r="16" spans="2:5" x14ac:dyDescent="0.15">
      <c r="B16" s="24">
        <v>14</v>
      </c>
      <c r="C16" s="24">
        <v>218</v>
      </c>
      <c r="D16" s="1" t="s">
        <v>121</v>
      </c>
      <c r="E16" s="1" t="s">
        <v>59</v>
      </c>
    </row>
    <row r="17" spans="2:5" x14ac:dyDescent="0.15">
      <c r="B17" s="24">
        <v>15</v>
      </c>
      <c r="C17" s="24">
        <v>230</v>
      </c>
      <c r="D17" s="1" t="s">
        <v>59</v>
      </c>
      <c r="E17" s="1" t="s">
        <v>59</v>
      </c>
    </row>
    <row r="18" spans="2:5" x14ac:dyDescent="0.15">
      <c r="B18" s="24">
        <v>16</v>
      </c>
      <c r="C18" s="24">
        <v>247</v>
      </c>
      <c r="D18" s="1" t="s">
        <v>68</v>
      </c>
      <c r="E18" s="1" t="s">
        <v>68</v>
      </c>
    </row>
    <row r="19" spans="2:5" x14ac:dyDescent="0.15">
      <c r="B19" s="24">
        <v>17</v>
      </c>
      <c r="C19" s="24">
        <v>257</v>
      </c>
      <c r="D19" s="1" t="s">
        <v>122</v>
      </c>
      <c r="E19" s="1" t="s">
        <v>57</v>
      </c>
    </row>
    <row r="20" spans="2:5" x14ac:dyDescent="0.15">
      <c r="B20" s="24">
        <v>18</v>
      </c>
      <c r="C20" s="24">
        <v>274</v>
      </c>
      <c r="D20" s="1" t="s">
        <v>62</v>
      </c>
      <c r="E20" s="1" t="s">
        <v>62</v>
      </c>
    </row>
    <row r="21" spans="2:5" x14ac:dyDescent="0.15">
      <c r="B21" s="24">
        <v>19</v>
      </c>
      <c r="C21" s="24">
        <v>302</v>
      </c>
      <c r="D21" s="1" t="s">
        <v>55</v>
      </c>
      <c r="E21" s="1" t="s">
        <v>55</v>
      </c>
    </row>
    <row r="22" spans="2:5" x14ac:dyDescent="0.15">
      <c r="B22" s="24">
        <v>20</v>
      </c>
      <c r="C22" s="24">
        <v>319</v>
      </c>
      <c r="D22" s="1" t="s">
        <v>123</v>
      </c>
      <c r="E22" s="1" t="s">
        <v>55</v>
      </c>
    </row>
    <row r="23" spans="2:5" x14ac:dyDescent="0.15">
      <c r="B23" s="24">
        <v>21</v>
      </c>
      <c r="C23" s="24">
        <v>329</v>
      </c>
      <c r="D23" s="1" t="s">
        <v>72</v>
      </c>
      <c r="E23" s="1" t="s">
        <v>72</v>
      </c>
    </row>
    <row r="24" spans="2:5" x14ac:dyDescent="0.15">
      <c r="B24" s="24">
        <v>22</v>
      </c>
      <c r="C24" s="24">
        <v>338</v>
      </c>
      <c r="D24" s="1" t="s">
        <v>71</v>
      </c>
      <c r="E24" s="1" t="s">
        <v>71</v>
      </c>
    </row>
    <row r="25" spans="2:5" x14ac:dyDescent="0.15">
      <c r="B25" s="24">
        <v>23</v>
      </c>
      <c r="C25" s="24">
        <v>348</v>
      </c>
      <c r="D25" s="1" t="s">
        <v>124</v>
      </c>
      <c r="E25" s="1" t="s">
        <v>55</v>
      </c>
    </row>
    <row r="26" spans="2:5" x14ac:dyDescent="0.15">
      <c r="B26" s="24">
        <v>24</v>
      </c>
      <c r="C26" s="24">
        <v>358</v>
      </c>
      <c r="D26" s="1" t="s">
        <v>125</v>
      </c>
      <c r="E26" s="1" t="s">
        <v>71</v>
      </c>
    </row>
    <row r="27" spans="2:5" x14ac:dyDescent="0.15">
      <c r="B27" s="24">
        <v>25</v>
      </c>
      <c r="C27" s="24">
        <v>359</v>
      </c>
      <c r="D27" s="1" t="s">
        <v>126</v>
      </c>
      <c r="E27" s="1" t="s">
        <v>57</v>
      </c>
    </row>
    <row r="28" spans="2:5" x14ac:dyDescent="0.15">
      <c r="B28" s="24">
        <v>26</v>
      </c>
      <c r="C28" s="24">
        <v>363</v>
      </c>
      <c r="D28" s="1" t="s">
        <v>51</v>
      </c>
      <c r="E28" s="1" t="s">
        <v>51</v>
      </c>
    </row>
    <row r="29" spans="2:5" x14ac:dyDescent="0.15">
      <c r="B29" s="24">
        <v>27</v>
      </c>
      <c r="C29" s="24">
        <v>404</v>
      </c>
      <c r="D29" s="1" t="s">
        <v>33</v>
      </c>
      <c r="E29" s="1" t="s">
        <v>33</v>
      </c>
    </row>
    <row r="30" spans="2:5" x14ac:dyDescent="0.15">
      <c r="B30" s="24">
        <v>28</v>
      </c>
      <c r="C30" s="24">
        <v>412</v>
      </c>
      <c r="D30" s="1" t="s">
        <v>15</v>
      </c>
      <c r="E30" s="1" t="s">
        <v>15</v>
      </c>
    </row>
    <row r="31" spans="2:5" x14ac:dyDescent="0.15">
      <c r="B31" s="24">
        <v>29</v>
      </c>
      <c r="C31" s="24">
        <v>413</v>
      </c>
      <c r="D31" s="1" t="s">
        <v>17</v>
      </c>
      <c r="E31" s="1" t="s">
        <v>17</v>
      </c>
    </row>
    <row r="32" spans="2:5" x14ac:dyDescent="0.15">
      <c r="B32" s="24">
        <v>30</v>
      </c>
      <c r="C32" s="24">
        <v>416</v>
      </c>
      <c r="D32" s="1" t="s">
        <v>25</v>
      </c>
      <c r="E32" s="1" t="s">
        <v>25</v>
      </c>
    </row>
    <row r="33" spans="2:5" x14ac:dyDescent="0.15">
      <c r="B33" s="24">
        <v>31</v>
      </c>
      <c r="C33" s="24">
        <v>423</v>
      </c>
      <c r="D33" s="1" t="s">
        <v>50</v>
      </c>
      <c r="E33" s="1" t="s">
        <v>50</v>
      </c>
    </row>
    <row r="34" spans="2:5" x14ac:dyDescent="0.15">
      <c r="B34" s="24">
        <v>32</v>
      </c>
      <c r="C34" s="24">
        <v>426</v>
      </c>
      <c r="D34" s="1" t="s">
        <v>21</v>
      </c>
      <c r="E34" s="1" t="s">
        <v>21</v>
      </c>
    </row>
    <row r="35" spans="2:5" x14ac:dyDescent="0.15">
      <c r="B35" s="24">
        <v>33</v>
      </c>
      <c r="C35" s="24">
        <v>436</v>
      </c>
      <c r="D35" s="1" t="s">
        <v>127</v>
      </c>
      <c r="E35" s="1" t="s">
        <v>29</v>
      </c>
    </row>
    <row r="36" spans="2:5" x14ac:dyDescent="0.15">
      <c r="B36" s="24">
        <v>34</v>
      </c>
      <c r="C36" s="24">
        <v>437</v>
      </c>
      <c r="D36" s="1" t="s">
        <v>29</v>
      </c>
      <c r="E36" s="1" t="s">
        <v>29</v>
      </c>
    </row>
    <row r="37" spans="2:5" x14ac:dyDescent="0.15">
      <c r="B37" s="24">
        <v>35</v>
      </c>
      <c r="C37" s="24">
        <v>439</v>
      </c>
      <c r="D37" s="1" t="s">
        <v>30</v>
      </c>
      <c r="E37" s="1" t="s">
        <v>30</v>
      </c>
    </row>
    <row r="38" spans="2:5" x14ac:dyDescent="0.15">
      <c r="B38" s="24">
        <v>36</v>
      </c>
      <c r="C38" s="24">
        <v>440</v>
      </c>
      <c r="D38" s="1" t="s">
        <v>20</v>
      </c>
      <c r="E38" s="1" t="s">
        <v>20</v>
      </c>
    </row>
    <row r="39" spans="2:5" x14ac:dyDescent="0.15">
      <c r="B39" s="24">
        <v>37</v>
      </c>
      <c r="C39" s="24">
        <v>443</v>
      </c>
      <c r="D39" s="1" t="s">
        <v>13</v>
      </c>
      <c r="E39" s="1" t="s">
        <v>13</v>
      </c>
    </row>
    <row r="40" spans="2:5" x14ac:dyDescent="0.15">
      <c r="B40" s="24">
        <v>38</v>
      </c>
      <c r="C40" s="24">
        <v>450</v>
      </c>
      <c r="D40" s="1" t="s">
        <v>18</v>
      </c>
      <c r="E40" s="1" t="s">
        <v>18</v>
      </c>
    </row>
    <row r="41" spans="2:5" x14ac:dyDescent="0.15">
      <c r="B41" s="24">
        <v>39</v>
      </c>
      <c r="C41" s="24">
        <v>451</v>
      </c>
      <c r="D41" s="1" t="s">
        <v>19</v>
      </c>
      <c r="E41" s="1" t="s">
        <v>19</v>
      </c>
    </row>
    <row r="42" spans="2:5" x14ac:dyDescent="0.15">
      <c r="B42" s="24">
        <v>40</v>
      </c>
      <c r="C42" s="24">
        <v>462</v>
      </c>
      <c r="D42" s="1" t="s">
        <v>24</v>
      </c>
      <c r="E42" s="1" t="s">
        <v>24</v>
      </c>
    </row>
    <row r="43" spans="2:5" x14ac:dyDescent="0.15">
      <c r="B43" s="24">
        <v>41</v>
      </c>
      <c r="C43" s="24">
        <v>469</v>
      </c>
      <c r="D43" s="1" t="s">
        <v>23</v>
      </c>
      <c r="E43" s="1" t="s">
        <v>23</v>
      </c>
    </row>
    <row r="44" spans="2:5" x14ac:dyDescent="0.15">
      <c r="B44" s="24">
        <v>42</v>
      </c>
      <c r="C44" s="24">
        <v>470</v>
      </c>
      <c r="D44" s="1" t="s">
        <v>128</v>
      </c>
      <c r="E44" s="1" t="s">
        <v>50</v>
      </c>
    </row>
    <row r="45" spans="2:5" x14ac:dyDescent="0.15">
      <c r="B45" s="24">
        <v>43</v>
      </c>
      <c r="C45" s="24">
        <v>472</v>
      </c>
      <c r="D45" s="1" t="s">
        <v>16</v>
      </c>
      <c r="E45" s="1" t="s">
        <v>16</v>
      </c>
    </row>
    <row r="46" spans="2:5" x14ac:dyDescent="0.15">
      <c r="B46" s="24">
        <v>44</v>
      </c>
      <c r="C46" s="24">
        <v>503</v>
      </c>
      <c r="D46" s="1" t="s">
        <v>129</v>
      </c>
      <c r="E46" s="1" t="s">
        <v>142</v>
      </c>
    </row>
    <row r="47" spans="2:5" x14ac:dyDescent="0.15">
      <c r="B47" s="24">
        <v>45</v>
      </c>
      <c r="C47" s="24">
        <v>505</v>
      </c>
      <c r="D47" s="1" t="s">
        <v>39</v>
      </c>
      <c r="E47" s="1" t="s">
        <v>39</v>
      </c>
    </row>
    <row r="48" spans="2:5" x14ac:dyDescent="0.15">
      <c r="B48" s="24">
        <v>46</v>
      </c>
      <c r="C48" s="24">
        <v>510</v>
      </c>
      <c r="D48" s="1" t="s">
        <v>42</v>
      </c>
      <c r="E48" s="1" t="s">
        <v>42</v>
      </c>
    </row>
    <row r="49" spans="2:5" x14ac:dyDescent="0.15">
      <c r="B49" s="24">
        <v>47</v>
      </c>
      <c r="C49" s="24">
        <v>517</v>
      </c>
      <c r="D49" s="1" t="s">
        <v>130</v>
      </c>
      <c r="E49" s="1" t="s">
        <v>43</v>
      </c>
    </row>
    <row r="50" spans="2:5" x14ac:dyDescent="0.15">
      <c r="B50" s="24">
        <v>48</v>
      </c>
      <c r="C50" s="24">
        <v>520</v>
      </c>
      <c r="D50" s="1" t="s">
        <v>38</v>
      </c>
      <c r="E50" s="1" t="s">
        <v>38</v>
      </c>
    </row>
    <row r="51" spans="2:5" x14ac:dyDescent="0.15">
      <c r="B51" s="24">
        <v>49</v>
      </c>
      <c r="C51" s="24">
        <v>521</v>
      </c>
      <c r="D51" s="1" t="s">
        <v>45</v>
      </c>
      <c r="E51" s="1" t="s">
        <v>45</v>
      </c>
    </row>
    <row r="52" spans="2:5" x14ac:dyDescent="0.15">
      <c r="B52" s="24">
        <v>50</v>
      </c>
      <c r="C52" s="24">
        <v>527</v>
      </c>
      <c r="D52" s="1" t="s">
        <v>131</v>
      </c>
      <c r="E52" s="1" t="s">
        <v>49</v>
      </c>
    </row>
    <row r="53" spans="2:5" x14ac:dyDescent="0.15">
      <c r="B53" s="24">
        <v>51</v>
      </c>
      <c r="C53" s="24">
        <v>542</v>
      </c>
      <c r="D53" s="1" t="s">
        <v>132</v>
      </c>
      <c r="E53" s="1" t="s">
        <v>41</v>
      </c>
    </row>
    <row r="54" spans="2:5" x14ac:dyDescent="0.15">
      <c r="B54" s="24">
        <v>52</v>
      </c>
      <c r="C54" s="24">
        <v>545</v>
      </c>
      <c r="D54" s="1" t="s">
        <v>43</v>
      </c>
      <c r="E54" s="1" t="s">
        <v>43</v>
      </c>
    </row>
    <row r="55" spans="2:5" x14ac:dyDescent="0.15">
      <c r="B55" s="24">
        <v>53</v>
      </c>
      <c r="C55" s="24">
        <v>552</v>
      </c>
      <c r="D55" s="1" t="s">
        <v>35</v>
      </c>
      <c r="E55" s="1" t="s">
        <v>35</v>
      </c>
    </row>
    <row r="56" spans="2:5" x14ac:dyDescent="0.15">
      <c r="B56" s="24">
        <v>54</v>
      </c>
      <c r="C56" s="24">
        <v>553</v>
      </c>
      <c r="D56" s="1" t="s">
        <v>133</v>
      </c>
      <c r="E56" s="1" t="s">
        <v>44</v>
      </c>
    </row>
    <row r="57" spans="2:5" x14ac:dyDescent="0.15">
      <c r="B57" s="24">
        <v>55</v>
      </c>
      <c r="C57" s="24">
        <v>554</v>
      </c>
      <c r="D57" s="1" t="s">
        <v>37</v>
      </c>
      <c r="E57" s="1" t="s">
        <v>37</v>
      </c>
    </row>
    <row r="58" spans="2:5" x14ac:dyDescent="0.15">
      <c r="B58" s="24">
        <v>56</v>
      </c>
      <c r="C58" s="24">
        <v>565</v>
      </c>
      <c r="D58" s="1" t="s">
        <v>47</v>
      </c>
      <c r="E58" s="1" t="s">
        <v>47</v>
      </c>
    </row>
    <row r="59" spans="2:5" x14ac:dyDescent="0.15">
      <c r="B59" s="24">
        <v>57</v>
      </c>
      <c r="C59" s="24">
        <v>566</v>
      </c>
      <c r="D59" s="1" t="s">
        <v>34</v>
      </c>
      <c r="E59" s="1" t="s">
        <v>34</v>
      </c>
    </row>
    <row r="60" spans="2:5" x14ac:dyDescent="0.15">
      <c r="B60" s="24">
        <v>58</v>
      </c>
      <c r="C60" s="24">
        <v>568</v>
      </c>
      <c r="D60" s="1" t="s">
        <v>36</v>
      </c>
      <c r="E60" s="1" t="s">
        <v>36</v>
      </c>
    </row>
    <row r="61" spans="2:5" x14ac:dyDescent="0.15">
      <c r="B61" s="24">
        <v>59</v>
      </c>
      <c r="C61" s="24">
        <v>571</v>
      </c>
      <c r="D61" s="1" t="s">
        <v>44</v>
      </c>
      <c r="E61" s="1" t="s">
        <v>44</v>
      </c>
    </row>
    <row r="62" spans="2:5" x14ac:dyDescent="0.15">
      <c r="B62" s="24">
        <v>60</v>
      </c>
      <c r="C62" s="24">
        <v>573</v>
      </c>
      <c r="D62" s="1" t="s">
        <v>40</v>
      </c>
      <c r="E62" s="1" t="s">
        <v>40</v>
      </c>
    </row>
    <row r="63" spans="2:5" x14ac:dyDescent="0.15">
      <c r="B63" s="24">
        <v>61</v>
      </c>
      <c r="C63" s="24">
        <v>575</v>
      </c>
      <c r="D63" s="1" t="s">
        <v>134</v>
      </c>
      <c r="E63" s="1" t="s">
        <v>36</v>
      </c>
    </row>
    <row r="64" spans="2:5" x14ac:dyDescent="0.15">
      <c r="B64" s="24">
        <v>62</v>
      </c>
      <c r="C64" s="24">
        <v>576</v>
      </c>
      <c r="D64" s="1" t="s">
        <v>135</v>
      </c>
      <c r="E64" s="1" t="s">
        <v>40</v>
      </c>
    </row>
    <row r="65" spans="2:5" x14ac:dyDescent="0.15">
      <c r="B65" s="24">
        <v>63</v>
      </c>
      <c r="C65" s="24">
        <v>601</v>
      </c>
      <c r="D65" s="1" t="s">
        <v>92</v>
      </c>
      <c r="E65" s="1" t="s">
        <v>92</v>
      </c>
    </row>
    <row r="66" spans="2:5" x14ac:dyDescent="0.15">
      <c r="B66" s="24">
        <v>64</v>
      </c>
      <c r="C66" s="24">
        <v>611</v>
      </c>
      <c r="D66" s="1" t="s">
        <v>74</v>
      </c>
      <c r="E66" s="1" t="s">
        <v>74</v>
      </c>
    </row>
    <row r="67" spans="2:5" x14ac:dyDescent="0.15">
      <c r="B67" s="24">
        <v>65</v>
      </c>
      <c r="C67" s="24">
        <v>614</v>
      </c>
      <c r="D67" s="1" t="s">
        <v>136</v>
      </c>
      <c r="E67" s="27" t="s">
        <v>93</v>
      </c>
    </row>
    <row r="68" spans="2:5" x14ac:dyDescent="0.15">
      <c r="B68" s="24">
        <v>66</v>
      </c>
      <c r="C68" s="24">
        <v>622</v>
      </c>
      <c r="D68" s="1" t="s">
        <v>79</v>
      </c>
      <c r="E68" s="1" t="s">
        <v>79</v>
      </c>
    </row>
    <row r="69" spans="2:5" x14ac:dyDescent="0.15">
      <c r="B69" s="24">
        <v>67</v>
      </c>
      <c r="C69" s="24">
        <v>625</v>
      </c>
      <c r="D69" s="1" t="s">
        <v>86</v>
      </c>
      <c r="E69" s="1" t="s">
        <v>86</v>
      </c>
    </row>
    <row r="70" spans="2:5" x14ac:dyDescent="0.15">
      <c r="B70" s="24">
        <v>68</v>
      </c>
      <c r="C70" s="24">
        <v>631</v>
      </c>
      <c r="D70" s="1" t="s">
        <v>137</v>
      </c>
      <c r="E70" s="27" t="s">
        <v>85</v>
      </c>
    </row>
    <row r="71" spans="2:5" x14ac:dyDescent="0.15">
      <c r="B71" s="24">
        <v>69</v>
      </c>
      <c r="C71" s="24">
        <v>634</v>
      </c>
      <c r="D71" s="1" t="s">
        <v>138</v>
      </c>
      <c r="E71" s="1" t="s">
        <v>90</v>
      </c>
    </row>
    <row r="72" spans="2:5" x14ac:dyDescent="0.15">
      <c r="B72" s="24">
        <v>70</v>
      </c>
      <c r="C72" s="24">
        <v>635</v>
      </c>
      <c r="D72" s="1" t="s">
        <v>139</v>
      </c>
      <c r="E72" s="1" t="s">
        <v>93</v>
      </c>
    </row>
    <row r="73" spans="2:5" x14ac:dyDescent="0.15">
      <c r="B73" s="24">
        <v>71</v>
      </c>
      <c r="C73" s="24">
        <v>641</v>
      </c>
      <c r="D73" s="1" t="s">
        <v>89</v>
      </c>
      <c r="E73" s="1" t="s">
        <v>89</v>
      </c>
    </row>
    <row r="74" spans="2:5" x14ac:dyDescent="0.15">
      <c r="B74" s="24">
        <v>72</v>
      </c>
      <c r="C74" s="24">
        <v>644</v>
      </c>
      <c r="D74" s="1" t="s">
        <v>140</v>
      </c>
      <c r="E74" s="1" t="s">
        <v>86</v>
      </c>
    </row>
    <row r="75" spans="2:5" x14ac:dyDescent="0.15">
      <c r="B75" s="24">
        <v>73</v>
      </c>
      <c r="C75" s="24">
        <v>646</v>
      </c>
      <c r="D75" s="1" t="s">
        <v>87</v>
      </c>
      <c r="E75" s="1" t="s">
        <v>87</v>
      </c>
    </row>
    <row r="76" spans="2:5" x14ac:dyDescent="0.15">
      <c r="B76" s="24">
        <v>74</v>
      </c>
      <c r="C76" s="24">
        <v>655</v>
      </c>
      <c r="D76" s="1" t="s">
        <v>83</v>
      </c>
      <c r="E76" s="1" t="s">
        <v>83</v>
      </c>
    </row>
    <row r="77" spans="2:5" x14ac:dyDescent="0.15">
      <c r="B77" s="24">
        <v>75</v>
      </c>
      <c r="C77" s="24">
        <v>656</v>
      </c>
      <c r="D77" s="1" t="s">
        <v>94</v>
      </c>
      <c r="E77" s="1" t="s">
        <v>94</v>
      </c>
    </row>
    <row r="78" spans="2:5" x14ac:dyDescent="0.15">
      <c r="B78" s="25">
        <v>76</v>
      </c>
      <c r="C78" s="25">
        <v>664</v>
      </c>
      <c r="D78" s="2" t="s">
        <v>75</v>
      </c>
      <c r="E78" s="2" t="s">
        <v>75</v>
      </c>
    </row>
  </sheetData>
  <sheetProtection password="DD72" sheet="1" objects="1" scenarios="1"/>
  <phoneticPr fontId="2" type="noConversion"/>
  <pageMargins left="0.75" right="0.75" top="0.35" bottom="0.54" header="0.17" footer="0.21"/>
  <pageSetup paperSize="9" orientation="portrait"/>
  <headerFooter alignWithMargins="0">
    <oddFooter>&amp;L&amp;Z&amp;F&amp;A&amp;C&amp;P/&amp;N&amp;R&amp;D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CD23-6005-1243-A04F-1EC3BD2D11BC}">
  <sheetPr codeName="Sheet6">
    <tabColor indexed="44"/>
  </sheetPr>
  <dimension ref="B1:AD70"/>
  <sheetViews>
    <sheetView showGridLines="0" workbookViewId="0">
      <pane xSplit="6" ySplit="2" topLeftCell="G3" activePane="bottomRight" state="frozen"/>
      <selection activeCell="F19" sqref="F19"/>
      <selection pane="topRight" activeCell="F19" sqref="F19"/>
      <selection pane="bottomLeft" activeCell="F19" sqref="F19"/>
      <selection pane="bottomRight" activeCell="J15" sqref="J15"/>
    </sheetView>
  </sheetViews>
  <sheetFormatPr baseColWidth="10" defaultRowHeight="13" x14ac:dyDescent="0.15"/>
  <cols>
    <col min="1" max="1" width="0.6640625" customWidth="1"/>
    <col min="2" max="2" width="19" bestFit="1" customWidth="1"/>
    <col min="3" max="3" width="8.83203125" customWidth="1"/>
    <col min="4" max="4" width="1" customWidth="1"/>
    <col min="5" max="5" width="0.83203125" customWidth="1"/>
    <col min="6" max="256" width="8.83203125" customWidth="1"/>
  </cols>
  <sheetData>
    <row r="1" spans="2:30" x14ac:dyDescent="0.15">
      <c r="F1" s="832" t="s">
        <v>561</v>
      </c>
      <c r="G1" s="832"/>
      <c r="H1" s="832"/>
      <c r="I1" s="832"/>
      <c r="J1" s="832"/>
      <c r="K1" s="831" t="s">
        <v>564</v>
      </c>
      <c r="L1" s="831"/>
      <c r="M1" s="831"/>
      <c r="N1" s="831"/>
      <c r="O1" s="831"/>
      <c r="P1" s="833" t="s">
        <v>391</v>
      </c>
      <c r="Q1" s="833"/>
      <c r="R1" s="833"/>
      <c r="S1" s="833"/>
      <c r="T1" s="833"/>
      <c r="U1" s="834" t="s">
        <v>393</v>
      </c>
      <c r="V1" s="834"/>
      <c r="W1" s="834"/>
      <c r="X1" s="834"/>
      <c r="Y1" s="834"/>
      <c r="Z1" s="829" t="s">
        <v>394</v>
      </c>
      <c r="AA1" s="830"/>
      <c r="AB1" s="830"/>
      <c r="AC1" s="830"/>
      <c r="AD1" s="830"/>
    </row>
    <row r="2" spans="2:30" x14ac:dyDescent="0.15">
      <c r="B2" s="26" t="s">
        <v>157</v>
      </c>
      <c r="C2" s="4" t="s">
        <v>158</v>
      </c>
      <c r="F2" s="28" t="s">
        <v>144</v>
      </c>
      <c r="G2" s="28" t="s">
        <v>159</v>
      </c>
      <c r="H2" s="28" t="s">
        <v>144</v>
      </c>
      <c r="I2" s="28" t="s">
        <v>144</v>
      </c>
      <c r="J2" s="28" t="s">
        <v>160</v>
      </c>
      <c r="K2" s="149" t="s">
        <v>144</v>
      </c>
      <c r="L2" s="149" t="s">
        <v>159</v>
      </c>
      <c r="M2" s="149" t="s">
        <v>144</v>
      </c>
      <c r="N2" s="149" t="s">
        <v>144</v>
      </c>
      <c r="O2" s="149" t="s">
        <v>160</v>
      </c>
      <c r="P2" s="155" t="s">
        <v>144</v>
      </c>
      <c r="Q2" s="155" t="s">
        <v>159</v>
      </c>
      <c r="R2" s="155" t="s">
        <v>144</v>
      </c>
      <c r="S2" s="155" t="s">
        <v>144</v>
      </c>
      <c r="T2" s="155" t="s">
        <v>160</v>
      </c>
      <c r="U2" s="170" t="s">
        <v>144</v>
      </c>
      <c r="V2" s="170" t="s">
        <v>159</v>
      </c>
      <c r="W2" s="170" t="s">
        <v>144</v>
      </c>
      <c r="X2" s="170" t="s">
        <v>144</v>
      </c>
      <c r="Y2" s="170" t="s">
        <v>160</v>
      </c>
      <c r="Z2" s="173" t="s">
        <v>144</v>
      </c>
      <c r="AA2" s="173" t="s">
        <v>159</v>
      </c>
      <c r="AB2" s="173" t="s">
        <v>144</v>
      </c>
      <c r="AC2" s="173" t="s">
        <v>144</v>
      </c>
      <c r="AD2" s="173" t="s">
        <v>160</v>
      </c>
    </row>
    <row r="3" spans="2:30" x14ac:dyDescent="0.15">
      <c r="B3" s="22" t="s">
        <v>148</v>
      </c>
      <c r="C3" s="24">
        <v>13</v>
      </c>
      <c r="F3" s="29">
        <v>1</v>
      </c>
      <c r="G3" s="29">
        <f>IF(AND(Crop!G2&gt;0,G2&lt;paddy_Dry!$D$6),Crop!G2+1,IF(F3=paddy_Dry!$E$6,1,0))</f>
        <v>0</v>
      </c>
      <c r="H3" s="29">
        <v>1</v>
      </c>
      <c r="I3" s="31">
        <f t="shared" ref="I3:I34" si="0">IF(ISERROR(VLOOKUP(F3,$G$3:$H$70,2,FALSE)),0,VLOOKUP(F3,$G$3:$H$70,2,FALSE))</f>
        <v>14</v>
      </c>
      <c r="J3" s="29">
        <v>1</v>
      </c>
      <c r="K3" s="150">
        <v>1</v>
      </c>
      <c r="L3" s="150">
        <f>IF(AND(Crop!L2&gt;0,L2&lt;upland_dry!$D$6),Crop!L2+1,IF(K3=upland_dry!$E$6,1,0))</f>
        <v>0</v>
      </c>
      <c r="M3" s="150">
        <v>1</v>
      </c>
      <c r="N3" s="150">
        <f>IF(ISERROR(VLOOKUP(K3,$L$3:$M$70,2,FALSE)),0,VLOOKUP(K3,$L$3:$M$70,2,FALSE))</f>
        <v>12</v>
      </c>
      <c r="O3" s="150">
        <v>1</v>
      </c>
      <c r="P3" s="156">
        <v>1</v>
      </c>
      <c r="Q3" s="156">
        <f>IF(AND(Crop!Q2&gt;0,Q2&lt;plant!$D$6),Crop!Q2+1,IF(P3=plant!$E$6,1,0))</f>
        <v>1</v>
      </c>
      <c r="R3" s="156">
        <v>1</v>
      </c>
      <c r="S3" s="156">
        <f>IF(ISERROR(VLOOKUP(P3,$Q$3:$R$70,2,FALSE)),0,VLOOKUP(P3,$Q$3:$R$70,2,FALSE))</f>
        <v>1</v>
      </c>
      <c r="T3" s="156">
        <v>1</v>
      </c>
      <c r="U3" s="171">
        <v>1</v>
      </c>
      <c r="V3" s="171">
        <f>IF(AND(Crop!V2&gt;0,V2&lt;paddy_rain!$D$6),Crop!V2+1,IF(U3=paddy_rain!$E$6,1,0))</f>
        <v>0</v>
      </c>
      <c r="W3" s="171">
        <v>1</v>
      </c>
      <c r="X3" s="171">
        <f>IF(ISERROR(VLOOKUP(U3,$V$3:$W$70,2,FALSE)),0,VLOOKUP(U3,$V$3:$W$70,2,FALSE))</f>
        <v>36</v>
      </c>
      <c r="Y3" s="171">
        <v>1</v>
      </c>
      <c r="Z3" s="174">
        <v>1</v>
      </c>
      <c r="AA3" s="174">
        <f>IF(AND(Crop!AA2&gt;0,AA2&lt;upland_rain!$D$6),Crop!AA2+1,IF(Z3=upland_rain!$E$6,1,0))</f>
        <v>0</v>
      </c>
      <c r="AB3" s="174">
        <v>1</v>
      </c>
      <c r="AC3" s="174">
        <f>IF(ISERROR(VLOOKUP(Z3,$AA$3:$AB$70,2,FALSE)),0,VLOOKUP(Z3,$AA$3:$AB$70,2,FALSE))</f>
        <v>36</v>
      </c>
      <c r="AD3" s="174">
        <v>1</v>
      </c>
    </row>
    <row r="4" spans="2:30" x14ac:dyDescent="0.15">
      <c r="B4" s="22" t="s">
        <v>150</v>
      </c>
      <c r="C4" s="24">
        <v>14</v>
      </c>
      <c r="F4" s="29">
        <v>2</v>
      </c>
      <c r="G4" s="29">
        <f>IF(AND(Crop!G3&gt;0,G3&lt;paddy_Dry!$D$6),Crop!G3+1,IF(F4=paddy_Dry!$E$6,1,0))</f>
        <v>0</v>
      </c>
      <c r="H4" s="29">
        <v>2</v>
      </c>
      <c r="I4" s="29">
        <f t="shared" si="0"/>
        <v>15</v>
      </c>
      <c r="J4" s="29">
        <v>2</v>
      </c>
      <c r="K4" s="150">
        <v>2</v>
      </c>
      <c r="L4" s="150">
        <f>IF(AND(Crop!L3&gt;0,L3&lt;upland_dry!$D$6),Crop!L3+1,IF(K4=upland_dry!$E$6,1,0))</f>
        <v>0</v>
      </c>
      <c r="M4" s="150">
        <v>2</v>
      </c>
      <c r="N4" s="150">
        <f t="shared" ref="N4:N67" si="1">IF(ISERROR(VLOOKUP(K4,$L$3:$M$70,2,FALSE)),0,VLOOKUP(K4,$L$3:$M$70,2,FALSE))</f>
        <v>13</v>
      </c>
      <c r="O4" s="150">
        <v>2</v>
      </c>
      <c r="P4" s="156">
        <v>2</v>
      </c>
      <c r="Q4" s="156">
        <f>IF(AND(Crop!Q3&gt;0,Q3&lt;plant!$D$6),Crop!Q3+1,IF(P4=plant!$E$6,1,0))</f>
        <v>2</v>
      </c>
      <c r="R4" s="156">
        <v>2</v>
      </c>
      <c r="S4" s="156">
        <f t="shared" ref="S4:S67" si="2">IF(ISERROR(VLOOKUP(P4,$Q$3:$R$70,2,FALSE)),0,VLOOKUP(P4,$Q$3:$R$70,2,FALSE))</f>
        <v>2</v>
      </c>
      <c r="T4" s="156">
        <v>2</v>
      </c>
      <c r="U4" s="171">
        <v>2</v>
      </c>
      <c r="V4" s="171">
        <f>IF(AND(Crop!V3&gt;0,V3&lt;paddy_rain!$D$6),Crop!V3+1,IF(U4=paddy_rain!$E$6,1,0))</f>
        <v>0</v>
      </c>
      <c r="W4" s="171">
        <v>2</v>
      </c>
      <c r="X4" s="171">
        <f t="shared" ref="X4:X67" si="3">IF(ISERROR(VLOOKUP(U4,$V$3:$W$70,2,FALSE)),0,VLOOKUP(U4,$V$3:$W$70,2,FALSE))</f>
        <v>37</v>
      </c>
      <c r="Y4" s="171">
        <v>2</v>
      </c>
      <c r="Z4" s="174">
        <v>2</v>
      </c>
      <c r="AA4" s="174">
        <f>IF(AND(Crop!AA3&gt;0,AA3&lt;upland_rain!$D$6),Crop!AA3+1,IF(Z4=upland_rain!$E$6,1,0))</f>
        <v>0</v>
      </c>
      <c r="AB4" s="174">
        <v>2</v>
      </c>
      <c r="AC4" s="174">
        <f t="shared" ref="AC4:AC67" si="4">IF(ISERROR(VLOOKUP(Z4,$AA$3:$AB$70,2,FALSE)),0,VLOOKUP(Z4,$AA$3:$AB$70,2,FALSE))</f>
        <v>37</v>
      </c>
      <c r="AD4" s="174">
        <v>2</v>
      </c>
    </row>
    <row r="5" spans="2:30" x14ac:dyDescent="0.15">
      <c r="B5" s="22" t="s">
        <v>3</v>
      </c>
      <c r="C5" s="24">
        <v>15</v>
      </c>
      <c r="F5" s="29">
        <v>3</v>
      </c>
      <c r="G5" s="29">
        <f>IF(AND(Crop!G4&gt;0,G4&lt;paddy_Dry!$D$6),Crop!G4+1,IF(F5=paddy_Dry!$E$6,1,0))</f>
        <v>0</v>
      </c>
      <c r="H5" s="29">
        <v>3</v>
      </c>
      <c r="I5" s="29">
        <f t="shared" si="0"/>
        <v>16</v>
      </c>
      <c r="J5" s="29">
        <v>3</v>
      </c>
      <c r="K5" s="150">
        <v>3</v>
      </c>
      <c r="L5" s="150">
        <f>IF(AND(Crop!L4&gt;0,L4&lt;upland_dry!$D$6),Crop!L4+1,IF(K5=upland_dry!$E$6,1,0))</f>
        <v>0</v>
      </c>
      <c r="M5" s="150">
        <v>3</v>
      </c>
      <c r="N5" s="150">
        <f t="shared" si="1"/>
        <v>14</v>
      </c>
      <c r="O5" s="150">
        <v>3</v>
      </c>
      <c r="P5" s="156">
        <v>3</v>
      </c>
      <c r="Q5" s="156">
        <f>IF(AND(Crop!Q4&gt;0,Q4&lt;plant!$D$6),Crop!Q4+1,IF(P5=plant!$E$6,1,0))</f>
        <v>3</v>
      </c>
      <c r="R5" s="156">
        <v>3</v>
      </c>
      <c r="S5" s="156">
        <f t="shared" si="2"/>
        <v>3</v>
      </c>
      <c r="T5" s="156">
        <v>3</v>
      </c>
      <c r="U5" s="171">
        <v>3</v>
      </c>
      <c r="V5" s="171">
        <f>IF(AND(Crop!V4&gt;0,V4&lt;paddy_rain!$D$6),Crop!V4+1,IF(U5=paddy_rain!$E$6,1,0))</f>
        <v>0</v>
      </c>
      <c r="W5" s="171">
        <v>3</v>
      </c>
      <c r="X5" s="171">
        <f t="shared" si="3"/>
        <v>38</v>
      </c>
      <c r="Y5" s="171">
        <v>3</v>
      </c>
      <c r="Z5" s="174">
        <v>3</v>
      </c>
      <c r="AA5" s="174">
        <f>IF(AND(Crop!AA4&gt;0,AA4&lt;upland_rain!$D$6),Crop!AA4+1,IF(Z5=upland_rain!$E$6,1,0))</f>
        <v>0</v>
      </c>
      <c r="AB5" s="174">
        <v>3</v>
      </c>
      <c r="AC5" s="174">
        <f t="shared" si="4"/>
        <v>38</v>
      </c>
      <c r="AD5" s="174">
        <v>3</v>
      </c>
    </row>
    <row r="6" spans="2:30" x14ac:dyDescent="0.15">
      <c r="B6" s="22" t="s">
        <v>151</v>
      </c>
      <c r="C6" s="24">
        <v>14</v>
      </c>
      <c r="F6" s="29">
        <v>4</v>
      </c>
      <c r="G6" s="29">
        <f>IF(AND(Crop!G5&gt;0,G5&lt;paddy_Dry!$D$6),Crop!G5+1,IF(F6=paddy_Dry!$E$6,1,0))</f>
        <v>0</v>
      </c>
      <c r="H6" s="29">
        <v>4</v>
      </c>
      <c r="I6" s="29">
        <f t="shared" si="0"/>
        <v>17</v>
      </c>
      <c r="J6" s="29">
        <v>4</v>
      </c>
      <c r="K6" s="150">
        <v>4</v>
      </c>
      <c r="L6" s="150">
        <f>IF(AND(Crop!L5&gt;0,L5&lt;upland_dry!$D$6),Crop!L5+1,IF(K6=upland_dry!$E$6,1,0))</f>
        <v>0</v>
      </c>
      <c r="M6" s="150">
        <v>4</v>
      </c>
      <c r="N6" s="150">
        <f t="shared" si="1"/>
        <v>15</v>
      </c>
      <c r="O6" s="150">
        <v>4</v>
      </c>
      <c r="P6" s="156">
        <v>4</v>
      </c>
      <c r="Q6" s="156">
        <f>IF(AND(Crop!Q5&gt;0,Q5&lt;plant!$D$6),Crop!Q5+1,IF(P6=plant!$E$6,1,0))</f>
        <v>4</v>
      </c>
      <c r="R6" s="156">
        <v>4</v>
      </c>
      <c r="S6" s="156">
        <f t="shared" si="2"/>
        <v>4</v>
      </c>
      <c r="T6" s="156">
        <v>4</v>
      </c>
      <c r="U6" s="171">
        <v>4</v>
      </c>
      <c r="V6" s="171">
        <f>IF(AND(Crop!V5&gt;0,V5&lt;paddy_rain!$D$6),Crop!V5+1,IF(U6=paddy_rain!$E$6,1,0))</f>
        <v>0</v>
      </c>
      <c r="W6" s="171">
        <v>4</v>
      </c>
      <c r="X6" s="171">
        <f t="shared" si="3"/>
        <v>39</v>
      </c>
      <c r="Y6" s="171">
        <v>4</v>
      </c>
      <c r="Z6" s="174">
        <v>4</v>
      </c>
      <c r="AA6" s="174">
        <f>IF(AND(Crop!AA5&gt;0,AA5&lt;upland_rain!$D$6),Crop!AA5+1,IF(Z6=upland_rain!$E$6,1,0))</f>
        <v>0</v>
      </c>
      <c r="AB6" s="174">
        <v>4</v>
      </c>
      <c r="AC6" s="174">
        <f t="shared" si="4"/>
        <v>39</v>
      </c>
      <c r="AD6" s="174">
        <v>4</v>
      </c>
    </row>
    <row r="7" spans="2:30" x14ac:dyDescent="0.15">
      <c r="B7" s="22" t="s">
        <v>152</v>
      </c>
      <c r="C7" s="24">
        <v>11</v>
      </c>
      <c r="F7" s="29">
        <v>5</v>
      </c>
      <c r="G7" s="29">
        <f>IF(AND(Crop!G6&gt;0,G6&lt;paddy_Dry!$D$6),Crop!G6+1,IF(F7=paddy_Dry!$E$6,1,0))</f>
        <v>0</v>
      </c>
      <c r="H7" s="29">
        <v>5</v>
      </c>
      <c r="I7" s="29">
        <f t="shared" si="0"/>
        <v>18</v>
      </c>
      <c r="J7" s="29">
        <v>5</v>
      </c>
      <c r="K7" s="150">
        <v>5</v>
      </c>
      <c r="L7" s="150">
        <f>IF(AND(Crop!L6&gt;0,L6&lt;upland_dry!$D$6),Crop!L6+1,IF(K7=upland_dry!$E$6,1,0))</f>
        <v>0</v>
      </c>
      <c r="M7" s="150">
        <v>5</v>
      </c>
      <c r="N7" s="150">
        <f t="shared" si="1"/>
        <v>16</v>
      </c>
      <c r="O7" s="150">
        <v>5</v>
      </c>
      <c r="P7" s="156">
        <v>5</v>
      </c>
      <c r="Q7" s="156">
        <f>IF(AND(Crop!Q6&gt;0,Q6&lt;plant!$D$6),Crop!Q6+1,IF(P7=plant!$E$6,1,0))</f>
        <v>5</v>
      </c>
      <c r="R7" s="156">
        <v>5</v>
      </c>
      <c r="S7" s="156">
        <f t="shared" si="2"/>
        <v>5</v>
      </c>
      <c r="T7" s="156">
        <v>5</v>
      </c>
      <c r="U7" s="171">
        <v>5</v>
      </c>
      <c r="V7" s="171">
        <f>IF(AND(Crop!V6&gt;0,V6&lt;paddy_rain!$D$6),Crop!V6+1,IF(U7=paddy_rain!$E$6,1,0))</f>
        <v>0</v>
      </c>
      <c r="W7" s="171">
        <v>5</v>
      </c>
      <c r="X7" s="171">
        <f t="shared" si="3"/>
        <v>40</v>
      </c>
      <c r="Y7" s="171">
        <v>5</v>
      </c>
      <c r="Z7" s="174">
        <v>5</v>
      </c>
      <c r="AA7" s="174">
        <f>IF(AND(Crop!AA6&gt;0,AA6&lt;upland_rain!$D$6),Crop!AA6+1,IF(Z7=upland_rain!$E$6,1,0))</f>
        <v>0</v>
      </c>
      <c r="AB7" s="174">
        <v>5</v>
      </c>
      <c r="AC7" s="174">
        <f t="shared" si="4"/>
        <v>40</v>
      </c>
      <c r="AD7" s="174">
        <v>5</v>
      </c>
    </row>
    <row r="8" spans="2:30" x14ac:dyDescent="0.15">
      <c r="B8" s="22" t="s">
        <v>681</v>
      </c>
      <c r="C8" s="24">
        <v>16</v>
      </c>
      <c r="F8" s="29">
        <v>6</v>
      </c>
      <c r="G8" s="29">
        <f>IF(AND(Crop!G7&gt;0,G7&lt;paddy_Dry!$D$6),Crop!G7+1,IF(F8=paddy_Dry!$E$6,1,0))</f>
        <v>0</v>
      </c>
      <c r="H8" s="29">
        <v>6</v>
      </c>
      <c r="I8" s="29">
        <f t="shared" si="0"/>
        <v>19</v>
      </c>
      <c r="J8" s="29">
        <v>6</v>
      </c>
      <c r="K8" s="150">
        <v>6</v>
      </c>
      <c r="L8" s="150">
        <f>IF(AND(Crop!L7&gt;0,L7&lt;upland_dry!$D$6),Crop!L7+1,IF(K8=upland_dry!$E$6,1,0))</f>
        <v>0</v>
      </c>
      <c r="M8" s="150">
        <v>6</v>
      </c>
      <c r="N8" s="150">
        <f t="shared" si="1"/>
        <v>17</v>
      </c>
      <c r="O8" s="150">
        <v>6</v>
      </c>
      <c r="P8" s="156">
        <v>6</v>
      </c>
      <c r="Q8" s="156">
        <f>IF(AND(Crop!Q7&gt;0,Q7&lt;plant!$D$6),Crop!Q7+1,IF(P8=plant!$E$6,1,0))</f>
        <v>6</v>
      </c>
      <c r="R8" s="156">
        <v>6</v>
      </c>
      <c r="S8" s="156">
        <f t="shared" si="2"/>
        <v>6</v>
      </c>
      <c r="T8" s="156">
        <v>6</v>
      </c>
      <c r="U8" s="171">
        <v>6</v>
      </c>
      <c r="V8" s="171">
        <f>IF(AND(Crop!V7&gt;0,V7&lt;paddy_rain!$D$6),Crop!V7+1,IF(U8=paddy_rain!$E$6,1,0))</f>
        <v>0</v>
      </c>
      <c r="W8" s="171">
        <v>6</v>
      </c>
      <c r="X8" s="171">
        <f t="shared" si="3"/>
        <v>41</v>
      </c>
      <c r="Y8" s="171">
        <v>6</v>
      </c>
      <c r="Z8" s="174">
        <v>6</v>
      </c>
      <c r="AA8" s="174">
        <f>IF(AND(Crop!AA7&gt;0,AA7&lt;upland_rain!$D$6),Crop!AA7+1,IF(Z8=upland_rain!$E$6,1,0))</f>
        <v>0</v>
      </c>
      <c r="AB8" s="174">
        <v>6</v>
      </c>
      <c r="AC8" s="174">
        <f t="shared" si="4"/>
        <v>41</v>
      </c>
      <c r="AD8" s="174">
        <v>6</v>
      </c>
    </row>
    <row r="9" spans="2:30" x14ac:dyDescent="0.15">
      <c r="B9" s="22" t="s">
        <v>4</v>
      </c>
      <c r="C9" s="24">
        <v>14</v>
      </c>
      <c r="F9" s="29">
        <v>7</v>
      </c>
      <c r="G9" s="29">
        <f>IF(AND(Crop!G8&gt;0,G8&lt;paddy_Dry!$D$6),Crop!G8+1,IF(F9=paddy_Dry!$E$6,1,0))</f>
        <v>0</v>
      </c>
      <c r="H9" s="29">
        <v>7</v>
      </c>
      <c r="I9" s="29">
        <f t="shared" si="0"/>
        <v>20</v>
      </c>
      <c r="J9" s="29">
        <v>7</v>
      </c>
      <c r="K9" s="150">
        <v>7</v>
      </c>
      <c r="L9" s="150">
        <f>IF(AND(Crop!L8&gt;0,L8&lt;upland_dry!$D$6),Crop!L8+1,IF(K9=upland_dry!$E$6,1,0))</f>
        <v>0</v>
      </c>
      <c r="M9" s="150">
        <v>7</v>
      </c>
      <c r="N9" s="150">
        <f t="shared" si="1"/>
        <v>18</v>
      </c>
      <c r="O9" s="150">
        <v>7</v>
      </c>
      <c r="P9" s="156">
        <v>7</v>
      </c>
      <c r="Q9" s="156">
        <f>IF(AND(Crop!Q8&gt;0,Q8&lt;plant!$D$6),Crop!Q8+1,IF(P9=plant!$E$6,1,0))</f>
        <v>7</v>
      </c>
      <c r="R9" s="156">
        <v>7</v>
      </c>
      <c r="S9" s="156">
        <f t="shared" si="2"/>
        <v>7</v>
      </c>
      <c r="T9" s="156">
        <v>7</v>
      </c>
      <c r="U9" s="171">
        <v>7</v>
      </c>
      <c r="V9" s="171">
        <f>IF(AND(Crop!V8&gt;0,V8&lt;paddy_rain!$D$6),Crop!V8+1,IF(U9=paddy_rain!$E$6,1,0))</f>
        <v>0</v>
      </c>
      <c r="W9" s="171">
        <v>7</v>
      </c>
      <c r="X9" s="171">
        <f t="shared" si="3"/>
        <v>42</v>
      </c>
      <c r="Y9" s="171">
        <v>7</v>
      </c>
      <c r="Z9" s="174">
        <v>7</v>
      </c>
      <c r="AA9" s="174">
        <f>IF(AND(Crop!AA8&gt;0,AA8&lt;upland_rain!$D$6),Crop!AA8+1,IF(Z9=upland_rain!$E$6,1,0))</f>
        <v>0</v>
      </c>
      <c r="AB9" s="174">
        <v>7</v>
      </c>
      <c r="AC9" s="174">
        <f t="shared" si="4"/>
        <v>42</v>
      </c>
      <c r="AD9" s="174">
        <v>7</v>
      </c>
    </row>
    <row r="10" spans="2:30" x14ac:dyDescent="0.15">
      <c r="B10" s="22" t="s">
        <v>682</v>
      </c>
      <c r="C10" s="24">
        <v>15</v>
      </c>
      <c r="F10" s="29">
        <v>8</v>
      </c>
      <c r="G10" s="29">
        <f>IF(AND(Crop!G9&gt;0,G9&lt;paddy_Dry!$D$6),Crop!G9+1,IF(F10=paddy_Dry!$E$6,1,0))</f>
        <v>0</v>
      </c>
      <c r="H10" s="29">
        <v>8</v>
      </c>
      <c r="I10" s="29">
        <f t="shared" si="0"/>
        <v>21</v>
      </c>
      <c r="J10" s="29">
        <v>8</v>
      </c>
      <c r="K10" s="150">
        <v>8</v>
      </c>
      <c r="L10" s="150">
        <f>IF(AND(Crop!L9&gt;0,L9&lt;upland_dry!$D$6),Crop!L9+1,IF(K10=upland_dry!$E$6,1,0))</f>
        <v>0</v>
      </c>
      <c r="M10" s="150">
        <v>8</v>
      </c>
      <c r="N10" s="150">
        <f t="shared" si="1"/>
        <v>19</v>
      </c>
      <c r="O10" s="150">
        <v>8</v>
      </c>
      <c r="P10" s="156">
        <v>8</v>
      </c>
      <c r="Q10" s="156">
        <f>IF(AND(Crop!Q9&gt;0,Q9&lt;plant!$D$6),Crop!Q9+1,IF(P10=plant!$E$6,1,0))</f>
        <v>8</v>
      </c>
      <c r="R10" s="156">
        <v>8</v>
      </c>
      <c r="S10" s="156">
        <f t="shared" si="2"/>
        <v>8</v>
      </c>
      <c r="T10" s="156">
        <v>8</v>
      </c>
      <c r="U10" s="171">
        <v>8</v>
      </c>
      <c r="V10" s="171">
        <f>IF(AND(Crop!V9&gt;0,V9&lt;paddy_rain!$D$6),Crop!V9+1,IF(U10=paddy_rain!$E$6,1,0))</f>
        <v>0</v>
      </c>
      <c r="W10" s="171">
        <v>8</v>
      </c>
      <c r="X10" s="171">
        <f t="shared" si="3"/>
        <v>43</v>
      </c>
      <c r="Y10" s="171">
        <v>8</v>
      </c>
      <c r="Z10" s="174">
        <v>8</v>
      </c>
      <c r="AA10" s="174">
        <f>IF(AND(Crop!AA9&gt;0,AA9&lt;upland_rain!$D$6),Crop!AA9+1,IF(Z10=upland_rain!$E$6,1,0))</f>
        <v>0</v>
      </c>
      <c r="AB10" s="174">
        <v>8</v>
      </c>
      <c r="AC10" s="174">
        <f t="shared" si="4"/>
        <v>43</v>
      </c>
      <c r="AD10" s="174">
        <v>8</v>
      </c>
    </row>
    <row r="11" spans="2:30" x14ac:dyDescent="0.15">
      <c r="B11" s="22" t="s">
        <v>683</v>
      </c>
      <c r="C11" s="24">
        <v>9</v>
      </c>
      <c r="F11" s="29">
        <v>9</v>
      </c>
      <c r="G11" s="29">
        <f>IF(AND(Crop!G10&gt;0,G10&lt;paddy_Dry!$D$6),Crop!G10+1,IF(F11=paddy_Dry!$E$6,1,0))</f>
        <v>0</v>
      </c>
      <c r="H11" s="29">
        <v>9</v>
      </c>
      <c r="I11" s="29">
        <f t="shared" si="0"/>
        <v>22</v>
      </c>
      <c r="J11" s="29">
        <v>9</v>
      </c>
      <c r="K11" s="150">
        <v>9</v>
      </c>
      <c r="L11" s="150">
        <f>IF(AND(Crop!L10&gt;0,L10&lt;upland_dry!$D$6),Crop!L10+1,IF(K11=upland_dry!$E$6,1,0))</f>
        <v>0</v>
      </c>
      <c r="M11" s="150">
        <v>9</v>
      </c>
      <c r="N11" s="150">
        <f t="shared" si="1"/>
        <v>20</v>
      </c>
      <c r="O11" s="150">
        <v>9</v>
      </c>
      <c r="P11" s="156">
        <v>9</v>
      </c>
      <c r="Q11" s="156">
        <f>IF(AND(Crop!Q10&gt;0,Q10&lt;plant!$D$6),Crop!Q10+1,IF(P11=plant!$E$6,1,0))</f>
        <v>9</v>
      </c>
      <c r="R11" s="156">
        <v>9</v>
      </c>
      <c r="S11" s="156">
        <f t="shared" si="2"/>
        <v>9</v>
      </c>
      <c r="T11" s="156">
        <v>9</v>
      </c>
      <c r="U11" s="171">
        <v>9</v>
      </c>
      <c r="V11" s="171">
        <f>IF(AND(Crop!V10&gt;0,V10&lt;paddy_rain!$D$6),Crop!V10+1,IF(U11=paddy_rain!$E$6,1,0))</f>
        <v>0</v>
      </c>
      <c r="W11" s="171">
        <v>9</v>
      </c>
      <c r="X11" s="171">
        <f t="shared" si="3"/>
        <v>44</v>
      </c>
      <c r="Y11" s="171">
        <v>9</v>
      </c>
      <c r="Z11" s="174">
        <v>9</v>
      </c>
      <c r="AA11" s="174">
        <f>IF(AND(Crop!AA10&gt;0,AA10&lt;upland_rain!$D$6),Crop!AA10+1,IF(Z11=upland_rain!$E$6,1,0))</f>
        <v>0</v>
      </c>
      <c r="AB11" s="174">
        <v>9</v>
      </c>
      <c r="AC11" s="174">
        <f t="shared" si="4"/>
        <v>44</v>
      </c>
      <c r="AD11" s="174">
        <v>9</v>
      </c>
    </row>
    <row r="12" spans="2:30" x14ac:dyDescent="0.15">
      <c r="B12" s="22" t="s">
        <v>5</v>
      </c>
      <c r="C12" s="24">
        <v>12</v>
      </c>
      <c r="F12" s="29">
        <v>10</v>
      </c>
      <c r="G12" s="29">
        <f>IF(AND(Crop!G11&gt;0,G11&lt;paddy_Dry!$D$6),Crop!G11+1,IF(F12=paddy_Dry!$E$6,1,0))</f>
        <v>0</v>
      </c>
      <c r="H12" s="29">
        <v>10</v>
      </c>
      <c r="I12" s="29">
        <f t="shared" si="0"/>
        <v>23</v>
      </c>
      <c r="J12" s="29">
        <v>10</v>
      </c>
      <c r="K12" s="150">
        <v>10</v>
      </c>
      <c r="L12" s="150">
        <f>IF(AND(Crop!L11&gt;0,L11&lt;upland_dry!$D$6),Crop!L11+1,IF(K12=upland_dry!$E$6,1,0))</f>
        <v>0</v>
      </c>
      <c r="M12" s="150">
        <v>10</v>
      </c>
      <c r="N12" s="150">
        <f t="shared" si="1"/>
        <v>21</v>
      </c>
      <c r="O12" s="150">
        <v>10</v>
      </c>
      <c r="P12" s="156">
        <v>10</v>
      </c>
      <c r="Q12" s="156">
        <f>IF(AND(Crop!Q11&gt;0,Q11&lt;plant!$D$6),Crop!Q11+1,IF(P12=plant!$E$6,1,0))</f>
        <v>10</v>
      </c>
      <c r="R12" s="156">
        <v>10</v>
      </c>
      <c r="S12" s="156">
        <f t="shared" si="2"/>
        <v>10</v>
      </c>
      <c r="T12" s="156">
        <v>10</v>
      </c>
      <c r="U12" s="171">
        <v>10</v>
      </c>
      <c r="V12" s="171">
        <f>IF(AND(Crop!V11&gt;0,V11&lt;paddy_rain!$D$6),Crop!V11+1,IF(U12=paddy_rain!$E$6,1,0))</f>
        <v>0</v>
      </c>
      <c r="W12" s="171">
        <v>10</v>
      </c>
      <c r="X12" s="171">
        <f t="shared" si="3"/>
        <v>45</v>
      </c>
      <c r="Y12" s="171">
        <v>10</v>
      </c>
      <c r="Z12" s="174">
        <v>10</v>
      </c>
      <c r="AA12" s="174">
        <f>IF(AND(Crop!AA11&gt;0,AA11&lt;upland_rain!$D$6),Crop!AA11+1,IF(Z12=upland_rain!$E$6,1,0))</f>
        <v>0</v>
      </c>
      <c r="AB12" s="174">
        <v>10</v>
      </c>
      <c r="AC12" s="174">
        <f t="shared" si="4"/>
        <v>45</v>
      </c>
      <c r="AD12" s="174">
        <v>10</v>
      </c>
    </row>
    <row r="13" spans="2:30" x14ac:dyDescent="0.15">
      <c r="B13" s="22" t="s">
        <v>6</v>
      </c>
      <c r="C13" s="24">
        <v>12</v>
      </c>
      <c r="F13" s="29">
        <v>11</v>
      </c>
      <c r="G13" s="29">
        <f>IF(AND(Crop!G12&gt;0,G12&lt;paddy_Dry!$D$6),Crop!G12+1,IF(F13=paddy_Dry!$E$6,1,0))</f>
        <v>0</v>
      </c>
      <c r="H13" s="29">
        <v>11</v>
      </c>
      <c r="I13" s="29">
        <f t="shared" si="0"/>
        <v>24</v>
      </c>
      <c r="J13" s="29">
        <v>11</v>
      </c>
      <c r="K13" s="150">
        <v>11</v>
      </c>
      <c r="L13" s="150">
        <f>IF(AND(Crop!L12&gt;0,L12&lt;upland_dry!$D$6),Crop!L12+1,IF(K13=upland_dry!$E$6,1,0))</f>
        <v>0</v>
      </c>
      <c r="M13" s="150">
        <v>11</v>
      </c>
      <c r="N13" s="150">
        <f t="shared" si="1"/>
        <v>22</v>
      </c>
      <c r="O13" s="150">
        <v>11</v>
      </c>
      <c r="P13" s="156">
        <v>11</v>
      </c>
      <c r="Q13" s="156">
        <f>IF(AND(Crop!Q12&gt;0,Q12&lt;plant!$D$6),Crop!Q12+1,IF(P13=plant!$E$6,1,0))</f>
        <v>11</v>
      </c>
      <c r="R13" s="156">
        <v>11</v>
      </c>
      <c r="S13" s="156">
        <f t="shared" si="2"/>
        <v>11</v>
      </c>
      <c r="T13" s="156">
        <v>11</v>
      </c>
      <c r="U13" s="171">
        <v>11</v>
      </c>
      <c r="V13" s="171">
        <f>IF(AND(Crop!V12&gt;0,V12&lt;paddy_rain!$D$6),Crop!V12+1,IF(U13=paddy_rain!$E$6,1,0))</f>
        <v>0</v>
      </c>
      <c r="W13" s="171">
        <v>11</v>
      </c>
      <c r="X13" s="171">
        <f t="shared" si="3"/>
        <v>46</v>
      </c>
      <c r="Y13" s="171">
        <v>11</v>
      </c>
      <c r="Z13" s="174">
        <v>11</v>
      </c>
      <c r="AA13" s="174">
        <f>IF(AND(Crop!AA12&gt;0,AA12&lt;upland_rain!$D$6),Crop!AA12+1,IF(Z13=upland_rain!$E$6,1,0))</f>
        <v>0</v>
      </c>
      <c r="AB13" s="174">
        <v>11</v>
      </c>
      <c r="AC13" s="174">
        <f t="shared" si="4"/>
        <v>46</v>
      </c>
      <c r="AD13" s="174">
        <v>11</v>
      </c>
    </row>
    <row r="14" spans="2:30" x14ac:dyDescent="0.15">
      <c r="B14" s="22" t="s">
        <v>684</v>
      </c>
      <c r="C14" s="24">
        <v>15</v>
      </c>
      <c r="F14" s="29">
        <v>12</v>
      </c>
      <c r="G14" s="29">
        <f>IF(AND(Crop!G13&gt;0,G13&lt;paddy_Dry!$D$6),Crop!G13+1,IF(F14=paddy_Dry!$E$6,1,0))</f>
        <v>0</v>
      </c>
      <c r="H14" s="29">
        <v>12</v>
      </c>
      <c r="I14" s="29">
        <f t="shared" si="0"/>
        <v>25</v>
      </c>
      <c r="J14" s="29">
        <v>12</v>
      </c>
      <c r="K14" s="150">
        <v>12</v>
      </c>
      <c r="L14" s="150">
        <f>IF(AND(Crop!L13&gt;0,L13&lt;upland_dry!$D$6),Crop!L13+1,IF(K14=upland_dry!$E$6,1,0))</f>
        <v>1</v>
      </c>
      <c r="M14" s="150">
        <v>12</v>
      </c>
      <c r="N14" s="150">
        <f t="shared" si="1"/>
        <v>23</v>
      </c>
      <c r="O14" s="150">
        <v>12</v>
      </c>
      <c r="P14" s="156">
        <v>12</v>
      </c>
      <c r="Q14" s="156">
        <f>IF(AND(Crop!Q13&gt;0,Q13&lt;plant!$D$6),Crop!Q13+1,IF(P14=plant!$E$6,1,0))</f>
        <v>12</v>
      </c>
      <c r="R14" s="156">
        <v>12</v>
      </c>
      <c r="S14" s="156">
        <f t="shared" si="2"/>
        <v>12</v>
      </c>
      <c r="T14" s="156">
        <v>12</v>
      </c>
      <c r="U14" s="171">
        <v>12</v>
      </c>
      <c r="V14" s="171">
        <f>IF(AND(Crop!V13&gt;0,V13&lt;paddy_rain!$D$6),Crop!V13+1,IF(U14=paddy_rain!$E$6,1,0))</f>
        <v>0</v>
      </c>
      <c r="W14" s="171">
        <v>12</v>
      </c>
      <c r="X14" s="171">
        <f t="shared" si="3"/>
        <v>47</v>
      </c>
      <c r="Y14" s="171">
        <v>12</v>
      </c>
      <c r="Z14" s="174">
        <v>12</v>
      </c>
      <c r="AA14" s="174">
        <f>IF(AND(Crop!AA13&gt;0,AA13&lt;upland_rain!$D$6),Crop!AA13+1,IF(Z14=upland_rain!$E$6,1,0))</f>
        <v>0</v>
      </c>
      <c r="AB14" s="174">
        <v>12</v>
      </c>
      <c r="AC14" s="174">
        <f t="shared" si="4"/>
        <v>47</v>
      </c>
      <c r="AD14" s="174">
        <v>12</v>
      </c>
    </row>
    <row r="15" spans="2:30" x14ac:dyDescent="0.15">
      <c r="B15" s="22" t="s">
        <v>7</v>
      </c>
      <c r="C15" s="24">
        <v>12</v>
      </c>
      <c r="F15" s="29">
        <v>13</v>
      </c>
      <c r="G15" s="29">
        <f>IF(AND(Crop!G14&gt;0,G14&lt;paddy_Dry!$D$6),Crop!G14+1,IF(F15=paddy_Dry!$E$6,1,0))</f>
        <v>0</v>
      </c>
      <c r="H15" s="29">
        <v>13</v>
      </c>
      <c r="I15" s="29">
        <f t="shared" si="0"/>
        <v>26</v>
      </c>
      <c r="J15" s="29">
        <v>13</v>
      </c>
      <c r="K15" s="150">
        <v>13</v>
      </c>
      <c r="L15" s="150">
        <f>IF(AND(Crop!L14&gt;0,L14&lt;upland_dry!$D$6),Crop!L14+1,IF(K15=upland_dry!$E$6,1,0))</f>
        <v>2</v>
      </c>
      <c r="M15" s="150">
        <v>13</v>
      </c>
      <c r="N15" s="150">
        <f t="shared" si="1"/>
        <v>24</v>
      </c>
      <c r="O15" s="150">
        <v>13</v>
      </c>
      <c r="P15" s="156">
        <v>13</v>
      </c>
      <c r="Q15" s="156">
        <f>IF(AND(Crop!Q14&gt;0,Q14&lt;plant!$D$6),Crop!Q14+1,IF(P15=plant!$E$6,1,0))</f>
        <v>13</v>
      </c>
      <c r="R15" s="156">
        <v>13</v>
      </c>
      <c r="S15" s="156">
        <f t="shared" si="2"/>
        <v>13</v>
      </c>
      <c r="T15" s="156">
        <v>13</v>
      </c>
      <c r="U15" s="171">
        <v>13</v>
      </c>
      <c r="V15" s="171">
        <f>IF(AND(Crop!V14&gt;0,V14&lt;paddy_rain!$D$6),Crop!V14+1,IF(U15=paddy_rain!$E$6,1,0))</f>
        <v>0</v>
      </c>
      <c r="W15" s="171">
        <v>13</v>
      </c>
      <c r="X15" s="171">
        <f t="shared" si="3"/>
        <v>48</v>
      </c>
      <c r="Y15" s="171">
        <v>13</v>
      </c>
      <c r="Z15" s="174">
        <v>13</v>
      </c>
      <c r="AA15" s="174">
        <f>IF(AND(Crop!AA14&gt;0,AA14&lt;upland_rain!$D$6),Crop!AA14+1,IF(Z15=upland_rain!$E$6,1,0))</f>
        <v>0</v>
      </c>
      <c r="AB15" s="174">
        <v>13</v>
      </c>
      <c r="AC15" s="174">
        <f t="shared" si="4"/>
        <v>48</v>
      </c>
      <c r="AD15" s="174">
        <v>13</v>
      </c>
    </row>
    <row r="16" spans="2:30" x14ac:dyDescent="0.15">
      <c r="B16" s="22" t="s">
        <v>153</v>
      </c>
      <c r="C16" s="24">
        <v>15</v>
      </c>
      <c r="F16" s="29">
        <v>14</v>
      </c>
      <c r="G16" s="29">
        <f>IF(AND(Crop!G15&gt;0,G15&lt;paddy_Dry!$D$6),Crop!G15+1,IF(F16=paddy_Dry!$E$6,1,0))</f>
        <v>1</v>
      </c>
      <c r="H16" s="29">
        <v>14</v>
      </c>
      <c r="I16" s="29">
        <f t="shared" si="0"/>
        <v>0</v>
      </c>
      <c r="J16" s="29">
        <v>14</v>
      </c>
      <c r="K16" s="150">
        <v>14</v>
      </c>
      <c r="L16" s="150">
        <f>IF(AND(Crop!L15&gt;0,L15&lt;upland_dry!$D$6),Crop!L15+1,IF(K16=upland_dry!$E$6,1,0))</f>
        <v>3</v>
      </c>
      <c r="M16" s="150">
        <v>14</v>
      </c>
      <c r="N16" s="150">
        <f t="shared" si="1"/>
        <v>25</v>
      </c>
      <c r="O16" s="150">
        <v>14</v>
      </c>
      <c r="P16" s="156">
        <v>14</v>
      </c>
      <c r="Q16" s="156">
        <f>IF(AND(Crop!Q15&gt;0,Q15&lt;plant!$D$6),Crop!Q15+1,IF(P16=plant!$E$6,1,0))</f>
        <v>14</v>
      </c>
      <c r="R16" s="156">
        <v>14</v>
      </c>
      <c r="S16" s="156">
        <f t="shared" si="2"/>
        <v>14</v>
      </c>
      <c r="T16" s="156">
        <v>14</v>
      </c>
      <c r="U16" s="171">
        <v>14</v>
      </c>
      <c r="V16" s="171">
        <f>IF(AND(Crop!V15&gt;0,V15&lt;paddy_rain!$D$6),Crop!V15+1,IF(U16=paddy_rain!$E$6,1,0))</f>
        <v>0</v>
      </c>
      <c r="W16" s="171">
        <v>14</v>
      </c>
      <c r="X16" s="171">
        <f t="shared" si="3"/>
        <v>0</v>
      </c>
      <c r="Y16" s="171">
        <v>14</v>
      </c>
      <c r="Z16" s="174">
        <v>14</v>
      </c>
      <c r="AA16" s="174">
        <f>IF(AND(Crop!AA15&gt;0,AA15&lt;upland_rain!$D$6),Crop!AA15+1,IF(Z16=upland_rain!$E$6,1,0))</f>
        <v>0</v>
      </c>
      <c r="AB16" s="174">
        <v>14</v>
      </c>
      <c r="AC16" s="174">
        <f t="shared" si="4"/>
        <v>49</v>
      </c>
      <c r="AD16" s="174">
        <v>14</v>
      </c>
    </row>
    <row r="17" spans="2:30" x14ac:dyDescent="0.15">
      <c r="B17" s="22" t="s">
        <v>154</v>
      </c>
      <c r="C17" s="24">
        <v>15</v>
      </c>
      <c r="F17" s="29">
        <v>15</v>
      </c>
      <c r="G17" s="29">
        <f>IF(AND(Crop!G16&gt;0,G16&lt;paddy_Dry!$D$6),Crop!G16+1,IF(F17=paddy_Dry!$E$6,1,0))</f>
        <v>2</v>
      </c>
      <c r="H17" s="29">
        <v>15</v>
      </c>
      <c r="I17" s="29">
        <f t="shared" si="0"/>
        <v>0</v>
      </c>
      <c r="J17" s="29">
        <v>15</v>
      </c>
      <c r="K17" s="150">
        <v>15</v>
      </c>
      <c r="L17" s="150">
        <f>IF(AND(Crop!L16&gt;0,L16&lt;upland_dry!$D$6),Crop!L16+1,IF(K17=upland_dry!$E$6,1,0))</f>
        <v>4</v>
      </c>
      <c r="M17" s="150">
        <v>15</v>
      </c>
      <c r="N17" s="150">
        <f t="shared" si="1"/>
        <v>26</v>
      </c>
      <c r="O17" s="150">
        <v>15</v>
      </c>
      <c r="P17" s="156">
        <v>15</v>
      </c>
      <c r="Q17" s="156">
        <f>IF(AND(Crop!Q16&gt;0,Q16&lt;plant!$D$6),Crop!Q16+1,IF(P17=plant!$E$6,1,0))</f>
        <v>15</v>
      </c>
      <c r="R17" s="156">
        <v>15</v>
      </c>
      <c r="S17" s="156">
        <f t="shared" si="2"/>
        <v>15</v>
      </c>
      <c r="T17" s="156">
        <v>15</v>
      </c>
      <c r="U17" s="171">
        <v>15</v>
      </c>
      <c r="V17" s="171">
        <f>IF(AND(Crop!V16&gt;0,V16&lt;paddy_rain!$D$6),Crop!V16+1,IF(U17=paddy_rain!$E$6,1,0))</f>
        <v>0</v>
      </c>
      <c r="W17" s="171">
        <v>15</v>
      </c>
      <c r="X17" s="171">
        <f t="shared" si="3"/>
        <v>0</v>
      </c>
      <c r="Y17" s="171">
        <v>15</v>
      </c>
      <c r="Z17" s="174">
        <v>15</v>
      </c>
      <c r="AA17" s="174">
        <f>IF(AND(Crop!AA16&gt;0,AA16&lt;upland_rain!$D$6),Crop!AA16+1,IF(Z17=upland_rain!$E$6,1,0))</f>
        <v>0</v>
      </c>
      <c r="AB17" s="174">
        <v>15</v>
      </c>
      <c r="AC17" s="174">
        <f t="shared" si="4"/>
        <v>50</v>
      </c>
      <c r="AD17" s="174">
        <v>15</v>
      </c>
    </row>
    <row r="18" spans="2:30" x14ac:dyDescent="0.15">
      <c r="B18" s="22" t="s">
        <v>685</v>
      </c>
      <c r="C18" s="24">
        <v>12</v>
      </c>
      <c r="F18" s="29">
        <v>16</v>
      </c>
      <c r="G18" s="29">
        <f>IF(AND(Crop!G17&gt;0,G17&lt;paddy_Dry!$D$6),Crop!G17+1,IF(F18=paddy_Dry!$E$6,1,0))</f>
        <v>3</v>
      </c>
      <c r="H18" s="29">
        <v>16</v>
      </c>
      <c r="I18" s="29">
        <f t="shared" si="0"/>
        <v>0</v>
      </c>
      <c r="J18" s="29">
        <v>16</v>
      </c>
      <c r="K18" s="150">
        <v>16</v>
      </c>
      <c r="L18" s="150">
        <f>IF(AND(Crop!L17&gt;0,L17&lt;upland_dry!$D$6),Crop!L17+1,IF(K18=upland_dry!$E$6,1,0))</f>
        <v>5</v>
      </c>
      <c r="M18" s="150">
        <v>16</v>
      </c>
      <c r="N18" s="150">
        <f t="shared" si="1"/>
        <v>27</v>
      </c>
      <c r="O18" s="150">
        <v>16</v>
      </c>
      <c r="P18" s="156">
        <v>16</v>
      </c>
      <c r="Q18" s="156">
        <f>IF(AND(Crop!Q17&gt;0,Q17&lt;plant!$D$6),Crop!Q17+1,IF(P18=plant!$E$6,1,0))</f>
        <v>16</v>
      </c>
      <c r="R18" s="156">
        <v>16</v>
      </c>
      <c r="S18" s="156">
        <f t="shared" si="2"/>
        <v>16</v>
      </c>
      <c r="T18" s="156">
        <v>16</v>
      </c>
      <c r="U18" s="171">
        <v>16</v>
      </c>
      <c r="V18" s="171">
        <f>IF(AND(Crop!V17&gt;0,V17&lt;paddy_rain!$D$6),Crop!V17+1,IF(U18=paddy_rain!$E$6,1,0))</f>
        <v>0</v>
      </c>
      <c r="W18" s="171">
        <v>16</v>
      </c>
      <c r="X18" s="171">
        <f t="shared" si="3"/>
        <v>0</v>
      </c>
      <c r="Y18" s="171">
        <v>16</v>
      </c>
      <c r="Z18" s="174">
        <v>16</v>
      </c>
      <c r="AA18" s="174">
        <f>IF(AND(Crop!AA17&gt;0,AA17&lt;upland_rain!$D$6),Crop!AA17+1,IF(Z18=upland_rain!$E$6,1,0))</f>
        <v>0</v>
      </c>
      <c r="AB18" s="174">
        <v>16</v>
      </c>
      <c r="AC18" s="174">
        <f t="shared" si="4"/>
        <v>51</v>
      </c>
      <c r="AD18" s="174">
        <v>16</v>
      </c>
    </row>
    <row r="19" spans="2:30" x14ac:dyDescent="0.15">
      <c r="B19" s="22" t="s">
        <v>8</v>
      </c>
      <c r="C19" s="24">
        <v>11</v>
      </c>
      <c r="F19" s="29">
        <v>17</v>
      </c>
      <c r="G19" s="29">
        <f>IF(AND(Crop!G18&gt;0,G18&lt;paddy_Dry!$D$6),Crop!G18+1,IF(F19=paddy_Dry!$E$6,1,0))</f>
        <v>4</v>
      </c>
      <c r="H19" s="29">
        <v>17</v>
      </c>
      <c r="I19" s="29">
        <f t="shared" si="0"/>
        <v>0</v>
      </c>
      <c r="J19" s="29">
        <v>17</v>
      </c>
      <c r="K19" s="150">
        <v>17</v>
      </c>
      <c r="L19" s="150">
        <f>IF(AND(Crop!L18&gt;0,L18&lt;upland_dry!$D$6),Crop!L18+1,IF(K19=upland_dry!$E$6,1,0))</f>
        <v>6</v>
      </c>
      <c r="M19" s="150">
        <v>17</v>
      </c>
      <c r="N19" s="150">
        <f t="shared" si="1"/>
        <v>28</v>
      </c>
      <c r="O19" s="150">
        <v>17</v>
      </c>
      <c r="P19" s="156">
        <v>17</v>
      </c>
      <c r="Q19" s="156">
        <f>IF(AND(Crop!Q18&gt;0,Q18&lt;plant!$D$6),Crop!Q18+1,IF(P19=plant!$E$6,1,0))</f>
        <v>17</v>
      </c>
      <c r="R19" s="156">
        <v>17</v>
      </c>
      <c r="S19" s="156">
        <f t="shared" si="2"/>
        <v>17</v>
      </c>
      <c r="T19" s="156">
        <v>17</v>
      </c>
      <c r="U19" s="171">
        <v>17</v>
      </c>
      <c r="V19" s="171">
        <f>IF(AND(Crop!V18&gt;0,V18&lt;paddy_rain!$D$6),Crop!V18+1,IF(U19=paddy_rain!$E$6,1,0))</f>
        <v>0</v>
      </c>
      <c r="W19" s="171">
        <v>17</v>
      </c>
      <c r="X19" s="171">
        <f t="shared" si="3"/>
        <v>0</v>
      </c>
      <c r="Y19" s="171">
        <v>17</v>
      </c>
      <c r="Z19" s="174">
        <v>17</v>
      </c>
      <c r="AA19" s="174">
        <f>IF(AND(Crop!AA18&gt;0,AA18&lt;upland_rain!$D$6),Crop!AA18+1,IF(Z19=upland_rain!$E$6,1,0))</f>
        <v>0</v>
      </c>
      <c r="AB19" s="174">
        <v>17</v>
      </c>
      <c r="AC19" s="174">
        <f t="shared" si="4"/>
        <v>52</v>
      </c>
      <c r="AD19" s="174">
        <v>17</v>
      </c>
    </row>
    <row r="20" spans="2:30" x14ac:dyDescent="0.15">
      <c r="B20" s="22" t="s">
        <v>155</v>
      </c>
      <c r="C20" s="24">
        <v>7</v>
      </c>
      <c r="F20" s="29">
        <v>18</v>
      </c>
      <c r="G20" s="29">
        <f>IF(AND(Crop!G19&gt;0,G19&lt;paddy_Dry!$D$6),Crop!G19+1,IF(F20=paddy_Dry!$E$6,1,0))</f>
        <v>5</v>
      </c>
      <c r="H20" s="29">
        <v>18</v>
      </c>
      <c r="I20" s="29">
        <f t="shared" si="0"/>
        <v>0</v>
      </c>
      <c r="J20" s="29">
        <v>18</v>
      </c>
      <c r="K20" s="150">
        <v>18</v>
      </c>
      <c r="L20" s="150">
        <f>IF(AND(Crop!L19&gt;0,L19&lt;upland_dry!$D$6),Crop!L19+1,IF(K20=upland_dry!$E$6,1,0))</f>
        <v>7</v>
      </c>
      <c r="M20" s="150">
        <v>18</v>
      </c>
      <c r="N20" s="150">
        <f t="shared" si="1"/>
        <v>29</v>
      </c>
      <c r="O20" s="150">
        <v>18</v>
      </c>
      <c r="P20" s="156">
        <v>18</v>
      </c>
      <c r="Q20" s="156">
        <f>IF(AND(Crop!Q19&gt;0,Q19&lt;plant!$D$6),Crop!Q19+1,IF(P20=plant!$E$6,1,0))</f>
        <v>18</v>
      </c>
      <c r="R20" s="156">
        <v>18</v>
      </c>
      <c r="S20" s="156">
        <f t="shared" si="2"/>
        <v>18</v>
      </c>
      <c r="T20" s="156">
        <v>18</v>
      </c>
      <c r="U20" s="171">
        <v>18</v>
      </c>
      <c r="V20" s="171">
        <f>IF(AND(Crop!V19&gt;0,V19&lt;paddy_rain!$D$6),Crop!V19+1,IF(U20=paddy_rain!$E$6,1,0))</f>
        <v>0</v>
      </c>
      <c r="W20" s="171">
        <v>18</v>
      </c>
      <c r="X20" s="171">
        <f t="shared" si="3"/>
        <v>0</v>
      </c>
      <c r="Y20" s="171">
        <v>18</v>
      </c>
      <c r="Z20" s="174">
        <v>18</v>
      </c>
      <c r="AA20" s="174">
        <f>IF(AND(Crop!AA19&gt;0,AA19&lt;upland_rain!$D$6),Crop!AA19+1,IF(Z20=upland_rain!$E$6,1,0))</f>
        <v>0</v>
      </c>
      <c r="AB20" s="174">
        <v>18</v>
      </c>
      <c r="AC20" s="174">
        <f t="shared" si="4"/>
        <v>1</v>
      </c>
      <c r="AD20" s="174">
        <v>18</v>
      </c>
    </row>
    <row r="21" spans="2:30" x14ac:dyDescent="0.15">
      <c r="B21" s="22" t="s">
        <v>9</v>
      </c>
      <c r="C21" s="24">
        <v>8</v>
      </c>
      <c r="F21" s="29">
        <v>19</v>
      </c>
      <c r="G21" s="29">
        <f>IF(AND(Crop!G20&gt;0,G20&lt;paddy_Dry!$D$6),Crop!G20+1,IF(F21=paddy_Dry!$E$6,1,0))</f>
        <v>6</v>
      </c>
      <c r="H21" s="29">
        <v>19</v>
      </c>
      <c r="I21" s="29">
        <f t="shared" si="0"/>
        <v>0</v>
      </c>
      <c r="J21" s="29">
        <v>19</v>
      </c>
      <c r="K21" s="150">
        <v>19</v>
      </c>
      <c r="L21" s="150">
        <f>IF(AND(Crop!L20&gt;0,L20&lt;upland_dry!$D$6),Crop!L20+1,IF(K21=upland_dry!$E$6,1,0))</f>
        <v>8</v>
      </c>
      <c r="M21" s="150">
        <v>19</v>
      </c>
      <c r="N21" s="150">
        <f t="shared" si="1"/>
        <v>30</v>
      </c>
      <c r="O21" s="150">
        <v>19</v>
      </c>
      <c r="P21" s="156">
        <v>19</v>
      </c>
      <c r="Q21" s="156">
        <f>IF(AND(Crop!Q20&gt;0,Q20&lt;plant!$D$6),Crop!Q20+1,IF(P21=plant!$E$6,1,0))</f>
        <v>19</v>
      </c>
      <c r="R21" s="156">
        <v>19</v>
      </c>
      <c r="S21" s="156">
        <f t="shared" si="2"/>
        <v>19</v>
      </c>
      <c r="T21" s="156">
        <v>19</v>
      </c>
      <c r="U21" s="171">
        <v>19</v>
      </c>
      <c r="V21" s="171">
        <f>IF(AND(Crop!V20&gt;0,V20&lt;paddy_rain!$D$6),Crop!V20+1,IF(U21=paddy_rain!$E$6,1,0))</f>
        <v>0</v>
      </c>
      <c r="W21" s="171">
        <v>19</v>
      </c>
      <c r="X21" s="171">
        <f t="shared" si="3"/>
        <v>0</v>
      </c>
      <c r="Y21" s="171">
        <v>19</v>
      </c>
      <c r="Z21" s="174">
        <v>19</v>
      </c>
      <c r="AA21" s="174">
        <f>IF(AND(Crop!AA20&gt;0,AA20&lt;upland_rain!$D$6),Crop!AA20+1,IF(Z21=upland_rain!$E$6,1,0))</f>
        <v>0</v>
      </c>
      <c r="AB21" s="174">
        <v>19</v>
      </c>
      <c r="AC21" s="174">
        <f t="shared" si="4"/>
        <v>2</v>
      </c>
      <c r="AD21" s="174">
        <v>19</v>
      </c>
    </row>
    <row r="22" spans="2:30" x14ac:dyDescent="0.15">
      <c r="B22" s="22" t="s">
        <v>156</v>
      </c>
      <c r="C22" s="24">
        <v>9</v>
      </c>
      <c r="F22" s="29">
        <v>20</v>
      </c>
      <c r="G22" s="29">
        <f>IF(AND(Crop!G21&gt;0,G21&lt;paddy_Dry!$D$6),Crop!G21+1,IF(F22=paddy_Dry!$E$6,1,0))</f>
        <v>7</v>
      </c>
      <c r="H22" s="29">
        <v>20</v>
      </c>
      <c r="I22" s="29">
        <f t="shared" si="0"/>
        <v>0</v>
      </c>
      <c r="J22" s="29">
        <v>20</v>
      </c>
      <c r="K22" s="150">
        <v>20</v>
      </c>
      <c r="L22" s="150">
        <f>IF(AND(Crop!L21&gt;0,L21&lt;upland_dry!$D$6),Crop!L21+1,IF(K22=upland_dry!$E$6,1,0))</f>
        <v>9</v>
      </c>
      <c r="M22" s="150">
        <v>20</v>
      </c>
      <c r="N22" s="150">
        <f t="shared" si="1"/>
        <v>31</v>
      </c>
      <c r="O22" s="150">
        <v>20</v>
      </c>
      <c r="P22" s="156">
        <v>20</v>
      </c>
      <c r="Q22" s="156">
        <f>IF(AND(Crop!Q21&gt;0,Q21&lt;plant!$D$6),Crop!Q21+1,IF(P22=plant!$E$6,1,0))</f>
        <v>20</v>
      </c>
      <c r="R22" s="156">
        <v>20</v>
      </c>
      <c r="S22" s="156">
        <f t="shared" si="2"/>
        <v>20</v>
      </c>
      <c r="T22" s="156">
        <v>20</v>
      </c>
      <c r="U22" s="171">
        <v>20</v>
      </c>
      <c r="V22" s="171">
        <f>IF(AND(Crop!V21&gt;0,V21&lt;paddy_rain!$D$6),Crop!V21+1,IF(U22=paddy_rain!$E$6,1,0))</f>
        <v>0</v>
      </c>
      <c r="W22" s="171">
        <v>20</v>
      </c>
      <c r="X22" s="171">
        <f t="shared" si="3"/>
        <v>0</v>
      </c>
      <c r="Y22" s="171">
        <v>20</v>
      </c>
      <c r="Z22" s="174">
        <v>20</v>
      </c>
      <c r="AA22" s="174">
        <f>IF(AND(Crop!AA21&gt;0,AA21&lt;upland_rain!$D$6),Crop!AA21+1,IF(Z22=upland_rain!$E$6,1,0))</f>
        <v>0</v>
      </c>
      <c r="AB22" s="174">
        <v>20</v>
      </c>
      <c r="AC22" s="174">
        <f t="shared" si="4"/>
        <v>3</v>
      </c>
      <c r="AD22" s="174">
        <v>20</v>
      </c>
    </row>
    <row r="23" spans="2:30" x14ac:dyDescent="0.15">
      <c r="B23" s="1" t="s">
        <v>176</v>
      </c>
      <c r="C23" s="24">
        <v>26</v>
      </c>
      <c r="F23" s="29">
        <v>21</v>
      </c>
      <c r="G23" s="29">
        <f>IF(AND(Crop!G22&gt;0,G22&lt;paddy_Dry!$D$6),Crop!G22+1,IF(F23=paddy_Dry!$E$6,1,0))</f>
        <v>8</v>
      </c>
      <c r="H23" s="29">
        <v>21</v>
      </c>
      <c r="I23" s="29">
        <f t="shared" si="0"/>
        <v>0</v>
      </c>
      <c r="J23" s="29">
        <v>21</v>
      </c>
      <c r="K23" s="150">
        <v>21</v>
      </c>
      <c r="L23" s="150">
        <f>IF(AND(Crop!L22&gt;0,L22&lt;upland_dry!$D$6),Crop!L22+1,IF(K23=upland_dry!$E$6,1,0))</f>
        <v>10</v>
      </c>
      <c r="M23" s="150">
        <v>21</v>
      </c>
      <c r="N23" s="150">
        <f t="shared" si="1"/>
        <v>32</v>
      </c>
      <c r="O23" s="150">
        <v>21</v>
      </c>
      <c r="P23" s="156">
        <v>21</v>
      </c>
      <c r="Q23" s="156">
        <f>IF(AND(Crop!Q22&gt;0,Q22&lt;plant!$D$6),Crop!Q22+1,IF(P23=plant!$E$6,1,0))</f>
        <v>21</v>
      </c>
      <c r="R23" s="156">
        <v>21</v>
      </c>
      <c r="S23" s="156">
        <f t="shared" si="2"/>
        <v>21</v>
      </c>
      <c r="T23" s="156">
        <v>21</v>
      </c>
      <c r="U23" s="171">
        <v>21</v>
      </c>
      <c r="V23" s="171">
        <f>IF(AND(Crop!V22&gt;0,V22&lt;paddy_rain!$D$6),Crop!V22+1,IF(U23=paddy_rain!$E$6,1,0))</f>
        <v>0</v>
      </c>
      <c r="W23" s="171">
        <v>21</v>
      </c>
      <c r="X23" s="171">
        <f t="shared" si="3"/>
        <v>0</v>
      </c>
      <c r="Y23" s="171">
        <v>21</v>
      </c>
      <c r="Z23" s="174">
        <v>21</v>
      </c>
      <c r="AA23" s="174">
        <f>IF(AND(Crop!AA22&gt;0,AA22&lt;upland_rain!$D$6),Crop!AA22+1,IF(Z23=upland_rain!$E$6,1,0))</f>
        <v>0</v>
      </c>
      <c r="AB23" s="174">
        <v>21</v>
      </c>
      <c r="AC23" s="174">
        <f t="shared" si="4"/>
        <v>4</v>
      </c>
      <c r="AD23" s="174">
        <v>21</v>
      </c>
    </row>
    <row r="24" spans="2:30" x14ac:dyDescent="0.15">
      <c r="B24" s="1" t="s">
        <v>177</v>
      </c>
      <c r="C24" s="24">
        <v>44</v>
      </c>
      <c r="F24" s="29">
        <v>22</v>
      </c>
      <c r="G24" s="29">
        <f>IF(AND(Crop!G23&gt;0,G23&lt;paddy_Dry!$D$6),Crop!G23+1,IF(F24=paddy_Dry!$E$6,1,0))</f>
        <v>9</v>
      </c>
      <c r="H24" s="29">
        <v>22</v>
      </c>
      <c r="I24" s="29">
        <f t="shared" si="0"/>
        <v>0</v>
      </c>
      <c r="J24" s="29">
        <v>22</v>
      </c>
      <c r="K24" s="150">
        <v>22</v>
      </c>
      <c r="L24" s="150">
        <f>IF(AND(Crop!L23&gt;0,L23&lt;upland_dry!$D$6),Crop!L23+1,IF(K24=upland_dry!$E$6,1,0))</f>
        <v>11</v>
      </c>
      <c r="M24" s="150">
        <v>22</v>
      </c>
      <c r="N24" s="150">
        <f t="shared" si="1"/>
        <v>33</v>
      </c>
      <c r="O24" s="150">
        <v>22</v>
      </c>
      <c r="P24" s="156">
        <v>22</v>
      </c>
      <c r="Q24" s="156">
        <f>IF(AND(Crop!Q23&gt;0,Q23&lt;plant!$D$6),Crop!Q23+1,IF(P24=plant!$E$6,1,0))</f>
        <v>22</v>
      </c>
      <c r="R24" s="156">
        <v>22</v>
      </c>
      <c r="S24" s="156">
        <f t="shared" si="2"/>
        <v>22</v>
      </c>
      <c r="T24" s="156">
        <v>22</v>
      </c>
      <c r="U24" s="171">
        <v>22</v>
      </c>
      <c r="V24" s="171">
        <f>IF(AND(Crop!V23&gt;0,V23&lt;paddy_rain!$D$6),Crop!V23+1,IF(U24=paddy_rain!$E$6,1,0))</f>
        <v>0</v>
      </c>
      <c r="W24" s="171">
        <v>22</v>
      </c>
      <c r="X24" s="171">
        <f t="shared" si="3"/>
        <v>0</v>
      </c>
      <c r="Y24" s="171">
        <v>22</v>
      </c>
      <c r="Z24" s="174">
        <v>22</v>
      </c>
      <c r="AA24" s="174">
        <f>IF(AND(Crop!AA23&gt;0,AA23&lt;upland_rain!$D$6),Crop!AA23+1,IF(Z24=upland_rain!$E$6,1,0))</f>
        <v>0</v>
      </c>
      <c r="AB24" s="174">
        <v>22</v>
      </c>
      <c r="AC24" s="174">
        <f t="shared" si="4"/>
        <v>5</v>
      </c>
      <c r="AD24" s="174">
        <v>22</v>
      </c>
    </row>
    <row r="25" spans="2:30" x14ac:dyDescent="0.15">
      <c r="B25" s="1" t="s">
        <v>178</v>
      </c>
      <c r="C25" s="24">
        <v>35</v>
      </c>
      <c r="F25" s="29">
        <v>23</v>
      </c>
      <c r="G25" s="29">
        <f>IF(AND(Crop!G24&gt;0,G24&lt;paddy_Dry!$D$6),Crop!G24+1,IF(F25=paddy_Dry!$E$6,1,0))</f>
        <v>10</v>
      </c>
      <c r="H25" s="29">
        <v>23</v>
      </c>
      <c r="I25" s="29">
        <f t="shared" si="0"/>
        <v>0</v>
      </c>
      <c r="J25" s="29">
        <v>23</v>
      </c>
      <c r="K25" s="150">
        <v>23</v>
      </c>
      <c r="L25" s="150">
        <f>IF(AND(Crop!L24&gt;0,L24&lt;upland_dry!$D$6),Crop!L24+1,IF(K25=upland_dry!$E$6,1,0))</f>
        <v>12</v>
      </c>
      <c r="M25" s="150">
        <v>23</v>
      </c>
      <c r="N25" s="150">
        <f t="shared" si="1"/>
        <v>34</v>
      </c>
      <c r="O25" s="150">
        <v>23</v>
      </c>
      <c r="P25" s="156">
        <v>23</v>
      </c>
      <c r="Q25" s="156">
        <f>IF(AND(Crop!Q24&gt;0,Q24&lt;plant!$D$6),Crop!Q24+1,IF(P25=plant!$E$6,1,0))</f>
        <v>23</v>
      </c>
      <c r="R25" s="156">
        <v>23</v>
      </c>
      <c r="S25" s="156">
        <f t="shared" si="2"/>
        <v>23</v>
      </c>
      <c r="T25" s="156">
        <v>23</v>
      </c>
      <c r="U25" s="171">
        <v>23</v>
      </c>
      <c r="V25" s="171">
        <f>IF(AND(Crop!V24&gt;0,V24&lt;paddy_rain!$D$6),Crop!V24+1,IF(U25=paddy_rain!$E$6,1,0))</f>
        <v>0</v>
      </c>
      <c r="W25" s="171">
        <v>23</v>
      </c>
      <c r="X25" s="171">
        <f t="shared" si="3"/>
        <v>0</v>
      </c>
      <c r="Y25" s="171">
        <v>23</v>
      </c>
      <c r="Z25" s="174">
        <v>23</v>
      </c>
      <c r="AA25" s="174">
        <f>IF(AND(Crop!AA24&gt;0,AA24&lt;upland_rain!$D$6),Crop!AA24+1,IF(Z25=upland_rain!$E$6,1,0))</f>
        <v>0</v>
      </c>
      <c r="AB25" s="174">
        <v>23</v>
      </c>
      <c r="AC25" s="174">
        <f t="shared" si="4"/>
        <v>6</v>
      </c>
      <c r="AD25" s="174">
        <v>23</v>
      </c>
    </row>
    <row r="26" spans="2:30" x14ac:dyDescent="0.15">
      <c r="B26" s="1" t="s">
        <v>183</v>
      </c>
      <c r="C26" s="24">
        <v>52</v>
      </c>
      <c r="F26" s="29">
        <v>24</v>
      </c>
      <c r="G26" s="29">
        <f>IF(AND(Crop!G25&gt;0,G25&lt;paddy_Dry!$D$6),Crop!G25+1,IF(F26=paddy_Dry!$E$6,1,0))</f>
        <v>11</v>
      </c>
      <c r="H26" s="29">
        <v>24</v>
      </c>
      <c r="I26" s="29">
        <f t="shared" si="0"/>
        <v>0</v>
      </c>
      <c r="J26" s="29">
        <v>24</v>
      </c>
      <c r="K26" s="150">
        <v>24</v>
      </c>
      <c r="L26" s="150">
        <f>IF(AND(Crop!L25&gt;0,L25&lt;upland_dry!$D$6),Crop!L25+1,IF(K26=upland_dry!$E$6,1,0))</f>
        <v>13</v>
      </c>
      <c r="M26" s="150">
        <v>24</v>
      </c>
      <c r="N26" s="150">
        <f t="shared" si="1"/>
        <v>35</v>
      </c>
      <c r="O26" s="150">
        <v>24</v>
      </c>
      <c r="P26" s="156">
        <v>24</v>
      </c>
      <c r="Q26" s="156">
        <f>IF(AND(Crop!Q25&gt;0,Q25&lt;plant!$D$6),Crop!Q25+1,IF(P26=plant!$E$6,1,0))</f>
        <v>24</v>
      </c>
      <c r="R26" s="156">
        <v>24</v>
      </c>
      <c r="S26" s="156">
        <f t="shared" si="2"/>
        <v>24</v>
      </c>
      <c r="T26" s="156">
        <v>24</v>
      </c>
      <c r="U26" s="171">
        <v>24</v>
      </c>
      <c r="V26" s="171">
        <f>IF(AND(Crop!V25&gt;0,V25&lt;paddy_rain!$D$6),Crop!V25+1,IF(U26=paddy_rain!$E$6,1,0))</f>
        <v>0</v>
      </c>
      <c r="W26" s="171">
        <v>24</v>
      </c>
      <c r="X26" s="171">
        <f t="shared" si="3"/>
        <v>0</v>
      </c>
      <c r="Y26" s="171">
        <v>24</v>
      </c>
      <c r="Z26" s="174">
        <v>24</v>
      </c>
      <c r="AA26" s="174">
        <f>IF(AND(Crop!AA25&gt;0,AA25&lt;upland_rain!$D$6),Crop!AA25+1,IF(Z26=upland_rain!$E$6,1,0))</f>
        <v>0</v>
      </c>
      <c r="AB26" s="174">
        <v>24</v>
      </c>
      <c r="AC26" s="174">
        <f t="shared" si="4"/>
        <v>7</v>
      </c>
      <c r="AD26" s="174">
        <v>24</v>
      </c>
    </row>
    <row r="27" spans="2:30" x14ac:dyDescent="0.15">
      <c r="B27" s="1" t="s">
        <v>179</v>
      </c>
      <c r="C27" s="24">
        <v>26</v>
      </c>
      <c r="F27" s="29">
        <v>25</v>
      </c>
      <c r="G27" s="29">
        <f>IF(AND(Crop!G26&gt;0,G26&lt;paddy_Dry!$D$6),Crop!G26+1,IF(F27=paddy_Dry!$E$6,1,0))</f>
        <v>12</v>
      </c>
      <c r="H27" s="29">
        <v>25</v>
      </c>
      <c r="I27" s="29">
        <f t="shared" si="0"/>
        <v>0</v>
      </c>
      <c r="J27" s="29">
        <v>25</v>
      </c>
      <c r="K27" s="150">
        <v>25</v>
      </c>
      <c r="L27" s="150">
        <f>IF(AND(Crop!L26&gt;0,L26&lt;upland_dry!$D$6),Crop!L26+1,IF(K27=upland_dry!$E$6,1,0))</f>
        <v>14</v>
      </c>
      <c r="M27" s="150">
        <v>25</v>
      </c>
      <c r="N27" s="150">
        <f t="shared" si="1"/>
        <v>36</v>
      </c>
      <c r="O27" s="150">
        <v>25</v>
      </c>
      <c r="P27" s="156">
        <v>25</v>
      </c>
      <c r="Q27" s="156">
        <f>IF(AND(Crop!Q26&gt;0,Q26&lt;plant!$D$6),Crop!Q26+1,IF(P27=plant!$E$6,1,0))</f>
        <v>25</v>
      </c>
      <c r="R27" s="156">
        <v>25</v>
      </c>
      <c r="S27" s="156">
        <f t="shared" si="2"/>
        <v>25</v>
      </c>
      <c r="T27" s="156">
        <v>25</v>
      </c>
      <c r="U27" s="171">
        <v>25</v>
      </c>
      <c r="V27" s="171">
        <f>IF(AND(Crop!V26&gt;0,V26&lt;paddy_rain!$D$6),Crop!V26+1,IF(U27=paddy_rain!$E$6,1,0))</f>
        <v>0</v>
      </c>
      <c r="W27" s="171">
        <v>25</v>
      </c>
      <c r="X27" s="171">
        <f t="shared" si="3"/>
        <v>0</v>
      </c>
      <c r="Y27" s="171">
        <v>25</v>
      </c>
      <c r="Z27" s="174">
        <v>25</v>
      </c>
      <c r="AA27" s="174">
        <f>IF(AND(Crop!AA26&gt;0,AA26&lt;upland_rain!$D$6),Crop!AA26+1,IF(Z27=upland_rain!$E$6,1,0))</f>
        <v>0</v>
      </c>
      <c r="AB27" s="174">
        <v>25</v>
      </c>
      <c r="AC27" s="174">
        <f t="shared" si="4"/>
        <v>8</v>
      </c>
      <c r="AD27" s="174">
        <v>25</v>
      </c>
    </row>
    <row r="28" spans="2:30" x14ac:dyDescent="0.15">
      <c r="B28" s="1" t="s">
        <v>184</v>
      </c>
      <c r="C28" s="24">
        <v>52</v>
      </c>
      <c r="F28" s="29">
        <v>26</v>
      </c>
      <c r="G28" s="29">
        <f>IF(AND(Crop!G27&gt;0,G27&lt;paddy_Dry!$D$6),Crop!G27+1,IF(F28=paddy_Dry!$E$6,1,0))</f>
        <v>13</v>
      </c>
      <c r="H28" s="29">
        <v>26</v>
      </c>
      <c r="I28" s="29">
        <f t="shared" si="0"/>
        <v>0</v>
      </c>
      <c r="J28" s="29">
        <v>26</v>
      </c>
      <c r="K28" s="150">
        <v>26</v>
      </c>
      <c r="L28" s="150">
        <f>IF(AND(Crop!L27&gt;0,L27&lt;upland_dry!$D$6),Crop!L27+1,IF(K28=upland_dry!$E$6,1,0))</f>
        <v>15</v>
      </c>
      <c r="M28" s="150">
        <v>26</v>
      </c>
      <c r="N28" s="150">
        <f t="shared" si="1"/>
        <v>37</v>
      </c>
      <c r="O28" s="150">
        <v>26</v>
      </c>
      <c r="P28" s="156">
        <v>26</v>
      </c>
      <c r="Q28" s="156">
        <f>IF(AND(Crop!Q27&gt;0,Q27&lt;plant!$D$6),Crop!Q27+1,IF(P28=plant!$E$6,1,0))</f>
        <v>26</v>
      </c>
      <c r="R28" s="156">
        <v>26</v>
      </c>
      <c r="S28" s="156">
        <f t="shared" si="2"/>
        <v>26</v>
      </c>
      <c r="T28" s="156">
        <v>26</v>
      </c>
      <c r="U28" s="171">
        <v>26</v>
      </c>
      <c r="V28" s="171">
        <f>IF(AND(Crop!V27&gt;0,V27&lt;paddy_rain!$D$6),Crop!V27+1,IF(U28=paddy_rain!$E$6,1,0))</f>
        <v>0</v>
      </c>
      <c r="W28" s="171">
        <v>26</v>
      </c>
      <c r="X28" s="171">
        <f t="shared" si="3"/>
        <v>0</v>
      </c>
      <c r="Y28" s="171">
        <v>26</v>
      </c>
      <c r="Z28" s="174">
        <v>26</v>
      </c>
      <c r="AA28" s="174">
        <f>IF(AND(Crop!AA27&gt;0,AA27&lt;upland_rain!$D$6),Crop!AA27+1,IF(Z28=upland_rain!$E$6,1,0))</f>
        <v>0</v>
      </c>
      <c r="AB28" s="174">
        <v>26</v>
      </c>
      <c r="AC28" s="174">
        <f t="shared" si="4"/>
        <v>9</v>
      </c>
      <c r="AD28" s="174">
        <v>26</v>
      </c>
    </row>
    <row r="29" spans="2:30" x14ac:dyDescent="0.15">
      <c r="B29" s="1" t="s">
        <v>180</v>
      </c>
      <c r="C29" s="24">
        <v>52</v>
      </c>
      <c r="F29" s="29">
        <v>27</v>
      </c>
      <c r="G29" s="29">
        <f>IF(AND(Crop!G28&gt;0,G28&lt;paddy_Dry!$D$6),Crop!G28+1,IF(F29=paddy_Dry!$E$6,1,0))</f>
        <v>0</v>
      </c>
      <c r="H29" s="29">
        <v>27</v>
      </c>
      <c r="I29" s="29">
        <f t="shared" si="0"/>
        <v>0</v>
      </c>
      <c r="J29" s="29">
        <v>27</v>
      </c>
      <c r="K29" s="150">
        <v>27</v>
      </c>
      <c r="L29" s="150">
        <f>IF(AND(Crop!L28&gt;0,L28&lt;upland_dry!$D$6),Crop!L28+1,IF(K29=upland_dry!$E$6,1,0))</f>
        <v>16</v>
      </c>
      <c r="M29" s="150">
        <v>27</v>
      </c>
      <c r="N29" s="150">
        <f t="shared" si="1"/>
        <v>38</v>
      </c>
      <c r="O29" s="150">
        <v>27</v>
      </c>
      <c r="P29" s="156">
        <v>27</v>
      </c>
      <c r="Q29" s="156">
        <f>IF(AND(Crop!Q28&gt;0,Q28&lt;plant!$D$6),Crop!Q28+1,IF(P29=plant!$E$6,1,0))</f>
        <v>27</v>
      </c>
      <c r="R29" s="156">
        <v>27</v>
      </c>
      <c r="S29" s="156">
        <f t="shared" si="2"/>
        <v>27</v>
      </c>
      <c r="T29" s="156">
        <v>27</v>
      </c>
      <c r="U29" s="171">
        <v>27</v>
      </c>
      <c r="V29" s="171">
        <f>IF(AND(Crop!V28&gt;0,V28&lt;paddy_rain!$D$6),Crop!V28+1,IF(U29=paddy_rain!$E$6,1,0))</f>
        <v>0</v>
      </c>
      <c r="W29" s="171">
        <v>27</v>
      </c>
      <c r="X29" s="171">
        <f t="shared" si="3"/>
        <v>0</v>
      </c>
      <c r="Y29" s="171">
        <v>27</v>
      </c>
      <c r="Z29" s="174">
        <v>27</v>
      </c>
      <c r="AA29" s="174">
        <f>IF(AND(Crop!AA28&gt;0,AA28&lt;upland_rain!$D$6),Crop!AA28+1,IF(Z29=upland_rain!$E$6,1,0))</f>
        <v>0</v>
      </c>
      <c r="AB29" s="174">
        <v>27</v>
      </c>
      <c r="AC29" s="174">
        <f t="shared" si="4"/>
        <v>10</v>
      </c>
      <c r="AD29" s="174">
        <v>27</v>
      </c>
    </row>
    <row r="30" spans="2:30" x14ac:dyDescent="0.15">
      <c r="B30" s="1" t="s">
        <v>181</v>
      </c>
      <c r="C30" s="24">
        <v>52</v>
      </c>
      <c r="F30" s="29">
        <v>28</v>
      </c>
      <c r="G30" s="29">
        <f>IF(AND(Crop!G29&gt;0,G29&lt;paddy_Dry!$D$6),Crop!G29+1,IF(F30=paddy_Dry!$E$6,1,0))</f>
        <v>0</v>
      </c>
      <c r="H30" s="29">
        <v>28</v>
      </c>
      <c r="I30" s="29">
        <f t="shared" si="0"/>
        <v>0</v>
      </c>
      <c r="J30" s="29">
        <v>28</v>
      </c>
      <c r="K30" s="150">
        <v>28</v>
      </c>
      <c r="L30" s="150">
        <f>IF(AND(Crop!L29&gt;0,L29&lt;upland_dry!$D$6),Crop!L29+1,IF(K30=upland_dry!$E$6,1,0))</f>
        <v>17</v>
      </c>
      <c r="M30" s="150">
        <v>28</v>
      </c>
      <c r="N30" s="150">
        <f t="shared" si="1"/>
        <v>39</v>
      </c>
      <c r="O30" s="150">
        <v>28</v>
      </c>
      <c r="P30" s="156">
        <v>28</v>
      </c>
      <c r="Q30" s="156">
        <f>IF(AND(Crop!Q29&gt;0,Q29&lt;plant!$D$6),Crop!Q29+1,IF(P30=plant!$E$6,1,0))</f>
        <v>28</v>
      </c>
      <c r="R30" s="156">
        <v>28</v>
      </c>
      <c r="S30" s="156">
        <f t="shared" si="2"/>
        <v>28</v>
      </c>
      <c r="T30" s="156">
        <v>28</v>
      </c>
      <c r="U30" s="171">
        <v>28</v>
      </c>
      <c r="V30" s="171">
        <f>IF(AND(Crop!V29&gt;0,V29&lt;paddy_rain!$D$6),Crop!V29+1,IF(U30=paddy_rain!$E$6,1,0))</f>
        <v>0</v>
      </c>
      <c r="W30" s="171">
        <v>28</v>
      </c>
      <c r="X30" s="171">
        <f t="shared" si="3"/>
        <v>0</v>
      </c>
      <c r="Y30" s="171">
        <v>28</v>
      </c>
      <c r="Z30" s="174">
        <v>28</v>
      </c>
      <c r="AA30" s="174">
        <f>IF(AND(Crop!AA29&gt;0,AA29&lt;upland_rain!$D$6),Crop!AA29+1,IF(Z30=upland_rain!$E$6,1,0))</f>
        <v>0</v>
      </c>
      <c r="AB30" s="174">
        <v>28</v>
      </c>
      <c r="AC30" s="174">
        <f t="shared" si="4"/>
        <v>11</v>
      </c>
      <c r="AD30" s="174">
        <v>28</v>
      </c>
    </row>
    <row r="31" spans="2:30" x14ac:dyDescent="0.15">
      <c r="B31" s="1" t="s">
        <v>186</v>
      </c>
      <c r="C31" s="24">
        <v>52</v>
      </c>
      <c r="F31" s="29">
        <v>29</v>
      </c>
      <c r="G31" s="29">
        <f>IF(AND(Crop!G30&gt;0,G30&lt;paddy_Dry!$D$6),Crop!G30+1,IF(F31=paddy_Dry!$E$6,1,0))</f>
        <v>0</v>
      </c>
      <c r="H31" s="29">
        <v>29</v>
      </c>
      <c r="I31" s="29">
        <f t="shared" si="0"/>
        <v>0</v>
      </c>
      <c r="J31" s="29">
        <v>29</v>
      </c>
      <c r="K31" s="150">
        <v>29</v>
      </c>
      <c r="L31" s="150">
        <f>IF(AND(Crop!L30&gt;0,L30&lt;upland_dry!$D$6),Crop!L30+1,IF(K31=upland_dry!$E$6,1,0))</f>
        <v>18</v>
      </c>
      <c r="M31" s="150">
        <v>29</v>
      </c>
      <c r="N31" s="150">
        <f t="shared" si="1"/>
        <v>40</v>
      </c>
      <c r="O31" s="150">
        <v>29</v>
      </c>
      <c r="P31" s="156">
        <v>29</v>
      </c>
      <c r="Q31" s="156">
        <f>IF(AND(Crop!Q30&gt;0,Q30&lt;plant!$D$6),Crop!Q30+1,IF(P31=plant!$E$6,1,0))</f>
        <v>29</v>
      </c>
      <c r="R31" s="156">
        <v>29</v>
      </c>
      <c r="S31" s="156">
        <f t="shared" si="2"/>
        <v>29</v>
      </c>
      <c r="T31" s="156">
        <v>29</v>
      </c>
      <c r="U31" s="171">
        <v>29</v>
      </c>
      <c r="V31" s="171">
        <f>IF(AND(Crop!V30&gt;0,V30&lt;paddy_rain!$D$6),Crop!V30+1,IF(U31=paddy_rain!$E$6,1,0))</f>
        <v>0</v>
      </c>
      <c r="W31" s="171">
        <v>29</v>
      </c>
      <c r="X31" s="171">
        <f t="shared" si="3"/>
        <v>0</v>
      </c>
      <c r="Y31" s="171">
        <v>29</v>
      </c>
      <c r="Z31" s="174">
        <v>29</v>
      </c>
      <c r="AA31" s="174">
        <f>IF(AND(Crop!AA30&gt;0,AA30&lt;upland_rain!$D$6),Crop!AA30+1,IF(Z31=upland_rain!$E$6,1,0))</f>
        <v>0</v>
      </c>
      <c r="AB31" s="174">
        <v>29</v>
      </c>
      <c r="AC31" s="174">
        <f t="shared" si="4"/>
        <v>12</v>
      </c>
      <c r="AD31" s="174">
        <v>29</v>
      </c>
    </row>
    <row r="32" spans="2:30" x14ac:dyDescent="0.15">
      <c r="B32" s="1" t="s">
        <v>187</v>
      </c>
      <c r="C32" s="24">
        <v>52</v>
      </c>
      <c r="F32" s="29">
        <v>30</v>
      </c>
      <c r="G32" s="29">
        <f>IF(AND(Crop!G31&gt;0,G31&lt;paddy_Dry!$D$6),Crop!G31+1,IF(F32=paddy_Dry!$E$6,1,0))</f>
        <v>0</v>
      </c>
      <c r="H32" s="29">
        <v>30</v>
      </c>
      <c r="I32" s="29">
        <f t="shared" si="0"/>
        <v>0</v>
      </c>
      <c r="J32" s="29">
        <v>30</v>
      </c>
      <c r="K32" s="150">
        <v>30</v>
      </c>
      <c r="L32" s="150">
        <f>IF(AND(Crop!L31&gt;0,L31&lt;upland_dry!$D$6),Crop!L31+1,IF(K32=upland_dry!$E$6,1,0))</f>
        <v>19</v>
      </c>
      <c r="M32" s="150">
        <v>30</v>
      </c>
      <c r="N32" s="150">
        <f t="shared" si="1"/>
        <v>41</v>
      </c>
      <c r="O32" s="150">
        <v>30</v>
      </c>
      <c r="P32" s="156">
        <v>30</v>
      </c>
      <c r="Q32" s="156">
        <f>IF(AND(Crop!Q31&gt;0,Q31&lt;plant!$D$6),Crop!Q31+1,IF(P32=plant!$E$6,1,0))</f>
        <v>30</v>
      </c>
      <c r="R32" s="156">
        <v>30</v>
      </c>
      <c r="S32" s="156">
        <f t="shared" si="2"/>
        <v>30</v>
      </c>
      <c r="T32" s="156">
        <v>30</v>
      </c>
      <c r="U32" s="171">
        <v>30</v>
      </c>
      <c r="V32" s="171">
        <f>IF(AND(Crop!V31&gt;0,V31&lt;paddy_rain!$D$6),Crop!V31+1,IF(U32=paddy_rain!$E$6,1,0))</f>
        <v>0</v>
      </c>
      <c r="W32" s="171">
        <v>30</v>
      </c>
      <c r="X32" s="171">
        <f t="shared" si="3"/>
        <v>0</v>
      </c>
      <c r="Y32" s="171">
        <v>30</v>
      </c>
      <c r="Z32" s="174">
        <v>30</v>
      </c>
      <c r="AA32" s="174">
        <f>IF(AND(Crop!AA31&gt;0,AA31&lt;upland_rain!$D$6),Crop!AA31+1,IF(Z32=upland_rain!$E$6,1,0))</f>
        <v>0</v>
      </c>
      <c r="AB32" s="174">
        <v>30</v>
      </c>
      <c r="AC32" s="174">
        <f t="shared" si="4"/>
        <v>13</v>
      </c>
      <c r="AD32" s="174">
        <v>30</v>
      </c>
    </row>
    <row r="33" spans="2:30" x14ac:dyDescent="0.15">
      <c r="B33" s="1" t="s">
        <v>185</v>
      </c>
      <c r="C33" s="24">
        <v>52</v>
      </c>
      <c r="F33" s="29">
        <v>31</v>
      </c>
      <c r="G33" s="29">
        <f>IF(AND(Crop!G32&gt;0,G32&lt;paddy_Dry!$D$6),Crop!G32+1,IF(F33=paddy_Dry!$E$6,1,0))</f>
        <v>0</v>
      </c>
      <c r="H33" s="29">
        <v>31</v>
      </c>
      <c r="I33" s="29">
        <f t="shared" si="0"/>
        <v>0</v>
      </c>
      <c r="J33" s="29">
        <v>31</v>
      </c>
      <c r="K33" s="150">
        <v>31</v>
      </c>
      <c r="L33" s="150">
        <f>IF(AND(Crop!L32&gt;0,L32&lt;upland_dry!$D$6),Crop!L32+1,IF(K33=upland_dry!$E$6,1,0))</f>
        <v>20</v>
      </c>
      <c r="M33" s="150">
        <v>31</v>
      </c>
      <c r="N33" s="150">
        <f t="shared" si="1"/>
        <v>42</v>
      </c>
      <c r="O33" s="150">
        <v>31</v>
      </c>
      <c r="P33" s="156">
        <v>31</v>
      </c>
      <c r="Q33" s="156">
        <f>IF(AND(Crop!Q32&gt;0,Q32&lt;plant!$D$6),Crop!Q32+1,IF(P33=plant!$E$6,1,0))</f>
        <v>31</v>
      </c>
      <c r="R33" s="156">
        <v>31</v>
      </c>
      <c r="S33" s="156">
        <f t="shared" si="2"/>
        <v>31</v>
      </c>
      <c r="T33" s="156">
        <v>31</v>
      </c>
      <c r="U33" s="171">
        <v>31</v>
      </c>
      <c r="V33" s="171">
        <f>IF(AND(Crop!V32&gt;0,V32&lt;paddy_rain!$D$6),Crop!V32+1,IF(U33=paddy_rain!$E$6,1,0))</f>
        <v>0</v>
      </c>
      <c r="W33" s="171">
        <v>31</v>
      </c>
      <c r="X33" s="171">
        <f t="shared" si="3"/>
        <v>0</v>
      </c>
      <c r="Y33" s="171">
        <v>31</v>
      </c>
      <c r="Z33" s="174">
        <v>31</v>
      </c>
      <c r="AA33" s="174">
        <f>IF(AND(Crop!AA32&gt;0,AA32&lt;upland_rain!$D$6),Crop!AA32+1,IF(Z33=upland_rain!$E$6,1,0))</f>
        <v>0</v>
      </c>
      <c r="AB33" s="174">
        <v>31</v>
      </c>
      <c r="AC33" s="174">
        <f t="shared" si="4"/>
        <v>14</v>
      </c>
      <c r="AD33" s="174">
        <v>31</v>
      </c>
    </row>
    <row r="34" spans="2:30" x14ac:dyDescent="0.15">
      <c r="B34" s="1" t="s">
        <v>182</v>
      </c>
      <c r="C34" s="24">
        <v>52</v>
      </c>
      <c r="F34" s="29">
        <v>32</v>
      </c>
      <c r="G34" s="29">
        <f>IF(AND(Crop!G33&gt;0,G33&lt;paddy_Dry!$D$6),Crop!G33+1,IF(F34=paddy_Dry!$E$6,1,0))</f>
        <v>0</v>
      </c>
      <c r="H34" s="29">
        <v>32</v>
      </c>
      <c r="I34" s="29">
        <f t="shared" si="0"/>
        <v>0</v>
      </c>
      <c r="J34" s="29">
        <v>32</v>
      </c>
      <c r="K34" s="150">
        <v>32</v>
      </c>
      <c r="L34" s="150">
        <f>IF(AND(Crop!L33&gt;0,L33&lt;upland_dry!$D$6),Crop!L33+1,IF(K34=upland_dry!$E$6,1,0))</f>
        <v>21</v>
      </c>
      <c r="M34" s="150">
        <v>32</v>
      </c>
      <c r="N34" s="150">
        <f t="shared" si="1"/>
        <v>43</v>
      </c>
      <c r="O34" s="150">
        <v>32</v>
      </c>
      <c r="P34" s="156">
        <v>32</v>
      </c>
      <c r="Q34" s="156">
        <f>IF(AND(Crop!Q33&gt;0,Q33&lt;plant!$D$6),Crop!Q33+1,IF(P34=plant!$E$6,1,0))</f>
        <v>32</v>
      </c>
      <c r="R34" s="156">
        <v>32</v>
      </c>
      <c r="S34" s="156">
        <f t="shared" si="2"/>
        <v>32</v>
      </c>
      <c r="T34" s="156">
        <v>32</v>
      </c>
      <c r="U34" s="171">
        <v>32</v>
      </c>
      <c r="V34" s="171">
        <f>IF(AND(Crop!V33&gt;0,V33&lt;paddy_rain!$D$6),Crop!V33+1,IF(U34=paddy_rain!$E$6,1,0))</f>
        <v>0</v>
      </c>
      <c r="W34" s="171">
        <v>32</v>
      </c>
      <c r="X34" s="171">
        <f t="shared" si="3"/>
        <v>0</v>
      </c>
      <c r="Y34" s="171">
        <v>32</v>
      </c>
      <c r="Z34" s="174">
        <v>32</v>
      </c>
      <c r="AA34" s="174">
        <f>IF(AND(Crop!AA33&gt;0,AA33&lt;upland_rain!$D$6),Crop!AA33+1,IF(Z34=upland_rain!$E$6,1,0))</f>
        <v>0</v>
      </c>
      <c r="AB34" s="174">
        <v>32</v>
      </c>
      <c r="AC34" s="174">
        <f t="shared" si="4"/>
        <v>15</v>
      </c>
      <c r="AD34" s="174">
        <v>32</v>
      </c>
    </row>
    <row r="35" spans="2:30" x14ac:dyDescent="0.15">
      <c r="B35" s="2" t="s">
        <v>188</v>
      </c>
      <c r="C35" s="25">
        <v>44</v>
      </c>
      <c r="F35" s="29">
        <v>33</v>
      </c>
      <c r="G35" s="29">
        <f>IF(AND(Crop!G34&gt;0,G34&lt;paddy_Dry!$D$6),Crop!G34+1,IF(F35=paddy_Dry!$E$6,1,0))</f>
        <v>0</v>
      </c>
      <c r="H35" s="29">
        <v>33</v>
      </c>
      <c r="I35" s="29">
        <f t="shared" ref="I35:I70" si="5">IF(ISERROR(VLOOKUP(F35,$G$3:$H$70,2,FALSE)),0,VLOOKUP(F35,$G$3:$H$70,2,FALSE))</f>
        <v>0</v>
      </c>
      <c r="J35" s="29">
        <v>33</v>
      </c>
      <c r="K35" s="150">
        <v>33</v>
      </c>
      <c r="L35" s="150">
        <f>IF(AND(Crop!L34&gt;0,L34&lt;upland_dry!$D$6),Crop!L34+1,IF(K35=upland_dry!$E$6,1,0))</f>
        <v>22</v>
      </c>
      <c r="M35" s="150">
        <v>33</v>
      </c>
      <c r="N35" s="150">
        <f t="shared" si="1"/>
        <v>44</v>
      </c>
      <c r="O35" s="150">
        <v>33</v>
      </c>
      <c r="P35" s="156">
        <v>33</v>
      </c>
      <c r="Q35" s="156">
        <f>IF(AND(Crop!Q34&gt;0,Q34&lt;plant!$D$6),Crop!Q34+1,IF(P35=plant!$E$6,1,0))</f>
        <v>33</v>
      </c>
      <c r="R35" s="156">
        <v>33</v>
      </c>
      <c r="S35" s="156">
        <f t="shared" si="2"/>
        <v>33</v>
      </c>
      <c r="T35" s="156">
        <v>33</v>
      </c>
      <c r="U35" s="171">
        <v>33</v>
      </c>
      <c r="V35" s="171">
        <f>IF(AND(Crop!V34&gt;0,V34&lt;paddy_rain!$D$6),Crop!V34+1,IF(U35=paddy_rain!$E$6,1,0))</f>
        <v>0</v>
      </c>
      <c r="W35" s="171">
        <v>33</v>
      </c>
      <c r="X35" s="171">
        <f t="shared" si="3"/>
        <v>0</v>
      </c>
      <c r="Y35" s="171">
        <v>33</v>
      </c>
      <c r="Z35" s="174">
        <v>33</v>
      </c>
      <c r="AA35" s="174">
        <f>IF(AND(Crop!AA34&gt;0,AA34&lt;upland_rain!$D$6),Crop!AA34+1,IF(Z35=upland_rain!$E$6,1,0))</f>
        <v>0</v>
      </c>
      <c r="AB35" s="174">
        <v>33</v>
      </c>
      <c r="AC35" s="174">
        <f t="shared" si="4"/>
        <v>16</v>
      </c>
      <c r="AD35" s="174">
        <v>33</v>
      </c>
    </row>
    <row r="36" spans="2:30" x14ac:dyDescent="0.15">
      <c r="F36" s="29">
        <v>34</v>
      </c>
      <c r="G36" s="29">
        <f>IF(AND(Crop!G35&gt;0,G35&lt;paddy_Dry!$D$6),Crop!G35+1,IF(F36=paddy_Dry!$E$6,1,0))</f>
        <v>0</v>
      </c>
      <c r="H36" s="29">
        <v>34</v>
      </c>
      <c r="I36" s="29">
        <f t="shared" si="5"/>
        <v>0</v>
      </c>
      <c r="J36" s="29">
        <v>34</v>
      </c>
      <c r="K36" s="150">
        <v>34</v>
      </c>
      <c r="L36" s="150">
        <f>IF(AND(Crop!L35&gt;0,L35&lt;upland_dry!$D$6),Crop!L35+1,IF(K36=upland_dry!$E$6,1,0))</f>
        <v>23</v>
      </c>
      <c r="M36" s="150">
        <v>34</v>
      </c>
      <c r="N36" s="150">
        <f t="shared" si="1"/>
        <v>45</v>
      </c>
      <c r="O36" s="150">
        <v>34</v>
      </c>
      <c r="P36" s="156">
        <v>34</v>
      </c>
      <c r="Q36" s="156">
        <f>IF(AND(Crop!Q35&gt;0,Q35&lt;plant!$D$6),Crop!Q35+1,IF(P36=plant!$E$6,1,0))</f>
        <v>34</v>
      </c>
      <c r="R36" s="156">
        <v>34</v>
      </c>
      <c r="S36" s="156">
        <f t="shared" si="2"/>
        <v>34</v>
      </c>
      <c r="T36" s="156">
        <v>34</v>
      </c>
      <c r="U36" s="171">
        <v>34</v>
      </c>
      <c r="V36" s="171">
        <f>IF(AND(Crop!V35&gt;0,V35&lt;paddy_rain!$D$6),Crop!V35+1,IF(U36=paddy_rain!$E$6,1,0))</f>
        <v>0</v>
      </c>
      <c r="W36" s="171">
        <v>34</v>
      </c>
      <c r="X36" s="171">
        <f t="shared" si="3"/>
        <v>0</v>
      </c>
      <c r="Y36" s="171">
        <v>34</v>
      </c>
      <c r="Z36" s="174">
        <v>34</v>
      </c>
      <c r="AA36" s="174">
        <f>IF(AND(Crop!AA35&gt;0,AA35&lt;upland_rain!$D$6),Crop!AA35+1,IF(Z36=upland_rain!$E$6,1,0))</f>
        <v>0</v>
      </c>
      <c r="AB36" s="174">
        <v>34</v>
      </c>
      <c r="AC36" s="174">
        <f t="shared" si="4"/>
        <v>0</v>
      </c>
      <c r="AD36" s="174">
        <v>34</v>
      </c>
    </row>
    <row r="37" spans="2:30" x14ac:dyDescent="0.15">
      <c r="F37" s="29">
        <v>35</v>
      </c>
      <c r="G37" s="29">
        <f>IF(AND(Crop!G36&gt;0,G36&lt;paddy_Dry!$D$6),Crop!G36+1,IF(F37=paddy_Dry!$E$6,1,0))</f>
        <v>0</v>
      </c>
      <c r="H37" s="29">
        <v>35</v>
      </c>
      <c r="I37" s="29">
        <f t="shared" si="5"/>
        <v>0</v>
      </c>
      <c r="J37" s="29">
        <v>35</v>
      </c>
      <c r="K37" s="150">
        <v>35</v>
      </c>
      <c r="L37" s="150">
        <f>IF(AND(Crop!L36&gt;0,L36&lt;upland_dry!$D$6),Crop!L36+1,IF(K37=upland_dry!$E$6,1,0))</f>
        <v>24</v>
      </c>
      <c r="M37" s="150">
        <v>35</v>
      </c>
      <c r="N37" s="150">
        <f t="shared" si="1"/>
        <v>46</v>
      </c>
      <c r="O37" s="150">
        <v>35</v>
      </c>
      <c r="P37" s="156">
        <v>35</v>
      </c>
      <c r="Q37" s="156">
        <f>IF(AND(Crop!Q36&gt;0,Q36&lt;plant!$D$6),Crop!Q36+1,IF(P37=plant!$E$6,1,0))</f>
        <v>35</v>
      </c>
      <c r="R37" s="156">
        <v>35</v>
      </c>
      <c r="S37" s="156">
        <f t="shared" si="2"/>
        <v>35</v>
      </c>
      <c r="T37" s="156">
        <v>35</v>
      </c>
      <c r="U37" s="171">
        <v>35</v>
      </c>
      <c r="V37" s="171">
        <f>IF(AND(Crop!V36&gt;0,V36&lt;paddy_rain!$D$6),Crop!V36+1,IF(U37=paddy_rain!$E$6,1,0))</f>
        <v>0</v>
      </c>
      <c r="W37" s="171">
        <v>35</v>
      </c>
      <c r="X37" s="171">
        <f t="shared" si="3"/>
        <v>0</v>
      </c>
      <c r="Y37" s="171">
        <v>35</v>
      </c>
      <c r="Z37" s="174">
        <v>35</v>
      </c>
      <c r="AA37" s="174">
        <f>IF(AND(Crop!AA36&gt;0,AA36&lt;upland_rain!$D$6),Crop!AA36+1,IF(Z37=upland_rain!$E$6,1,0))</f>
        <v>0</v>
      </c>
      <c r="AB37" s="174">
        <v>35</v>
      </c>
      <c r="AC37" s="174">
        <f t="shared" si="4"/>
        <v>0</v>
      </c>
      <c r="AD37" s="174">
        <v>35</v>
      </c>
    </row>
    <row r="38" spans="2:30" x14ac:dyDescent="0.15">
      <c r="F38" s="29">
        <v>36</v>
      </c>
      <c r="G38" s="29">
        <f>IF(AND(Crop!G37&gt;0,G37&lt;paddy_Dry!$D$6),Crop!G37+1,IF(F38=paddy_Dry!$E$6,1,0))</f>
        <v>0</v>
      </c>
      <c r="H38" s="29">
        <v>36</v>
      </c>
      <c r="I38" s="29">
        <f t="shared" si="5"/>
        <v>0</v>
      </c>
      <c r="J38" s="29">
        <v>36</v>
      </c>
      <c r="K38" s="150">
        <v>36</v>
      </c>
      <c r="L38" s="150">
        <f>IF(AND(Crop!L37&gt;0,L37&lt;upland_dry!$D$6),Crop!L37+1,IF(K38=upland_dry!$E$6,1,0))</f>
        <v>25</v>
      </c>
      <c r="M38" s="150">
        <v>36</v>
      </c>
      <c r="N38" s="150">
        <f t="shared" si="1"/>
        <v>47</v>
      </c>
      <c r="O38" s="150">
        <v>36</v>
      </c>
      <c r="P38" s="156">
        <v>36</v>
      </c>
      <c r="Q38" s="156">
        <f>IF(AND(Crop!Q37&gt;0,Q37&lt;plant!$D$6),Crop!Q37+1,IF(P38=plant!$E$6,1,0))</f>
        <v>36</v>
      </c>
      <c r="R38" s="156">
        <v>36</v>
      </c>
      <c r="S38" s="156">
        <f t="shared" si="2"/>
        <v>36</v>
      </c>
      <c r="T38" s="156">
        <v>36</v>
      </c>
      <c r="U38" s="171">
        <v>36</v>
      </c>
      <c r="V38" s="171">
        <f>IF(AND(Crop!V37&gt;0,V37&lt;paddy_rain!$D$6),Crop!V37+1,IF(U38=paddy_rain!$E$6,1,0))</f>
        <v>1</v>
      </c>
      <c r="W38" s="171">
        <v>36</v>
      </c>
      <c r="X38" s="171">
        <f t="shared" si="3"/>
        <v>0</v>
      </c>
      <c r="Y38" s="171">
        <v>36</v>
      </c>
      <c r="Z38" s="174">
        <v>36</v>
      </c>
      <c r="AA38" s="174">
        <f>IF(AND(Crop!AA37&gt;0,AA37&lt;upland_rain!$D$6),Crop!AA37+1,IF(Z38=upland_rain!$E$6,1,0))</f>
        <v>1</v>
      </c>
      <c r="AB38" s="174">
        <v>36</v>
      </c>
      <c r="AC38" s="174">
        <f t="shared" si="4"/>
        <v>0</v>
      </c>
      <c r="AD38" s="174">
        <v>36</v>
      </c>
    </row>
    <row r="39" spans="2:30" x14ac:dyDescent="0.15">
      <c r="F39" s="29">
        <v>37</v>
      </c>
      <c r="G39" s="29">
        <f>IF(AND(Crop!G38&gt;0,G38&lt;paddy_Dry!$D$6),Crop!G38+1,IF(F39=paddy_Dry!$E$6,1,0))</f>
        <v>0</v>
      </c>
      <c r="H39" s="29">
        <v>37</v>
      </c>
      <c r="I39" s="29">
        <f t="shared" si="5"/>
        <v>0</v>
      </c>
      <c r="J39" s="29">
        <v>37</v>
      </c>
      <c r="K39" s="150">
        <v>37</v>
      </c>
      <c r="L39" s="150">
        <f>IF(AND(Crop!L38&gt;0,L38&lt;upland_dry!$D$6),Crop!L38+1,IF(K39=upland_dry!$E$6,1,0))</f>
        <v>26</v>
      </c>
      <c r="M39" s="150">
        <v>37</v>
      </c>
      <c r="N39" s="150">
        <f t="shared" si="1"/>
        <v>48</v>
      </c>
      <c r="O39" s="150">
        <v>37</v>
      </c>
      <c r="P39" s="156">
        <v>37</v>
      </c>
      <c r="Q39" s="156">
        <f>IF(AND(Crop!Q38&gt;0,Q38&lt;plant!$D$6),Crop!Q38+1,IF(P39=plant!$E$6,1,0))</f>
        <v>37</v>
      </c>
      <c r="R39" s="156">
        <v>37</v>
      </c>
      <c r="S39" s="156">
        <f t="shared" si="2"/>
        <v>37</v>
      </c>
      <c r="T39" s="156">
        <v>37</v>
      </c>
      <c r="U39" s="171">
        <v>37</v>
      </c>
      <c r="V39" s="171">
        <f>IF(AND(Crop!V38&gt;0,V38&lt;paddy_rain!$D$6),Crop!V38+1,IF(U39=paddy_rain!$E$6,1,0))</f>
        <v>2</v>
      </c>
      <c r="W39" s="171">
        <v>37</v>
      </c>
      <c r="X39" s="171">
        <f t="shared" si="3"/>
        <v>0</v>
      </c>
      <c r="Y39" s="171">
        <v>37</v>
      </c>
      <c r="Z39" s="174">
        <v>37</v>
      </c>
      <c r="AA39" s="174">
        <f>IF(AND(Crop!AA38&gt;0,AA38&lt;upland_rain!$D$6),Crop!AA38+1,IF(Z39=upland_rain!$E$6,1,0))</f>
        <v>2</v>
      </c>
      <c r="AB39" s="174">
        <v>37</v>
      </c>
      <c r="AC39" s="174">
        <f t="shared" si="4"/>
        <v>0</v>
      </c>
      <c r="AD39" s="174">
        <v>37</v>
      </c>
    </row>
    <row r="40" spans="2:30" x14ac:dyDescent="0.15">
      <c r="F40" s="29">
        <v>38</v>
      </c>
      <c r="G40" s="29">
        <f>IF(AND(Crop!G39&gt;0,G39&lt;paddy_Dry!$D$6),Crop!G39+1,IF(F40=paddy_Dry!$E$6,1,0))</f>
        <v>0</v>
      </c>
      <c r="H40" s="29">
        <v>38</v>
      </c>
      <c r="I40" s="29">
        <f t="shared" si="5"/>
        <v>0</v>
      </c>
      <c r="J40" s="29">
        <v>38</v>
      </c>
      <c r="K40" s="150">
        <v>38</v>
      </c>
      <c r="L40" s="150">
        <f>IF(AND(Crop!L39&gt;0,L39&lt;upland_dry!$D$6),Crop!L39+1,IF(K40=upland_dry!$E$6,1,0))</f>
        <v>27</v>
      </c>
      <c r="M40" s="150">
        <v>38</v>
      </c>
      <c r="N40" s="150">
        <f t="shared" si="1"/>
        <v>49</v>
      </c>
      <c r="O40" s="150">
        <v>38</v>
      </c>
      <c r="P40" s="156">
        <v>38</v>
      </c>
      <c r="Q40" s="156">
        <f>IF(AND(Crop!Q39&gt;0,Q39&lt;plant!$D$6),Crop!Q39+1,IF(P40=plant!$E$6,1,0))</f>
        <v>38</v>
      </c>
      <c r="R40" s="156">
        <v>38</v>
      </c>
      <c r="S40" s="156">
        <f t="shared" si="2"/>
        <v>38</v>
      </c>
      <c r="T40" s="156">
        <v>38</v>
      </c>
      <c r="U40" s="171">
        <v>38</v>
      </c>
      <c r="V40" s="171">
        <f>IF(AND(Crop!V39&gt;0,V39&lt;paddy_rain!$D$6),Crop!V39+1,IF(U40=paddy_rain!$E$6,1,0))</f>
        <v>3</v>
      </c>
      <c r="W40" s="171">
        <v>38</v>
      </c>
      <c r="X40" s="171">
        <f t="shared" si="3"/>
        <v>0</v>
      </c>
      <c r="Y40" s="171">
        <v>38</v>
      </c>
      <c r="Z40" s="174">
        <v>38</v>
      </c>
      <c r="AA40" s="174">
        <f>IF(AND(Crop!AA39&gt;0,AA39&lt;upland_rain!$D$6),Crop!AA39+1,IF(Z40=upland_rain!$E$6,1,0))</f>
        <v>3</v>
      </c>
      <c r="AB40" s="174">
        <v>38</v>
      </c>
      <c r="AC40" s="174">
        <f t="shared" si="4"/>
        <v>0</v>
      </c>
      <c r="AD40" s="174">
        <v>38</v>
      </c>
    </row>
    <row r="41" spans="2:30" x14ac:dyDescent="0.15">
      <c r="F41" s="29">
        <v>39</v>
      </c>
      <c r="G41" s="29">
        <f>IF(AND(Crop!G40&gt;0,G40&lt;paddy_Dry!$D$6),Crop!G40+1,IF(F41=paddy_Dry!$E$6,1,0))</f>
        <v>0</v>
      </c>
      <c r="H41" s="29">
        <v>39</v>
      </c>
      <c r="I41" s="29">
        <f t="shared" si="5"/>
        <v>0</v>
      </c>
      <c r="J41" s="29">
        <v>39</v>
      </c>
      <c r="K41" s="150">
        <v>39</v>
      </c>
      <c r="L41" s="150">
        <f>IF(AND(Crop!L40&gt;0,L40&lt;upland_dry!$D$6),Crop!L40+1,IF(K41=upland_dry!$E$6,1,0))</f>
        <v>28</v>
      </c>
      <c r="M41" s="150">
        <v>39</v>
      </c>
      <c r="N41" s="150">
        <f t="shared" si="1"/>
        <v>50</v>
      </c>
      <c r="O41" s="150">
        <v>39</v>
      </c>
      <c r="P41" s="156">
        <v>39</v>
      </c>
      <c r="Q41" s="156">
        <f>IF(AND(Crop!Q40&gt;0,Q40&lt;plant!$D$6),Crop!Q40+1,IF(P41=plant!$E$6,1,0))</f>
        <v>39</v>
      </c>
      <c r="R41" s="156">
        <v>39</v>
      </c>
      <c r="S41" s="156">
        <f t="shared" si="2"/>
        <v>39</v>
      </c>
      <c r="T41" s="156">
        <v>39</v>
      </c>
      <c r="U41" s="171">
        <v>39</v>
      </c>
      <c r="V41" s="171">
        <f>IF(AND(Crop!V40&gt;0,V40&lt;paddy_rain!$D$6),Crop!V40+1,IF(U41=paddy_rain!$E$6,1,0))</f>
        <v>4</v>
      </c>
      <c r="W41" s="171">
        <v>39</v>
      </c>
      <c r="X41" s="171">
        <f t="shared" si="3"/>
        <v>0</v>
      </c>
      <c r="Y41" s="171">
        <v>39</v>
      </c>
      <c r="Z41" s="174">
        <v>39</v>
      </c>
      <c r="AA41" s="174">
        <f>IF(AND(Crop!AA40&gt;0,AA40&lt;upland_rain!$D$6),Crop!AA40+1,IF(Z41=upland_rain!$E$6,1,0))</f>
        <v>4</v>
      </c>
      <c r="AB41" s="174">
        <v>39</v>
      </c>
      <c r="AC41" s="174">
        <f t="shared" si="4"/>
        <v>0</v>
      </c>
      <c r="AD41" s="174">
        <v>39</v>
      </c>
    </row>
    <row r="42" spans="2:30" x14ac:dyDescent="0.15">
      <c r="F42" s="29">
        <v>40</v>
      </c>
      <c r="G42" s="29">
        <f>IF(AND(Crop!G41&gt;0,G41&lt;paddy_Dry!$D$6),Crop!G41+1,IF(F42=paddy_Dry!$E$6,1,0))</f>
        <v>0</v>
      </c>
      <c r="H42" s="29">
        <v>40</v>
      </c>
      <c r="I42" s="29">
        <f t="shared" si="5"/>
        <v>0</v>
      </c>
      <c r="J42" s="29">
        <v>40</v>
      </c>
      <c r="K42" s="150">
        <v>40</v>
      </c>
      <c r="L42" s="150">
        <f>IF(AND(Crop!L41&gt;0,L41&lt;upland_dry!$D$6),Crop!L41+1,IF(K42=upland_dry!$E$6,1,0))</f>
        <v>29</v>
      </c>
      <c r="M42" s="150">
        <v>40</v>
      </c>
      <c r="N42" s="150">
        <f t="shared" si="1"/>
        <v>51</v>
      </c>
      <c r="O42" s="150">
        <v>40</v>
      </c>
      <c r="P42" s="156">
        <v>40</v>
      </c>
      <c r="Q42" s="156">
        <f>IF(AND(Crop!Q41&gt;0,Q41&lt;plant!$D$6),Crop!Q41+1,IF(P42=plant!$E$6,1,0))</f>
        <v>40</v>
      </c>
      <c r="R42" s="156">
        <v>40</v>
      </c>
      <c r="S42" s="156">
        <f t="shared" si="2"/>
        <v>40</v>
      </c>
      <c r="T42" s="156">
        <v>40</v>
      </c>
      <c r="U42" s="171">
        <v>40</v>
      </c>
      <c r="V42" s="171">
        <f>IF(AND(Crop!V41&gt;0,V41&lt;paddy_rain!$D$6),Crop!V41+1,IF(U42=paddy_rain!$E$6,1,0))</f>
        <v>5</v>
      </c>
      <c r="W42" s="171">
        <v>40</v>
      </c>
      <c r="X42" s="171">
        <f t="shared" si="3"/>
        <v>0</v>
      </c>
      <c r="Y42" s="171">
        <v>40</v>
      </c>
      <c r="Z42" s="174">
        <v>40</v>
      </c>
      <c r="AA42" s="174">
        <f>IF(AND(Crop!AA41&gt;0,AA41&lt;upland_rain!$D$6),Crop!AA41+1,IF(Z42=upland_rain!$E$6,1,0))</f>
        <v>5</v>
      </c>
      <c r="AB42" s="174">
        <v>40</v>
      </c>
      <c r="AC42" s="174">
        <f t="shared" si="4"/>
        <v>0</v>
      </c>
      <c r="AD42" s="174">
        <v>40</v>
      </c>
    </row>
    <row r="43" spans="2:30" x14ac:dyDescent="0.15">
      <c r="F43" s="29">
        <v>41</v>
      </c>
      <c r="G43" s="29">
        <f>IF(AND(Crop!G42&gt;0,G42&lt;paddy_Dry!$D$6),Crop!G42+1,IF(F43=paddy_Dry!$E$6,1,0))</f>
        <v>0</v>
      </c>
      <c r="H43" s="29">
        <v>41</v>
      </c>
      <c r="I43" s="29">
        <f t="shared" si="5"/>
        <v>0</v>
      </c>
      <c r="J43" s="29">
        <v>41</v>
      </c>
      <c r="K43" s="150">
        <v>41</v>
      </c>
      <c r="L43" s="150">
        <f>IF(AND(Crop!L42&gt;0,L42&lt;upland_dry!$D$6),Crop!L42+1,IF(K43=upland_dry!$E$6,1,0))</f>
        <v>30</v>
      </c>
      <c r="M43" s="150">
        <v>41</v>
      </c>
      <c r="N43" s="150">
        <f t="shared" si="1"/>
        <v>52</v>
      </c>
      <c r="O43" s="150">
        <v>41</v>
      </c>
      <c r="P43" s="156">
        <v>41</v>
      </c>
      <c r="Q43" s="156">
        <f>IF(AND(Crop!Q42&gt;0,Q42&lt;plant!$D$6),Crop!Q42+1,IF(P43=plant!$E$6,1,0))</f>
        <v>41</v>
      </c>
      <c r="R43" s="156">
        <v>41</v>
      </c>
      <c r="S43" s="156">
        <f t="shared" si="2"/>
        <v>41</v>
      </c>
      <c r="T43" s="156">
        <v>41</v>
      </c>
      <c r="U43" s="171">
        <v>41</v>
      </c>
      <c r="V43" s="171">
        <f>IF(AND(Crop!V42&gt;0,V42&lt;paddy_rain!$D$6),Crop!V42+1,IF(U43=paddy_rain!$E$6,1,0))</f>
        <v>6</v>
      </c>
      <c r="W43" s="171">
        <v>41</v>
      </c>
      <c r="X43" s="171">
        <f t="shared" si="3"/>
        <v>0</v>
      </c>
      <c r="Y43" s="171">
        <v>41</v>
      </c>
      <c r="Z43" s="174">
        <v>41</v>
      </c>
      <c r="AA43" s="174">
        <f>IF(AND(Crop!AA42&gt;0,AA42&lt;upland_rain!$D$6),Crop!AA42+1,IF(Z43=upland_rain!$E$6,1,0))</f>
        <v>6</v>
      </c>
      <c r="AB43" s="174">
        <v>41</v>
      </c>
      <c r="AC43" s="174">
        <f t="shared" si="4"/>
        <v>0</v>
      </c>
      <c r="AD43" s="174">
        <v>41</v>
      </c>
    </row>
    <row r="44" spans="2:30" x14ac:dyDescent="0.15">
      <c r="F44" s="29">
        <v>42</v>
      </c>
      <c r="G44" s="29">
        <f>IF(AND(Crop!G43&gt;0,G43&lt;paddy_Dry!$D$6),Crop!G43+1,IF(F44=paddy_Dry!$E$6,1,0))</f>
        <v>0</v>
      </c>
      <c r="H44" s="29">
        <v>42</v>
      </c>
      <c r="I44" s="29">
        <f t="shared" si="5"/>
        <v>0</v>
      </c>
      <c r="J44" s="29">
        <v>42</v>
      </c>
      <c r="K44" s="150">
        <v>42</v>
      </c>
      <c r="L44" s="150">
        <f>IF(AND(Crop!L43&gt;0,L43&lt;upland_dry!$D$6),Crop!L43+1,IF(K44=upland_dry!$E$6,1,0))</f>
        <v>31</v>
      </c>
      <c r="M44" s="150">
        <v>42</v>
      </c>
      <c r="N44" s="150">
        <f t="shared" si="1"/>
        <v>1</v>
      </c>
      <c r="O44" s="150">
        <v>42</v>
      </c>
      <c r="P44" s="156">
        <v>42</v>
      </c>
      <c r="Q44" s="156">
        <f>IF(AND(Crop!Q43&gt;0,Q43&lt;plant!$D$6),Crop!Q43+1,IF(P44=plant!$E$6,1,0))</f>
        <v>42</v>
      </c>
      <c r="R44" s="156">
        <v>42</v>
      </c>
      <c r="S44" s="156">
        <f t="shared" si="2"/>
        <v>42</v>
      </c>
      <c r="T44" s="156">
        <v>42</v>
      </c>
      <c r="U44" s="171">
        <v>42</v>
      </c>
      <c r="V44" s="171">
        <f>IF(AND(Crop!V43&gt;0,V43&lt;paddy_rain!$D$6),Crop!V43+1,IF(U44=paddy_rain!$E$6,1,0))</f>
        <v>7</v>
      </c>
      <c r="W44" s="171">
        <v>42</v>
      </c>
      <c r="X44" s="171">
        <f t="shared" si="3"/>
        <v>0</v>
      </c>
      <c r="Y44" s="171">
        <v>42</v>
      </c>
      <c r="Z44" s="174">
        <v>42</v>
      </c>
      <c r="AA44" s="174">
        <f>IF(AND(Crop!AA43&gt;0,AA43&lt;upland_rain!$D$6),Crop!AA43+1,IF(Z44=upland_rain!$E$6,1,0))</f>
        <v>7</v>
      </c>
      <c r="AB44" s="174">
        <v>42</v>
      </c>
      <c r="AC44" s="174">
        <f t="shared" si="4"/>
        <v>0</v>
      </c>
      <c r="AD44" s="174">
        <v>42</v>
      </c>
    </row>
    <row r="45" spans="2:30" x14ac:dyDescent="0.15">
      <c r="F45" s="29">
        <v>43</v>
      </c>
      <c r="G45" s="29">
        <f>IF(AND(Crop!G44&gt;0,G44&lt;paddy_Dry!$D$6),Crop!G44+1,IF(F45=paddy_Dry!$E$6,1,0))</f>
        <v>0</v>
      </c>
      <c r="H45" s="29">
        <v>43</v>
      </c>
      <c r="I45" s="29">
        <f t="shared" si="5"/>
        <v>0</v>
      </c>
      <c r="J45" s="29">
        <v>43</v>
      </c>
      <c r="K45" s="150">
        <v>43</v>
      </c>
      <c r="L45" s="150">
        <f>IF(AND(Crop!L44&gt;0,L44&lt;upland_dry!$D$6),Crop!L44+1,IF(K45=upland_dry!$E$6,1,0))</f>
        <v>32</v>
      </c>
      <c r="M45" s="150">
        <v>43</v>
      </c>
      <c r="N45" s="150">
        <f t="shared" si="1"/>
        <v>2</v>
      </c>
      <c r="O45" s="150">
        <v>43</v>
      </c>
      <c r="P45" s="156">
        <v>43</v>
      </c>
      <c r="Q45" s="156">
        <f>IF(AND(Crop!Q44&gt;0,Q44&lt;plant!$D$6),Crop!Q44+1,IF(P45=plant!$E$6,1,0))</f>
        <v>43</v>
      </c>
      <c r="R45" s="156">
        <v>43</v>
      </c>
      <c r="S45" s="156">
        <f t="shared" si="2"/>
        <v>43</v>
      </c>
      <c r="T45" s="156">
        <v>43</v>
      </c>
      <c r="U45" s="171">
        <v>43</v>
      </c>
      <c r="V45" s="171">
        <f>IF(AND(Crop!V44&gt;0,V44&lt;paddy_rain!$D$6),Crop!V44+1,IF(U45=paddy_rain!$E$6,1,0))</f>
        <v>8</v>
      </c>
      <c r="W45" s="171">
        <v>43</v>
      </c>
      <c r="X45" s="171">
        <f t="shared" si="3"/>
        <v>0</v>
      </c>
      <c r="Y45" s="171">
        <v>43</v>
      </c>
      <c r="Z45" s="174">
        <v>43</v>
      </c>
      <c r="AA45" s="174">
        <f>IF(AND(Crop!AA44&gt;0,AA44&lt;upland_rain!$D$6),Crop!AA44+1,IF(Z45=upland_rain!$E$6,1,0))</f>
        <v>8</v>
      </c>
      <c r="AB45" s="174">
        <v>43</v>
      </c>
      <c r="AC45" s="174">
        <f t="shared" si="4"/>
        <v>0</v>
      </c>
      <c r="AD45" s="174">
        <v>43</v>
      </c>
    </row>
    <row r="46" spans="2:30" x14ac:dyDescent="0.15">
      <c r="F46" s="29">
        <v>44</v>
      </c>
      <c r="G46" s="29">
        <f>IF(AND(Crop!G45&gt;0,G45&lt;paddy_Dry!$D$6),Crop!G45+1,IF(F46=paddy_Dry!$E$6,1,0))</f>
        <v>0</v>
      </c>
      <c r="H46" s="29">
        <v>44</v>
      </c>
      <c r="I46" s="29">
        <f t="shared" si="5"/>
        <v>0</v>
      </c>
      <c r="J46" s="29">
        <v>44</v>
      </c>
      <c r="K46" s="150">
        <v>44</v>
      </c>
      <c r="L46" s="150">
        <f>IF(AND(Crop!L45&gt;0,L45&lt;upland_dry!$D$6),Crop!L45+1,IF(K46=upland_dry!$E$6,1,0))</f>
        <v>33</v>
      </c>
      <c r="M46" s="150">
        <v>44</v>
      </c>
      <c r="N46" s="150">
        <f t="shared" si="1"/>
        <v>3</v>
      </c>
      <c r="O46" s="150">
        <v>44</v>
      </c>
      <c r="P46" s="156">
        <v>44</v>
      </c>
      <c r="Q46" s="156">
        <f>IF(AND(Crop!Q45&gt;0,Q45&lt;plant!$D$6),Crop!Q45+1,IF(P46=plant!$E$6,1,0))</f>
        <v>44</v>
      </c>
      <c r="R46" s="156">
        <v>44</v>
      </c>
      <c r="S46" s="156">
        <f t="shared" si="2"/>
        <v>44</v>
      </c>
      <c r="T46" s="156">
        <v>44</v>
      </c>
      <c r="U46" s="171">
        <v>44</v>
      </c>
      <c r="V46" s="171">
        <f>IF(AND(Crop!V45&gt;0,V45&lt;paddy_rain!$D$6),Crop!V45+1,IF(U46=paddy_rain!$E$6,1,0))</f>
        <v>9</v>
      </c>
      <c r="W46" s="171">
        <v>44</v>
      </c>
      <c r="X46" s="171">
        <f t="shared" si="3"/>
        <v>0</v>
      </c>
      <c r="Y46" s="171">
        <v>44</v>
      </c>
      <c r="Z46" s="174">
        <v>44</v>
      </c>
      <c r="AA46" s="174">
        <f>IF(AND(Crop!AA45&gt;0,AA45&lt;upland_rain!$D$6),Crop!AA45+1,IF(Z46=upland_rain!$E$6,1,0))</f>
        <v>9</v>
      </c>
      <c r="AB46" s="174">
        <v>44</v>
      </c>
      <c r="AC46" s="174">
        <f t="shared" si="4"/>
        <v>0</v>
      </c>
      <c r="AD46" s="174">
        <v>44</v>
      </c>
    </row>
    <row r="47" spans="2:30" x14ac:dyDescent="0.15">
      <c r="F47" s="29">
        <v>45</v>
      </c>
      <c r="G47" s="29">
        <f>IF(AND(Crop!G46&gt;0,G46&lt;paddy_Dry!$D$6),Crop!G46+1,IF(F47=paddy_Dry!$E$6,1,0))</f>
        <v>0</v>
      </c>
      <c r="H47" s="29">
        <v>45</v>
      </c>
      <c r="I47" s="29">
        <f t="shared" si="5"/>
        <v>0</v>
      </c>
      <c r="J47" s="29">
        <v>45</v>
      </c>
      <c r="K47" s="150">
        <v>45</v>
      </c>
      <c r="L47" s="150">
        <f>IF(AND(Crop!L46&gt;0,L46&lt;upland_dry!$D$6),Crop!L46+1,IF(K47=upland_dry!$E$6,1,0))</f>
        <v>34</v>
      </c>
      <c r="M47" s="150">
        <v>45</v>
      </c>
      <c r="N47" s="150">
        <f t="shared" si="1"/>
        <v>0</v>
      </c>
      <c r="O47" s="150">
        <v>45</v>
      </c>
      <c r="P47" s="156">
        <v>45</v>
      </c>
      <c r="Q47" s="156">
        <f>IF(AND(Crop!Q46&gt;0,Q46&lt;plant!$D$6),Crop!Q46+1,IF(P47=plant!$E$6,1,0))</f>
        <v>45</v>
      </c>
      <c r="R47" s="156">
        <v>45</v>
      </c>
      <c r="S47" s="156">
        <f t="shared" si="2"/>
        <v>45</v>
      </c>
      <c r="T47" s="156">
        <v>45</v>
      </c>
      <c r="U47" s="171">
        <v>45</v>
      </c>
      <c r="V47" s="171">
        <f>IF(AND(Crop!V46&gt;0,V46&lt;paddy_rain!$D$6),Crop!V46+1,IF(U47=paddy_rain!$E$6,1,0))</f>
        <v>10</v>
      </c>
      <c r="W47" s="171">
        <v>45</v>
      </c>
      <c r="X47" s="171">
        <f t="shared" si="3"/>
        <v>0</v>
      </c>
      <c r="Y47" s="171">
        <v>45</v>
      </c>
      <c r="Z47" s="174">
        <v>45</v>
      </c>
      <c r="AA47" s="174">
        <f>IF(AND(Crop!AA46&gt;0,AA46&lt;upland_rain!$D$6),Crop!AA46+1,IF(Z47=upland_rain!$E$6,1,0))</f>
        <v>10</v>
      </c>
      <c r="AB47" s="174">
        <v>45</v>
      </c>
      <c r="AC47" s="174">
        <f t="shared" si="4"/>
        <v>0</v>
      </c>
      <c r="AD47" s="174">
        <v>45</v>
      </c>
    </row>
    <row r="48" spans="2:30" x14ac:dyDescent="0.15">
      <c r="F48" s="29">
        <v>46</v>
      </c>
      <c r="G48" s="29">
        <f>IF(AND(Crop!G47&gt;0,G47&lt;paddy_Dry!$D$6),Crop!G47+1,IF(F48=paddy_Dry!$E$6,1,0))</f>
        <v>0</v>
      </c>
      <c r="H48" s="29">
        <v>46</v>
      </c>
      <c r="I48" s="29">
        <f t="shared" si="5"/>
        <v>0</v>
      </c>
      <c r="J48" s="29">
        <v>46</v>
      </c>
      <c r="K48" s="150">
        <v>46</v>
      </c>
      <c r="L48" s="150">
        <f>IF(AND(Crop!L47&gt;0,L47&lt;upland_dry!$D$6),Crop!L47+1,IF(K48=upland_dry!$E$6,1,0))</f>
        <v>35</v>
      </c>
      <c r="M48" s="150">
        <v>46</v>
      </c>
      <c r="N48" s="150">
        <f t="shared" si="1"/>
        <v>0</v>
      </c>
      <c r="O48" s="150">
        <v>46</v>
      </c>
      <c r="P48" s="156">
        <v>46</v>
      </c>
      <c r="Q48" s="156">
        <f>IF(AND(Crop!Q47&gt;0,Q47&lt;plant!$D$6),Crop!Q47+1,IF(P48=plant!$E$6,1,0))</f>
        <v>46</v>
      </c>
      <c r="R48" s="156">
        <v>46</v>
      </c>
      <c r="S48" s="156">
        <f t="shared" si="2"/>
        <v>46</v>
      </c>
      <c r="T48" s="156">
        <v>46</v>
      </c>
      <c r="U48" s="171">
        <v>46</v>
      </c>
      <c r="V48" s="171">
        <f>IF(AND(Crop!V47&gt;0,V47&lt;paddy_rain!$D$6),Crop!V47+1,IF(U48=paddy_rain!$E$6,1,0))</f>
        <v>11</v>
      </c>
      <c r="W48" s="171">
        <v>46</v>
      </c>
      <c r="X48" s="171">
        <f t="shared" si="3"/>
        <v>0</v>
      </c>
      <c r="Y48" s="171">
        <v>46</v>
      </c>
      <c r="Z48" s="174">
        <v>46</v>
      </c>
      <c r="AA48" s="174">
        <f>IF(AND(Crop!AA47&gt;0,AA47&lt;upland_rain!$D$6),Crop!AA47+1,IF(Z48=upland_rain!$E$6,1,0))</f>
        <v>11</v>
      </c>
      <c r="AB48" s="174">
        <v>46</v>
      </c>
      <c r="AC48" s="174">
        <f t="shared" si="4"/>
        <v>0</v>
      </c>
      <c r="AD48" s="174">
        <v>46</v>
      </c>
    </row>
    <row r="49" spans="6:30" x14ac:dyDescent="0.15">
      <c r="F49" s="29">
        <v>47</v>
      </c>
      <c r="G49" s="29">
        <f>IF(AND(Crop!G48&gt;0,G48&lt;paddy_Dry!$D$6),Crop!G48+1,IF(F49=paddy_Dry!$E$6,1,0))</f>
        <v>0</v>
      </c>
      <c r="H49" s="29">
        <v>47</v>
      </c>
      <c r="I49" s="29">
        <f t="shared" si="5"/>
        <v>0</v>
      </c>
      <c r="J49" s="29">
        <v>47</v>
      </c>
      <c r="K49" s="150">
        <v>47</v>
      </c>
      <c r="L49" s="150">
        <f>IF(AND(Crop!L48&gt;0,L48&lt;upland_dry!$D$6),Crop!L48+1,IF(K49=upland_dry!$E$6,1,0))</f>
        <v>36</v>
      </c>
      <c r="M49" s="150">
        <v>47</v>
      </c>
      <c r="N49" s="150">
        <f t="shared" si="1"/>
        <v>0</v>
      </c>
      <c r="O49" s="150">
        <v>47</v>
      </c>
      <c r="P49" s="156">
        <v>47</v>
      </c>
      <c r="Q49" s="156">
        <f>IF(AND(Crop!Q48&gt;0,Q48&lt;plant!$D$6),Crop!Q48+1,IF(P49=plant!$E$6,1,0))</f>
        <v>47</v>
      </c>
      <c r="R49" s="156">
        <v>47</v>
      </c>
      <c r="S49" s="156">
        <f t="shared" si="2"/>
        <v>47</v>
      </c>
      <c r="T49" s="156">
        <v>47</v>
      </c>
      <c r="U49" s="171">
        <v>47</v>
      </c>
      <c r="V49" s="171">
        <f>IF(AND(Crop!V48&gt;0,V48&lt;paddy_rain!$D$6),Crop!V48+1,IF(U49=paddy_rain!$E$6,1,0))</f>
        <v>12</v>
      </c>
      <c r="W49" s="171">
        <v>47</v>
      </c>
      <c r="X49" s="171">
        <f t="shared" si="3"/>
        <v>0</v>
      </c>
      <c r="Y49" s="171">
        <v>47</v>
      </c>
      <c r="Z49" s="174">
        <v>47</v>
      </c>
      <c r="AA49" s="174">
        <f>IF(AND(Crop!AA48&gt;0,AA48&lt;upland_rain!$D$6),Crop!AA48+1,IF(Z49=upland_rain!$E$6,1,0))</f>
        <v>12</v>
      </c>
      <c r="AB49" s="174">
        <v>47</v>
      </c>
      <c r="AC49" s="174">
        <f t="shared" si="4"/>
        <v>0</v>
      </c>
      <c r="AD49" s="174">
        <v>47</v>
      </c>
    </row>
    <row r="50" spans="6:30" x14ac:dyDescent="0.15">
      <c r="F50" s="29">
        <v>48</v>
      </c>
      <c r="G50" s="29">
        <f>IF(AND(Crop!G49&gt;0,G49&lt;paddy_Dry!$D$6),Crop!G49+1,IF(F50=paddy_Dry!$E$6,1,0))</f>
        <v>0</v>
      </c>
      <c r="H50" s="29">
        <v>48</v>
      </c>
      <c r="I50" s="29">
        <f t="shared" si="5"/>
        <v>0</v>
      </c>
      <c r="J50" s="29">
        <v>48</v>
      </c>
      <c r="K50" s="150">
        <v>48</v>
      </c>
      <c r="L50" s="150">
        <f>IF(AND(Crop!L49&gt;0,L49&lt;upland_dry!$D$6),Crop!L49+1,IF(K50=upland_dry!$E$6,1,0))</f>
        <v>37</v>
      </c>
      <c r="M50" s="150">
        <v>48</v>
      </c>
      <c r="N50" s="150">
        <f t="shared" si="1"/>
        <v>0</v>
      </c>
      <c r="O50" s="150">
        <v>48</v>
      </c>
      <c r="P50" s="156">
        <v>48</v>
      </c>
      <c r="Q50" s="156">
        <f>IF(AND(Crop!Q49&gt;0,Q49&lt;plant!$D$6),Crop!Q49+1,IF(P50=plant!$E$6,1,0))</f>
        <v>48</v>
      </c>
      <c r="R50" s="156">
        <v>48</v>
      </c>
      <c r="S50" s="156">
        <f t="shared" si="2"/>
        <v>48</v>
      </c>
      <c r="T50" s="156">
        <v>48</v>
      </c>
      <c r="U50" s="171">
        <v>48</v>
      </c>
      <c r="V50" s="171">
        <f>IF(AND(Crop!V49&gt;0,V49&lt;paddy_rain!$D$6),Crop!V49+1,IF(U50=paddy_rain!$E$6,1,0))</f>
        <v>13</v>
      </c>
      <c r="W50" s="171">
        <v>48</v>
      </c>
      <c r="X50" s="171">
        <f t="shared" si="3"/>
        <v>0</v>
      </c>
      <c r="Y50" s="171">
        <v>48</v>
      </c>
      <c r="Z50" s="174">
        <v>48</v>
      </c>
      <c r="AA50" s="174">
        <f>IF(AND(Crop!AA49&gt;0,AA49&lt;upland_rain!$D$6),Crop!AA49+1,IF(Z50=upland_rain!$E$6,1,0))</f>
        <v>13</v>
      </c>
      <c r="AB50" s="174">
        <v>48</v>
      </c>
      <c r="AC50" s="174">
        <f t="shared" si="4"/>
        <v>0</v>
      </c>
      <c r="AD50" s="174">
        <v>48</v>
      </c>
    </row>
    <row r="51" spans="6:30" x14ac:dyDescent="0.15">
      <c r="F51" s="29">
        <v>49</v>
      </c>
      <c r="G51" s="29">
        <f>IF(AND(Crop!G50&gt;0,G50&lt;paddy_Dry!$D$6),Crop!G50+1,IF(F51=paddy_Dry!$E$6,1,0))</f>
        <v>0</v>
      </c>
      <c r="H51" s="29">
        <v>49</v>
      </c>
      <c r="I51" s="29">
        <f t="shared" si="5"/>
        <v>0</v>
      </c>
      <c r="J51" s="29">
        <v>49</v>
      </c>
      <c r="K51" s="150">
        <v>49</v>
      </c>
      <c r="L51" s="150">
        <f>IF(AND(Crop!L50&gt;0,L50&lt;upland_dry!$D$6),Crop!L50+1,IF(K51=upland_dry!$E$6,1,0))</f>
        <v>38</v>
      </c>
      <c r="M51" s="150">
        <v>49</v>
      </c>
      <c r="N51" s="150">
        <f t="shared" si="1"/>
        <v>0</v>
      </c>
      <c r="O51" s="150">
        <v>49</v>
      </c>
      <c r="P51" s="156">
        <v>49</v>
      </c>
      <c r="Q51" s="156">
        <f>IF(AND(Crop!Q50&gt;0,Q50&lt;plant!$D$6),Crop!Q50+1,IF(P51=plant!$E$6,1,0))</f>
        <v>49</v>
      </c>
      <c r="R51" s="156">
        <v>49</v>
      </c>
      <c r="S51" s="156">
        <f t="shared" si="2"/>
        <v>49</v>
      </c>
      <c r="T51" s="156">
        <v>49</v>
      </c>
      <c r="U51" s="171">
        <v>49</v>
      </c>
      <c r="V51" s="171">
        <f>IF(AND(Crop!V50&gt;0,V50&lt;paddy_rain!$D$6),Crop!V50+1,IF(U51=paddy_rain!$E$6,1,0))</f>
        <v>0</v>
      </c>
      <c r="W51" s="171">
        <v>49</v>
      </c>
      <c r="X51" s="171">
        <f t="shared" si="3"/>
        <v>0</v>
      </c>
      <c r="Y51" s="171">
        <v>49</v>
      </c>
      <c r="Z51" s="174">
        <v>49</v>
      </c>
      <c r="AA51" s="174">
        <f>IF(AND(Crop!AA50&gt;0,AA50&lt;upland_rain!$D$6),Crop!AA50+1,IF(Z51=upland_rain!$E$6,1,0))</f>
        <v>14</v>
      </c>
      <c r="AB51" s="174">
        <v>49</v>
      </c>
      <c r="AC51" s="174">
        <f t="shared" si="4"/>
        <v>0</v>
      </c>
      <c r="AD51" s="174">
        <v>49</v>
      </c>
    </row>
    <row r="52" spans="6:30" x14ac:dyDescent="0.15">
      <c r="F52" s="29">
        <v>50</v>
      </c>
      <c r="G52" s="29">
        <f>IF(AND(Crop!G51&gt;0,G51&lt;paddy_Dry!$D$6),Crop!G51+1,IF(F52=paddy_Dry!$E$6,1,0))</f>
        <v>0</v>
      </c>
      <c r="H52" s="29">
        <v>50</v>
      </c>
      <c r="I52" s="29">
        <f t="shared" si="5"/>
        <v>0</v>
      </c>
      <c r="J52" s="29">
        <v>50</v>
      </c>
      <c r="K52" s="150">
        <v>50</v>
      </c>
      <c r="L52" s="150">
        <f>IF(AND(Crop!L51&gt;0,L51&lt;upland_dry!$D$6),Crop!L51+1,IF(K52=upland_dry!$E$6,1,0))</f>
        <v>39</v>
      </c>
      <c r="M52" s="150">
        <v>50</v>
      </c>
      <c r="N52" s="150">
        <f t="shared" si="1"/>
        <v>0</v>
      </c>
      <c r="O52" s="150">
        <v>50</v>
      </c>
      <c r="P52" s="156">
        <v>50</v>
      </c>
      <c r="Q52" s="156">
        <f>IF(AND(Crop!Q51&gt;0,Q51&lt;plant!$D$6),Crop!Q51+1,IF(P52=plant!$E$6,1,0))</f>
        <v>50</v>
      </c>
      <c r="R52" s="156">
        <v>50</v>
      </c>
      <c r="S52" s="156">
        <f t="shared" si="2"/>
        <v>50</v>
      </c>
      <c r="T52" s="156">
        <v>50</v>
      </c>
      <c r="U52" s="171">
        <v>50</v>
      </c>
      <c r="V52" s="171">
        <f>IF(AND(Crop!V51&gt;0,V51&lt;paddy_rain!$D$6),Crop!V51+1,IF(U52=paddy_rain!$E$6,1,0))</f>
        <v>0</v>
      </c>
      <c r="W52" s="171">
        <v>50</v>
      </c>
      <c r="X52" s="171">
        <f t="shared" si="3"/>
        <v>0</v>
      </c>
      <c r="Y52" s="171">
        <v>50</v>
      </c>
      <c r="Z52" s="174">
        <v>50</v>
      </c>
      <c r="AA52" s="174">
        <f>IF(AND(Crop!AA51&gt;0,AA51&lt;upland_rain!$D$6),Crop!AA51+1,IF(Z52=upland_rain!$E$6,1,0))</f>
        <v>15</v>
      </c>
      <c r="AB52" s="174">
        <v>50</v>
      </c>
      <c r="AC52" s="174">
        <f t="shared" si="4"/>
        <v>0</v>
      </c>
      <c r="AD52" s="174">
        <v>50</v>
      </c>
    </row>
    <row r="53" spans="6:30" x14ac:dyDescent="0.15">
      <c r="F53" s="29">
        <v>51</v>
      </c>
      <c r="G53" s="29">
        <f>IF(AND(Crop!G52&gt;0,G52&lt;paddy_Dry!$D$6),Crop!G52+1,IF(F53=paddy_Dry!$E$6,1,0))</f>
        <v>0</v>
      </c>
      <c r="H53" s="29">
        <v>51</v>
      </c>
      <c r="I53" s="29">
        <f t="shared" si="5"/>
        <v>0</v>
      </c>
      <c r="J53" s="29">
        <v>51</v>
      </c>
      <c r="K53" s="150">
        <v>51</v>
      </c>
      <c r="L53" s="150">
        <f>IF(AND(Crop!L52&gt;0,L52&lt;upland_dry!$D$6),Crop!L52+1,IF(K53=upland_dry!$E$6,1,0))</f>
        <v>40</v>
      </c>
      <c r="M53" s="150">
        <v>51</v>
      </c>
      <c r="N53" s="150">
        <f t="shared" si="1"/>
        <v>0</v>
      </c>
      <c r="O53" s="150">
        <v>51</v>
      </c>
      <c r="P53" s="156">
        <v>51</v>
      </c>
      <c r="Q53" s="156">
        <f>IF(AND(Crop!Q52&gt;0,Q52&lt;plant!$D$6),Crop!Q52+1,IF(P53=plant!$E$6,1,0))</f>
        <v>51</v>
      </c>
      <c r="R53" s="156">
        <v>51</v>
      </c>
      <c r="S53" s="156">
        <f t="shared" si="2"/>
        <v>51</v>
      </c>
      <c r="T53" s="156">
        <v>51</v>
      </c>
      <c r="U53" s="171">
        <v>51</v>
      </c>
      <c r="V53" s="171">
        <f>IF(AND(Crop!V52&gt;0,V52&lt;paddy_rain!$D$6),Crop!V52+1,IF(U53=paddy_rain!$E$6,1,0))</f>
        <v>0</v>
      </c>
      <c r="W53" s="171">
        <v>51</v>
      </c>
      <c r="X53" s="171">
        <f t="shared" si="3"/>
        <v>0</v>
      </c>
      <c r="Y53" s="171">
        <v>51</v>
      </c>
      <c r="Z53" s="174">
        <v>51</v>
      </c>
      <c r="AA53" s="174">
        <f>IF(AND(Crop!AA52&gt;0,AA52&lt;upland_rain!$D$6),Crop!AA52+1,IF(Z53=upland_rain!$E$6,1,0))</f>
        <v>16</v>
      </c>
      <c r="AB53" s="174">
        <v>51</v>
      </c>
      <c r="AC53" s="174">
        <f t="shared" si="4"/>
        <v>0</v>
      </c>
      <c r="AD53" s="174">
        <v>51</v>
      </c>
    </row>
    <row r="54" spans="6:30" x14ac:dyDescent="0.15">
      <c r="F54" s="29">
        <v>52</v>
      </c>
      <c r="G54" s="29">
        <f>IF(AND(Crop!G53&gt;0,G53&lt;paddy_Dry!$D$6),Crop!G53+1,IF(F54=paddy_Dry!$E$6,1,0))</f>
        <v>0</v>
      </c>
      <c r="H54" s="29">
        <v>52</v>
      </c>
      <c r="I54" s="29">
        <f t="shared" si="5"/>
        <v>0</v>
      </c>
      <c r="J54" s="29">
        <v>52</v>
      </c>
      <c r="K54" s="150">
        <v>52</v>
      </c>
      <c r="L54" s="150">
        <f>IF(AND(Crop!L53&gt;0,L53&lt;upland_dry!$D$6),Crop!L53+1,IF(K54=upland_dry!$E$6,1,0))</f>
        <v>41</v>
      </c>
      <c r="M54" s="150">
        <v>52</v>
      </c>
      <c r="N54" s="150">
        <f t="shared" si="1"/>
        <v>0</v>
      </c>
      <c r="O54" s="150">
        <v>52</v>
      </c>
      <c r="P54" s="156">
        <v>52</v>
      </c>
      <c r="Q54" s="156">
        <f>IF(AND(Crop!Q53&gt;0,Q53&lt;plant!$D$6),Crop!Q53+1,IF(P54=plant!$E$6,1,0))</f>
        <v>52</v>
      </c>
      <c r="R54" s="156">
        <v>52</v>
      </c>
      <c r="S54" s="156">
        <f t="shared" si="2"/>
        <v>52</v>
      </c>
      <c r="T54" s="156">
        <v>52</v>
      </c>
      <c r="U54" s="171">
        <v>52</v>
      </c>
      <c r="V54" s="171">
        <f>IF(AND(Crop!V53&gt;0,V53&lt;paddy_rain!$D$6),Crop!V53+1,IF(U54=paddy_rain!$E$6,1,0))</f>
        <v>0</v>
      </c>
      <c r="W54" s="171">
        <v>52</v>
      </c>
      <c r="X54" s="171">
        <f t="shared" si="3"/>
        <v>0</v>
      </c>
      <c r="Y54" s="171">
        <v>52</v>
      </c>
      <c r="Z54" s="174">
        <v>52</v>
      </c>
      <c r="AA54" s="174">
        <f>IF(AND(Crop!AA53&gt;0,AA53&lt;upland_rain!$D$6),Crop!AA53+1,IF(Z54=upland_rain!$E$6,1,0))</f>
        <v>17</v>
      </c>
      <c r="AB54" s="174">
        <v>52</v>
      </c>
      <c r="AC54" s="174">
        <f t="shared" si="4"/>
        <v>0</v>
      </c>
      <c r="AD54" s="174">
        <v>52</v>
      </c>
    </row>
    <row r="55" spans="6:30" x14ac:dyDescent="0.15">
      <c r="F55" s="29">
        <v>1</v>
      </c>
      <c r="G55" s="29">
        <f>IF(AND(Crop!G54&gt;0,G54&lt;paddy_Dry!$D$6),Crop!G54+1,IF(F55=paddy_Dry!$E$6,1,0))</f>
        <v>0</v>
      </c>
      <c r="H55" s="29">
        <v>1</v>
      </c>
      <c r="I55" s="29">
        <f t="shared" si="5"/>
        <v>14</v>
      </c>
      <c r="J55" s="29">
        <v>1</v>
      </c>
      <c r="K55" s="150">
        <v>1</v>
      </c>
      <c r="L55" s="150">
        <f>IF(AND(Crop!L54&gt;0,L54&lt;upland_dry!$D$6),Crop!L54+1,IF(K55=upland_dry!$E$6,1,0))</f>
        <v>42</v>
      </c>
      <c r="M55" s="150">
        <v>1</v>
      </c>
      <c r="N55" s="150">
        <f t="shared" si="1"/>
        <v>12</v>
      </c>
      <c r="O55" s="150">
        <v>1</v>
      </c>
      <c r="P55" s="156">
        <v>1</v>
      </c>
      <c r="Q55" s="156">
        <f>IF(AND(Crop!Q54&gt;0,Q54&lt;plant!$D$6),Crop!Q54+1,IF(P55=plant!$E$6,1,0))</f>
        <v>1</v>
      </c>
      <c r="R55" s="156">
        <v>1</v>
      </c>
      <c r="S55" s="156">
        <f t="shared" si="2"/>
        <v>1</v>
      </c>
      <c r="T55" s="156">
        <v>1</v>
      </c>
      <c r="U55" s="171">
        <v>1</v>
      </c>
      <c r="V55" s="171">
        <f>IF(AND(Crop!V54&gt;0,V54&lt;paddy_rain!$D$6),Crop!V54+1,IF(U55=paddy_rain!$E$6,1,0))</f>
        <v>0</v>
      </c>
      <c r="W55" s="171">
        <v>1</v>
      </c>
      <c r="X55" s="171">
        <f t="shared" si="3"/>
        <v>36</v>
      </c>
      <c r="Y55" s="171">
        <v>1</v>
      </c>
      <c r="Z55" s="174">
        <v>1</v>
      </c>
      <c r="AA55" s="174">
        <f>IF(AND(Crop!AA54&gt;0,AA54&lt;upland_rain!$D$6),Crop!AA54+1,IF(Z55=upland_rain!$E$6,1,0))</f>
        <v>18</v>
      </c>
      <c r="AB55" s="174">
        <v>1</v>
      </c>
      <c r="AC55" s="174">
        <f t="shared" si="4"/>
        <v>36</v>
      </c>
      <c r="AD55" s="174">
        <v>1</v>
      </c>
    </row>
    <row r="56" spans="6:30" x14ac:dyDescent="0.15">
      <c r="F56" s="29">
        <v>2</v>
      </c>
      <c r="G56" s="29">
        <f>IF(AND(Crop!G55&gt;0,G55&lt;paddy_Dry!$D$6),Crop!G55+1,IF(F56=paddy_Dry!$E$6,1,0))</f>
        <v>0</v>
      </c>
      <c r="H56" s="29">
        <v>2</v>
      </c>
      <c r="I56" s="29">
        <f t="shared" si="5"/>
        <v>15</v>
      </c>
      <c r="J56" s="29">
        <v>2</v>
      </c>
      <c r="K56" s="150">
        <v>2</v>
      </c>
      <c r="L56" s="150">
        <f>IF(AND(Crop!L55&gt;0,L55&lt;upland_dry!$D$6),Crop!L55+1,IF(K56=upland_dry!$E$6,1,0))</f>
        <v>43</v>
      </c>
      <c r="M56" s="150">
        <v>2</v>
      </c>
      <c r="N56" s="150">
        <f t="shared" si="1"/>
        <v>13</v>
      </c>
      <c r="O56" s="150">
        <v>2</v>
      </c>
      <c r="P56" s="156">
        <v>2</v>
      </c>
      <c r="Q56" s="156">
        <f>IF(AND(Crop!Q55&gt;0,Q55&lt;plant!$D$6),Crop!Q55+1,IF(P56=plant!$E$6,1,0))</f>
        <v>2</v>
      </c>
      <c r="R56" s="156">
        <v>2</v>
      </c>
      <c r="S56" s="156">
        <f t="shared" si="2"/>
        <v>2</v>
      </c>
      <c r="T56" s="156">
        <v>2</v>
      </c>
      <c r="U56" s="171">
        <v>2</v>
      </c>
      <c r="V56" s="171">
        <f>IF(AND(Crop!V55&gt;0,V55&lt;paddy_rain!$D$6),Crop!V55+1,IF(U56=paddy_rain!$E$6,1,0))</f>
        <v>0</v>
      </c>
      <c r="W56" s="171">
        <v>2</v>
      </c>
      <c r="X56" s="171">
        <f t="shared" si="3"/>
        <v>37</v>
      </c>
      <c r="Y56" s="171">
        <v>2</v>
      </c>
      <c r="Z56" s="174">
        <v>2</v>
      </c>
      <c r="AA56" s="174">
        <f>IF(AND(Crop!AA55&gt;0,AA55&lt;upland_rain!$D$6),Crop!AA55+1,IF(Z56=upland_rain!$E$6,1,0))</f>
        <v>19</v>
      </c>
      <c r="AB56" s="174">
        <v>2</v>
      </c>
      <c r="AC56" s="174">
        <f t="shared" si="4"/>
        <v>37</v>
      </c>
      <c r="AD56" s="174">
        <v>2</v>
      </c>
    </row>
    <row r="57" spans="6:30" x14ac:dyDescent="0.15">
      <c r="F57" s="29">
        <v>3</v>
      </c>
      <c r="G57" s="29">
        <f>IF(AND(Crop!G56&gt;0,G56&lt;paddy_Dry!$D$6),Crop!G56+1,IF(F57=paddy_Dry!$E$6,1,0))</f>
        <v>0</v>
      </c>
      <c r="H57" s="29">
        <v>3</v>
      </c>
      <c r="I57" s="29">
        <f t="shared" si="5"/>
        <v>16</v>
      </c>
      <c r="J57" s="29">
        <v>3</v>
      </c>
      <c r="K57" s="150">
        <v>3</v>
      </c>
      <c r="L57" s="150">
        <f>IF(AND(Crop!L56&gt;0,L56&lt;upland_dry!$D$6),Crop!L56+1,IF(K57=upland_dry!$E$6,1,0))</f>
        <v>44</v>
      </c>
      <c r="M57" s="150">
        <v>3</v>
      </c>
      <c r="N57" s="150">
        <f t="shared" si="1"/>
        <v>14</v>
      </c>
      <c r="O57" s="150">
        <v>3</v>
      </c>
      <c r="P57" s="156">
        <v>3</v>
      </c>
      <c r="Q57" s="156">
        <f>IF(AND(Crop!Q56&gt;0,Q56&lt;plant!$D$6),Crop!Q56+1,IF(P57=plant!$E$6,1,0))</f>
        <v>3</v>
      </c>
      <c r="R57" s="156">
        <v>3</v>
      </c>
      <c r="S57" s="156">
        <f t="shared" si="2"/>
        <v>3</v>
      </c>
      <c r="T57" s="156">
        <v>3</v>
      </c>
      <c r="U57" s="171">
        <v>3</v>
      </c>
      <c r="V57" s="171">
        <f>IF(AND(Crop!V56&gt;0,V56&lt;paddy_rain!$D$6),Crop!V56+1,IF(U57=paddy_rain!$E$6,1,0))</f>
        <v>0</v>
      </c>
      <c r="W57" s="171">
        <v>3</v>
      </c>
      <c r="X57" s="171">
        <f t="shared" si="3"/>
        <v>38</v>
      </c>
      <c r="Y57" s="171">
        <v>3</v>
      </c>
      <c r="Z57" s="174">
        <v>3</v>
      </c>
      <c r="AA57" s="174">
        <f>IF(AND(Crop!AA56&gt;0,AA56&lt;upland_rain!$D$6),Crop!AA56+1,IF(Z57=upland_rain!$E$6,1,0))</f>
        <v>20</v>
      </c>
      <c r="AB57" s="174">
        <v>3</v>
      </c>
      <c r="AC57" s="174">
        <f t="shared" si="4"/>
        <v>38</v>
      </c>
      <c r="AD57" s="174">
        <v>3</v>
      </c>
    </row>
    <row r="58" spans="6:30" x14ac:dyDescent="0.15">
      <c r="F58" s="29">
        <v>4</v>
      </c>
      <c r="G58" s="29">
        <f>IF(AND(Crop!G57&gt;0,G57&lt;paddy_Dry!$D$6),Crop!G57+1,IF(F58=paddy_Dry!$E$6,1,0))</f>
        <v>0</v>
      </c>
      <c r="H58" s="29">
        <v>4</v>
      </c>
      <c r="I58" s="29">
        <f t="shared" si="5"/>
        <v>17</v>
      </c>
      <c r="J58" s="29">
        <v>4</v>
      </c>
      <c r="K58" s="150">
        <v>4</v>
      </c>
      <c r="L58" s="150">
        <f>IF(AND(Crop!L57&gt;0,L57&lt;upland_dry!$D$6),Crop!L57+1,IF(K58=upland_dry!$E$6,1,0))</f>
        <v>0</v>
      </c>
      <c r="M58" s="150">
        <v>4</v>
      </c>
      <c r="N58" s="150">
        <f t="shared" si="1"/>
        <v>15</v>
      </c>
      <c r="O58" s="150">
        <v>4</v>
      </c>
      <c r="P58" s="156">
        <v>4</v>
      </c>
      <c r="Q58" s="156">
        <f>IF(AND(Crop!Q57&gt;0,Q57&lt;plant!$D$6),Crop!Q57+1,IF(P58=plant!$E$6,1,0))</f>
        <v>4</v>
      </c>
      <c r="R58" s="156">
        <v>4</v>
      </c>
      <c r="S58" s="156">
        <f t="shared" si="2"/>
        <v>4</v>
      </c>
      <c r="T58" s="156">
        <v>4</v>
      </c>
      <c r="U58" s="171">
        <v>4</v>
      </c>
      <c r="V58" s="171">
        <f>IF(AND(Crop!V57&gt;0,V57&lt;paddy_rain!$D$6),Crop!V57+1,IF(U58=paddy_rain!$E$6,1,0))</f>
        <v>0</v>
      </c>
      <c r="W58" s="171">
        <v>4</v>
      </c>
      <c r="X58" s="171">
        <f t="shared" si="3"/>
        <v>39</v>
      </c>
      <c r="Y58" s="171">
        <v>4</v>
      </c>
      <c r="Z58" s="174">
        <v>4</v>
      </c>
      <c r="AA58" s="174">
        <f>IF(AND(Crop!AA57&gt;0,AA57&lt;upland_rain!$D$6),Crop!AA57+1,IF(Z58=upland_rain!$E$6,1,0))</f>
        <v>21</v>
      </c>
      <c r="AB58" s="174">
        <v>4</v>
      </c>
      <c r="AC58" s="174">
        <f t="shared" si="4"/>
        <v>39</v>
      </c>
      <c r="AD58" s="174">
        <v>4</v>
      </c>
    </row>
    <row r="59" spans="6:30" x14ac:dyDescent="0.15">
      <c r="F59" s="29">
        <v>5</v>
      </c>
      <c r="G59" s="29">
        <f>IF(AND(Crop!G58&gt;0,G58&lt;paddy_Dry!$D$6),Crop!G58+1,IF(F59=paddy_Dry!$E$6,1,0))</f>
        <v>0</v>
      </c>
      <c r="H59" s="29">
        <v>5</v>
      </c>
      <c r="I59" s="29">
        <f t="shared" si="5"/>
        <v>18</v>
      </c>
      <c r="J59" s="29">
        <v>5</v>
      </c>
      <c r="K59" s="150">
        <v>5</v>
      </c>
      <c r="L59" s="150">
        <f>IF(AND(Crop!L58&gt;0,L58&lt;upland_dry!$D$6),Crop!L58+1,IF(K59=upland_dry!$E$6,1,0))</f>
        <v>0</v>
      </c>
      <c r="M59" s="150">
        <v>5</v>
      </c>
      <c r="N59" s="150">
        <f t="shared" si="1"/>
        <v>16</v>
      </c>
      <c r="O59" s="150">
        <v>5</v>
      </c>
      <c r="P59" s="156">
        <v>5</v>
      </c>
      <c r="Q59" s="156">
        <f>IF(AND(Crop!Q58&gt;0,Q58&lt;plant!$D$6),Crop!Q58+1,IF(P59=plant!$E$6,1,0))</f>
        <v>5</v>
      </c>
      <c r="R59" s="156">
        <v>5</v>
      </c>
      <c r="S59" s="156">
        <f t="shared" si="2"/>
        <v>5</v>
      </c>
      <c r="T59" s="156">
        <v>5</v>
      </c>
      <c r="U59" s="171">
        <v>5</v>
      </c>
      <c r="V59" s="171">
        <f>IF(AND(Crop!V58&gt;0,V58&lt;paddy_rain!$D$6),Crop!V58+1,IF(U59=paddy_rain!$E$6,1,0))</f>
        <v>0</v>
      </c>
      <c r="W59" s="171">
        <v>5</v>
      </c>
      <c r="X59" s="171">
        <f t="shared" si="3"/>
        <v>40</v>
      </c>
      <c r="Y59" s="171">
        <v>5</v>
      </c>
      <c r="Z59" s="174">
        <v>5</v>
      </c>
      <c r="AA59" s="174">
        <f>IF(AND(Crop!AA58&gt;0,AA58&lt;upland_rain!$D$6),Crop!AA58+1,IF(Z59=upland_rain!$E$6,1,0))</f>
        <v>22</v>
      </c>
      <c r="AB59" s="174">
        <v>5</v>
      </c>
      <c r="AC59" s="174">
        <f t="shared" si="4"/>
        <v>40</v>
      </c>
      <c r="AD59" s="174">
        <v>5</v>
      </c>
    </row>
    <row r="60" spans="6:30" x14ac:dyDescent="0.15">
      <c r="F60" s="29">
        <v>6</v>
      </c>
      <c r="G60" s="29">
        <f>IF(AND(Crop!G59&gt;0,G59&lt;paddy_Dry!$D$6),Crop!G59+1,IF(F60=paddy_Dry!$E$6,1,0))</f>
        <v>0</v>
      </c>
      <c r="H60" s="29">
        <v>6</v>
      </c>
      <c r="I60" s="29">
        <f t="shared" si="5"/>
        <v>19</v>
      </c>
      <c r="J60" s="29">
        <v>6</v>
      </c>
      <c r="K60" s="150">
        <v>6</v>
      </c>
      <c r="L60" s="150">
        <f>IF(AND(Crop!L59&gt;0,L59&lt;upland_dry!$D$6),Crop!L59+1,IF(K60=upland_dry!$E$6,1,0))</f>
        <v>0</v>
      </c>
      <c r="M60" s="150">
        <v>6</v>
      </c>
      <c r="N60" s="150">
        <f t="shared" si="1"/>
        <v>17</v>
      </c>
      <c r="O60" s="150">
        <v>6</v>
      </c>
      <c r="P60" s="156">
        <v>6</v>
      </c>
      <c r="Q60" s="156">
        <f>IF(AND(Crop!Q59&gt;0,Q59&lt;plant!$D$6),Crop!Q59+1,IF(P60=plant!$E$6,1,0))</f>
        <v>6</v>
      </c>
      <c r="R60" s="156">
        <v>6</v>
      </c>
      <c r="S60" s="156">
        <f t="shared" si="2"/>
        <v>6</v>
      </c>
      <c r="T60" s="156">
        <v>6</v>
      </c>
      <c r="U60" s="171">
        <v>6</v>
      </c>
      <c r="V60" s="171">
        <f>IF(AND(Crop!V59&gt;0,V59&lt;paddy_rain!$D$6),Crop!V59+1,IF(U60=paddy_rain!$E$6,1,0))</f>
        <v>0</v>
      </c>
      <c r="W60" s="171">
        <v>6</v>
      </c>
      <c r="X60" s="171">
        <f t="shared" si="3"/>
        <v>41</v>
      </c>
      <c r="Y60" s="171">
        <v>6</v>
      </c>
      <c r="Z60" s="174">
        <v>6</v>
      </c>
      <c r="AA60" s="174">
        <f>IF(AND(Crop!AA59&gt;0,AA59&lt;upland_rain!$D$6),Crop!AA59+1,IF(Z60=upland_rain!$E$6,1,0))</f>
        <v>23</v>
      </c>
      <c r="AB60" s="174">
        <v>6</v>
      </c>
      <c r="AC60" s="174">
        <f t="shared" si="4"/>
        <v>41</v>
      </c>
      <c r="AD60" s="174">
        <v>6</v>
      </c>
    </row>
    <row r="61" spans="6:30" x14ac:dyDescent="0.15">
      <c r="F61" s="29">
        <v>7</v>
      </c>
      <c r="G61" s="29">
        <f>IF(AND(Crop!G60&gt;0,G60&lt;paddy_Dry!$D$6),Crop!G60+1,IF(F61=paddy_Dry!$E$6,1,0))</f>
        <v>0</v>
      </c>
      <c r="H61" s="29">
        <v>7</v>
      </c>
      <c r="I61" s="29">
        <f t="shared" si="5"/>
        <v>20</v>
      </c>
      <c r="J61" s="29">
        <v>7</v>
      </c>
      <c r="K61" s="150">
        <v>7</v>
      </c>
      <c r="L61" s="150">
        <f>IF(AND(Crop!L60&gt;0,L60&lt;upland_dry!$D$6),Crop!L60+1,IF(K61=upland_dry!$E$6,1,0))</f>
        <v>0</v>
      </c>
      <c r="M61" s="150">
        <v>7</v>
      </c>
      <c r="N61" s="150">
        <f t="shared" si="1"/>
        <v>18</v>
      </c>
      <c r="O61" s="150">
        <v>7</v>
      </c>
      <c r="P61" s="156">
        <v>7</v>
      </c>
      <c r="Q61" s="156">
        <f>IF(AND(Crop!Q60&gt;0,Q60&lt;plant!$D$6),Crop!Q60+1,IF(P61=plant!$E$6,1,0))</f>
        <v>7</v>
      </c>
      <c r="R61" s="156">
        <v>7</v>
      </c>
      <c r="S61" s="156">
        <f t="shared" si="2"/>
        <v>7</v>
      </c>
      <c r="T61" s="156">
        <v>7</v>
      </c>
      <c r="U61" s="171">
        <v>7</v>
      </c>
      <c r="V61" s="171">
        <f>IF(AND(Crop!V60&gt;0,V60&lt;paddy_rain!$D$6),Crop!V60+1,IF(U61=paddy_rain!$E$6,1,0))</f>
        <v>0</v>
      </c>
      <c r="W61" s="171">
        <v>7</v>
      </c>
      <c r="X61" s="171">
        <f t="shared" si="3"/>
        <v>42</v>
      </c>
      <c r="Y61" s="171">
        <v>7</v>
      </c>
      <c r="Z61" s="174">
        <v>7</v>
      </c>
      <c r="AA61" s="174">
        <f>IF(AND(Crop!AA60&gt;0,AA60&lt;upland_rain!$D$6),Crop!AA60+1,IF(Z61=upland_rain!$E$6,1,0))</f>
        <v>24</v>
      </c>
      <c r="AB61" s="174">
        <v>7</v>
      </c>
      <c r="AC61" s="174">
        <f t="shared" si="4"/>
        <v>42</v>
      </c>
      <c r="AD61" s="174">
        <v>7</v>
      </c>
    </row>
    <row r="62" spans="6:30" x14ac:dyDescent="0.15">
      <c r="F62" s="29">
        <v>8</v>
      </c>
      <c r="G62" s="29">
        <f>IF(AND(Crop!G61&gt;0,G61&lt;paddy_Dry!$D$6),Crop!G61+1,IF(F62=paddy_Dry!$E$6,1,0))</f>
        <v>0</v>
      </c>
      <c r="H62" s="29">
        <v>8</v>
      </c>
      <c r="I62" s="29">
        <f t="shared" si="5"/>
        <v>21</v>
      </c>
      <c r="J62" s="29">
        <v>8</v>
      </c>
      <c r="K62" s="150">
        <v>8</v>
      </c>
      <c r="L62" s="150">
        <f>IF(AND(Crop!L61&gt;0,L61&lt;upland_dry!$D$6),Crop!L61+1,IF(K62=upland_dry!$E$6,1,0))</f>
        <v>0</v>
      </c>
      <c r="M62" s="150">
        <v>8</v>
      </c>
      <c r="N62" s="150">
        <f t="shared" si="1"/>
        <v>19</v>
      </c>
      <c r="O62" s="150">
        <v>8</v>
      </c>
      <c r="P62" s="156">
        <v>8</v>
      </c>
      <c r="Q62" s="156">
        <f>IF(AND(Crop!Q61&gt;0,Q61&lt;plant!$D$6),Crop!Q61+1,IF(P62=plant!$E$6,1,0))</f>
        <v>8</v>
      </c>
      <c r="R62" s="156">
        <v>8</v>
      </c>
      <c r="S62" s="156">
        <f t="shared" si="2"/>
        <v>8</v>
      </c>
      <c r="T62" s="156">
        <v>8</v>
      </c>
      <c r="U62" s="171">
        <v>8</v>
      </c>
      <c r="V62" s="171">
        <f>IF(AND(Crop!V61&gt;0,V61&lt;paddy_rain!$D$6),Crop!V61+1,IF(U62=paddy_rain!$E$6,1,0))</f>
        <v>0</v>
      </c>
      <c r="W62" s="171">
        <v>8</v>
      </c>
      <c r="X62" s="171">
        <f t="shared" si="3"/>
        <v>43</v>
      </c>
      <c r="Y62" s="171">
        <v>8</v>
      </c>
      <c r="Z62" s="174">
        <v>8</v>
      </c>
      <c r="AA62" s="174">
        <f>IF(AND(Crop!AA61&gt;0,AA61&lt;upland_rain!$D$6),Crop!AA61+1,IF(Z62=upland_rain!$E$6,1,0))</f>
        <v>25</v>
      </c>
      <c r="AB62" s="174">
        <v>8</v>
      </c>
      <c r="AC62" s="174">
        <f t="shared" si="4"/>
        <v>43</v>
      </c>
      <c r="AD62" s="174">
        <v>8</v>
      </c>
    </row>
    <row r="63" spans="6:30" x14ac:dyDescent="0.15">
      <c r="F63" s="29">
        <v>9</v>
      </c>
      <c r="G63" s="29">
        <f>IF(AND(Crop!G62&gt;0,G62&lt;paddy_Dry!$D$6),Crop!G62+1,IF(F63=paddy_Dry!$E$6,1,0))</f>
        <v>0</v>
      </c>
      <c r="H63" s="29">
        <v>9</v>
      </c>
      <c r="I63" s="29">
        <f t="shared" si="5"/>
        <v>22</v>
      </c>
      <c r="J63" s="29">
        <v>9</v>
      </c>
      <c r="K63" s="150">
        <v>9</v>
      </c>
      <c r="L63" s="150">
        <f>IF(AND(Crop!L62&gt;0,L62&lt;upland_dry!$D$6),Crop!L62+1,IF(K63=upland_dry!$E$6,1,0))</f>
        <v>0</v>
      </c>
      <c r="M63" s="150">
        <v>9</v>
      </c>
      <c r="N63" s="150">
        <f t="shared" si="1"/>
        <v>20</v>
      </c>
      <c r="O63" s="150">
        <v>9</v>
      </c>
      <c r="P63" s="156">
        <v>9</v>
      </c>
      <c r="Q63" s="156">
        <f>IF(AND(Crop!Q62&gt;0,Q62&lt;plant!$D$6),Crop!Q62+1,IF(P63=plant!$E$6,1,0))</f>
        <v>9</v>
      </c>
      <c r="R63" s="156">
        <v>9</v>
      </c>
      <c r="S63" s="156">
        <f t="shared" si="2"/>
        <v>9</v>
      </c>
      <c r="T63" s="156">
        <v>9</v>
      </c>
      <c r="U63" s="171">
        <v>9</v>
      </c>
      <c r="V63" s="171">
        <f>IF(AND(Crop!V62&gt;0,V62&lt;paddy_rain!$D$6),Crop!V62+1,IF(U63=paddy_rain!$E$6,1,0))</f>
        <v>0</v>
      </c>
      <c r="W63" s="171">
        <v>9</v>
      </c>
      <c r="X63" s="171">
        <f t="shared" si="3"/>
        <v>44</v>
      </c>
      <c r="Y63" s="171">
        <v>9</v>
      </c>
      <c r="Z63" s="174">
        <v>9</v>
      </c>
      <c r="AA63" s="174">
        <f>IF(AND(Crop!AA62&gt;0,AA62&lt;upland_rain!$D$6),Crop!AA62+1,IF(Z63=upland_rain!$E$6,1,0))</f>
        <v>26</v>
      </c>
      <c r="AB63" s="174">
        <v>9</v>
      </c>
      <c r="AC63" s="174">
        <f t="shared" si="4"/>
        <v>44</v>
      </c>
      <c r="AD63" s="174">
        <v>9</v>
      </c>
    </row>
    <row r="64" spans="6:30" x14ac:dyDescent="0.15">
      <c r="F64" s="29">
        <v>10</v>
      </c>
      <c r="G64" s="29">
        <f>IF(AND(Crop!G63&gt;0,G63&lt;paddy_Dry!$D$6),Crop!G63+1,IF(F64=paddy_Dry!$E$6,1,0))</f>
        <v>0</v>
      </c>
      <c r="H64" s="29">
        <v>10</v>
      </c>
      <c r="I64" s="29">
        <f t="shared" si="5"/>
        <v>23</v>
      </c>
      <c r="J64" s="29">
        <v>10</v>
      </c>
      <c r="K64" s="150">
        <v>10</v>
      </c>
      <c r="L64" s="150">
        <f>IF(AND(Crop!L63&gt;0,L63&lt;upland_dry!$D$6),Crop!L63+1,IF(K64=upland_dry!$E$6,1,0))</f>
        <v>0</v>
      </c>
      <c r="M64" s="150">
        <v>10</v>
      </c>
      <c r="N64" s="150">
        <f t="shared" si="1"/>
        <v>21</v>
      </c>
      <c r="O64" s="150">
        <v>10</v>
      </c>
      <c r="P64" s="156">
        <v>10</v>
      </c>
      <c r="Q64" s="156">
        <f>IF(AND(Crop!Q63&gt;0,Q63&lt;plant!$D$6),Crop!Q63+1,IF(P64=plant!$E$6,1,0))</f>
        <v>10</v>
      </c>
      <c r="R64" s="156">
        <v>10</v>
      </c>
      <c r="S64" s="156">
        <f t="shared" si="2"/>
        <v>10</v>
      </c>
      <c r="T64" s="156">
        <v>10</v>
      </c>
      <c r="U64" s="171">
        <v>10</v>
      </c>
      <c r="V64" s="171">
        <f>IF(AND(Crop!V63&gt;0,V63&lt;paddy_rain!$D$6),Crop!V63+1,IF(U64=paddy_rain!$E$6,1,0))</f>
        <v>0</v>
      </c>
      <c r="W64" s="171">
        <v>10</v>
      </c>
      <c r="X64" s="171">
        <f t="shared" si="3"/>
        <v>45</v>
      </c>
      <c r="Y64" s="171">
        <v>10</v>
      </c>
      <c r="Z64" s="174">
        <v>10</v>
      </c>
      <c r="AA64" s="174">
        <f>IF(AND(Crop!AA63&gt;0,AA63&lt;upland_rain!$D$6),Crop!AA63+1,IF(Z64=upland_rain!$E$6,1,0))</f>
        <v>27</v>
      </c>
      <c r="AB64" s="174">
        <v>10</v>
      </c>
      <c r="AC64" s="174">
        <f t="shared" si="4"/>
        <v>45</v>
      </c>
      <c r="AD64" s="174">
        <v>10</v>
      </c>
    </row>
    <row r="65" spans="6:30" x14ac:dyDescent="0.15">
      <c r="F65" s="29">
        <v>11</v>
      </c>
      <c r="G65" s="29">
        <f>IF(AND(Crop!G64&gt;0,G64&lt;paddy_Dry!$D$6),Crop!G64+1,IF(F65=paddy_Dry!$E$6,1,0))</f>
        <v>0</v>
      </c>
      <c r="H65" s="29">
        <v>11</v>
      </c>
      <c r="I65" s="29">
        <f t="shared" si="5"/>
        <v>24</v>
      </c>
      <c r="J65" s="29">
        <v>11</v>
      </c>
      <c r="K65" s="150">
        <v>11</v>
      </c>
      <c r="L65" s="150">
        <f>IF(AND(Crop!L64&gt;0,L64&lt;upland_dry!$D$6),Crop!L64+1,IF(K65=upland_dry!$E$6,1,0))</f>
        <v>0</v>
      </c>
      <c r="M65" s="150">
        <v>11</v>
      </c>
      <c r="N65" s="150">
        <f t="shared" si="1"/>
        <v>22</v>
      </c>
      <c r="O65" s="150">
        <v>11</v>
      </c>
      <c r="P65" s="156">
        <v>11</v>
      </c>
      <c r="Q65" s="156">
        <f>IF(AND(Crop!Q64&gt;0,Q64&lt;plant!$D$6),Crop!Q64+1,IF(P65=plant!$E$6,1,0))</f>
        <v>11</v>
      </c>
      <c r="R65" s="156">
        <v>11</v>
      </c>
      <c r="S65" s="156">
        <f t="shared" si="2"/>
        <v>11</v>
      </c>
      <c r="T65" s="156">
        <v>11</v>
      </c>
      <c r="U65" s="171">
        <v>11</v>
      </c>
      <c r="V65" s="171">
        <f>IF(AND(Crop!V64&gt;0,V64&lt;paddy_rain!$D$6),Crop!V64+1,IF(U65=paddy_rain!$E$6,1,0))</f>
        <v>0</v>
      </c>
      <c r="W65" s="171">
        <v>11</v>
      </c>
      <c r="X65" s="171">
        <f t="shared" si="3"/>
        <v>46</v>
      </c>
      <c r="Y65" s="171">
        <v>11</v>
      </c>
      <c r="Z65" s="174">
        <v>11</v>
      </c>
      <c r="AA65" s="174">
        <f>IF(AND(Crop!AA64&gt;0,AA64&lt;upland_rain!$D$6),Crop!AA64+1,IF(Z65=upland_rain!$E$6,1,0))</f>
        <v>28</v>
      </c>
      <c r="AB65" s="174">
        <v>11</v>
      </c>
      <c r="AC65" s="174">
        <f t="shared" si="4"/>
        <v>46</v>
      </c>
      <c r="AD65" s="174">
        <v>11</v>
      </c>
    </row>
    <row r="66" spans="6:30" x14ac:dyDescent="0.15">
      <c r="F66" s="29">
        <v>12</v>
      </c>
      <c r="G66" s="29">
        <f>IF(AND(Crop!G65&gt;0,G65&lt;paddy_Dry!$D$6),Crop!G65+1,IF(F66=paddy_Dry!$E$6,1,0))</f>
        <v>0</v>
      </c>
      <c r="H66" s="29">
        <v>12</v>
      </c>
      <c r="I66" s="29">
        <f t="shared" si="5"/>
        <v>25</v>
      </c>
      <c r="J66" s="29">
        <v>12</v>
      </c>
      <c r="K66" s="150">
        <v>12</v>
      </c>
      <c r="L66" s="150">
        <f>IF(AND(Crop!L65&gt;0,L65&lt;upland_dry!$D$6),Crop!L65+1,IF(K66=upland_dry!$E$6,1,0))</f>
        <v>1</v>
      </c>
      <c r="M66" s="150">
        <v>12</v>
      </c>
      <c r="N66" s="150">
        <f t="shared" si="1"/>
        <v>23</v>
      </c>
      <c r="O66" s="150">
        <v>12</v>
      </c>
      <c r="P66" s="156">
        <v>12</v>
      </c>
      <c r="Q66" s="156">
        <f>IF(AND(Crop!Q65&gt;0,Q65&lt;plant!$D$6),Crop!Q65+1,IF(P66=plant!$E$6,1,0))</f>
        <v>12</v>
      </c>
      <c r="R66" s="156">
        <v>12</v>
      </c>
      <c r="S66" s="156">
        <f t="shared" si="2"/>
        <v>12</v>
      </c>
      <c r="T66" s="156">
        <v>12</v>
      </c>
      <c r="U66" s="171">
        <v>12</v>
      </c>
      <c r="V66" s="171">
        <f>IF(AND(Crop!V65&gt;0,V65&lt;paddy_rain!$D$6),Crop!V65+1,IF(U66=paddy_rain!$E$6,1,0))</f>
        <v>0</v>
      </c>
      <c r="W66" s="171">
        <v>12</v>
      </c>
      <c r="X66" s="171">
        <f t="shared" si="3"/>
        <v>47</v>
      </c>
      <c r="Y66" s="171">
        <v>12</v>
      </c>
      <c r="Z66" s="174">
        <v>12</v>
      </c>
      <c r="AA66" s="174">
        <f>IF(AND(Crop!AA65&gt;0,AA65&lt;upland_rain!$D$6),Crop!AA65+1,IF(Z66=upland_rain!$E$6,1,0))</f>
        <v>29</v>
      </c>
      <c r="AB66" s="174">
        <v>12</v>
      </c>
      <c r="AC66" s="174">
        <f t="shared" si="4"/>
        <v>47</v>
      </c>
      <c r="AD66" s="174">
        <v>12</v>
      </c>
    </row>
    <row r="67" spans="6:30" x14ac:dyDescent="0.15">
      <c r="F67" s="29">
        <v>13</v>
      </c>
      <c r="G67" s="29">
        <f>IF(AND(Crop!G66&gt;0,G66&lt;paddy_Dry!$D$6),Crop!G66+1,IF(F67=paddy_Dry!$E$6,1,0))</f>
        <v>0</v>
      </c>
      <c r="H67" s="29">
        <v>13</v>
      </c>
      <c r="I67" s="29">
        <f t="shared" si="5"/>
        <v>26</v>
      </c>
      <c r="J67" s="29">
        <v>13</v>
      </c>
      <c r="K67" s="150">
        <v>13</v>
      </c>
      <c r="L67" s="150">
        <f>IF(AND(Crop!L66&gt;0,L66&lt;upland_dry!$D$6),Crop!L66+1,IF(K67=upland_dry!$E$6,1,0))</f>
        <v>2</v>
      </c>
      <c r="M67" s="150">
        <v>13</v>
      </c>
      <c r="N67" s="150">
        <f t="shared" si="1"/>
        <v>24</v>
      </c>
      <c r="O67" s="150">
        <v>13</v>
      </c>
      <c r="P67" s="156">
        <v>13</v>
      </c>
      <c r="Q67" s="156">
        <f>IF(AND(Crop!Q66&gt;0,Q66&lt;plant!$D$6),Crop!Q66+1,IF(P67=plant!$E$6,1,0))</f>
        <v>13</v>
      </c>
      <c r="R67" s="156">
        <v>13</v>
      </c>
      <c r="S67" s="156">
        <f t="shared" si="2"/>
        <v>13</v>
      </c>
      <c r="T67" s="156">
        <v>13</v>
      </c>
      <c r="U67" s="171">
        <v>13</v>
      </c>
      <c r="V67" s="171">
        <f>IF(AND(Crop!V66&gt;0,V66&lt;paddy_rain!$D$6),Crop!V66+1,IF(U67=paddy_rain!$E$6,1,0))</f>
        <v>0</v>
      </c>
      <c r="W67" s="171">
        <v>13</v>
      </c>
      <c r="X67" s="171">
        <f t="shared" si="3"/>
        <v>48</v>
      </c>
      <c r="Y67" s="171">
        <v>13</v>
      </c>
      <c r="Z67" s="174">
        <v>13</v>
      </c>
      <c r="AA67" s="174">
        <f>IF(AND(Crop!AA66&gt;0,AA66&lt;upland_rain!$D$6),Crop!AA66+1,IF(Z67=upland_rain!$E$6,1,0))</f>
        <v>30</v>
      </c>
      <c r="AB67" s="174">
        <v>13</v>
      </c>
      <c r="AC67" s="174">
        <f t="shared" si="4"/>
        <v>48</v>
      </c>
      <c r="AD67" s="174">
        <v>13</v>
      </c>
    </row>
    <row r="68" spans="6:30" x14ac:dyDescent="0.15">
      <c r="F68" s="29">
        <v>14</v>
      </c>
      <c r="G68" s="29">
        <f>IF(AND(Crop!G67&gt;0,G67&lt;paddy_Dry!$D$6),Crop!G67+1,IF(F68=paddy_Dry!$E$6,1,0))</f>
        <v>1</v>
      </c>
      <c r="H68" s="29">
        <v>14</v>
      </c>
      <c r="I68" s="29">
        <f t="shared" si="5"/>
        <v>0</v>
      </c>
      <c r="J68" s="29">
        <v>14</v>
      </c>
      <c r="K68" s="150">
        <v>14</v>
      </c>
      <c r="L68" s="150">
        <f>IF(AND(Crop!L67&gt;0,L67&lt;upland_dry!$D$6),Crop!L67+1,IF(K68=upland_dry!$E$6,1,0))</f>
        <v>3</v>
      </c>
      <c r="M68" s="150">
        <v>14</v>
      </c>
      <c r="N68" s="150">
        <f>IF(ISERROR(VLOOKUP(K68,$L$3:$M$70,2,FALSE)),0,VLOOKUP(K68,$L$3:$M$70,2,FALSE))</f>
        <v>25</v>
      </c>
      <c r="O68" s="150">
        <v>14</v>
      </c>
      <c r="P68" s="156">
        <v>14</v>
      </c>
      <c r="Q68" s="156">
        <f>IF(AND(Crop!Q67&gt;0,Q67&lt;plant!$D$6),Crop!Q67+1,IF(P68=plant!$E$6,1,0))</f>
        <v>14</v>
      </c>
      <c r="R68" s="156">
        <v>14</v>
      </c>
      <c r="S68" s="156">
        <f>IF(ISERROR(VLOOKUP(P68,$Q$3:$R$70,2,FALSE)),0,VLOOKUP(P68,$Q$3:$R$70,2,FALSE))</f>
        <v>14</v>
      </c>
      <c r="T68" s="156">
        <v>14</v>
      </c>
      <c r="U68" s="171">
        <v>14</v>
      </c>
      <c r="V68" s="171">
        <f>IF(AND(Crop!V67&gt;0,V67&lt;paddy_rain!$D$6),Crop!V67+1,IF(U68=paddy_rain!$E$6,1,0))</f>
        <v>0</v>
      </c>
      <c r="W68" s="171">
        <v>14</v>
      </c>
      <c r="X68" s="171">
        <f>IF(ISERROR(VLOOKUP(U68,$V$3:$W$70,2,FALSE)),0,VLOOKUP(U68,$V$3:$W$70,2,FALSE))</f>
        <v>0</v>
      </c>
      <c r="Y68" s="171">
        <v>14</v>
      </c>
      <c r="Z68" s="174">
        <v>14</v>
      </c>
      <c r="AA68" s="174">
        <f>IF(AND(Crop!AA67&gt;0,AA67&lt;upland_rain!$D$6),Crop!AA67+1,IF(Z68=upland_rain!$E$6,1,0))</f>
        <v>31</v>
      </c>
      <c r="AB68" s="174">
        <v>14</v>
      </c>
      <c r="AC68" s="174">
        <f>IF(ISERROR(VLOOKUP(Z68,$AA$3:$AB$70,2,FALSE)),0,VLOOKUP(Z68,$AA$3:$AB$70,2,FALSE))</f>
        <v>49</v>
      </c>
      <c r="AD68" s="174">
        <v>14</v>
      </c>
    </row>
    <row r="69" spans="6:30" x14ac:dyDescent="0.15">
      <c r="F69" s="29">
        <v>15</v>
      </c>
      <c r="G69" s="29">
        <f>IF(AND(Crop!G68&gt;0,G68&lt;paddy_Dry!$D$6),Crop!G68+1,IF(F69=paddy_Dry!$E$6,1,0))</f>
        <v>2</v>
      </c>
      <c r="H69" s="29">
        <v>15</v>
      </c>
      <c r="I69" s="29">
        <f t="shared" si="5"/>
        <v>0</v>
      </c>
      <c r="J69" s="29">
        <v>15</v>
      </c>
      <c r="K69" s="150">
        <v>15</v>
      </c>
      <c r="L69" s="150">
        <f>IF(AND(Crop!L68&gt;0,L68&lt;upland_dry!$D$6),Crop!L68+1,IF(K69=upland_dry!$E$6,1,0))</f>
        <v>4</v>
      </c>
      <c r="M69" s="150">
        <v>15</v>
      </c>
      <c r="N69" s="150">
        <f>IF(ISERROR(VLOOKUP(K69,$L$3:$M$70,2,FALSE)),0,VLOOKUP(K69,$L$3:$M$70,2,FALSE))</f>
        <v>26</v>
      </c>
      <c r="O69" s="150">
        <v>15</v>
      </c>
      <c r="P69" s="156">
        <v>15</v>
      </c>
      <c r="Q69" s="156">
        <f>IF(AND(Crop!Q68&gt;0,Q68&lt;plant!$D$6),Crop!Q68+1,IF(P69=plant!$E$6,1,0))</f>
        <v>15</v>
      </c>
      <c r="R69" s="156">
        <v>15</v>
      </c>
      <c r="S69" s="156">
        <f>IF(ISERROR(VLOOKUP(P69,$Q$3:$R$70,2,FALSE)),0,VLOOKUP(P69,$Q$3:$R$70,2,FALSE))</f>
        <v>15</v>
      </c>
      <c r="T69" s="156">
        <v>15</v>
      </c>
      <c r="U69" s="171">
        <v>15</v>
      </c>
      <c r="V69" s="171">
        <f>IF(AND(Crop!V68&gt;0,V68&lt;paddy_rain!$D$6),Crop!V68+1,IF(U69=paddy_rain!$E$6,1,0))</f>
        <v>0</v>
      </c>
      <c r="W69" s="171">
        <v>15</v>
      </c>
      <c r="X69" s="171">
        <f>IF(ISERROR(VLOOKUP(U69,$V$3:$W$70,2,FALSE)),0,VLOOKUP(U69,$V$3:$W$70,2,FALSE))</f>
        <v>0</v>
      </c>
      <c r="Y69" s="171">
        <v>15</v>
      </c>
      <c r="Z69" s="174">
        <v>15</v>
      </c>
      <c r="AA69" s="174">
        <f>IF(AND(Crop!AA68&gt;0,AA68&lt;upland_rain!$D$6),Crop!AA68+1,IF(Z69=upland_rain!$E$6,1,0))</f>
        <v>32</v>
      </c>
      <c r="AB69" s="174">
        <v>15</v>
      </c>
      <c r="AC69" s="174">
        <f>IF(ISERROR(VLOOKUP(Z69,$AA$3:$AB$70,2,FALSE)),0,VLOOKUP(Z69,$AA$3:$AB$70,2,FALSE))</f>
        <v>50</v>
      </c>
      <c r="AD69" s="174">
        <v>15</v>
      </c>
    </row>
    <row r="70" spans="6:30" x14ac:dyDescent="0.15">
      <c r="F70" s="30">
        <v>16</v>
      </c>
      <c r="G70" s="30">
        <f>IF(AND(Crop!G69&gt;0,G69&lt;paddy_Dry!$D$6),Crop!G69+1,IF(F70=paddy_Dry!$E$6,1,0))</f>
        <v>3</v>
      </c>
      <c r="H70" s="30">
        <v>16</v>
      </c>
      <c r="I70" s="30">
        <f t="shared" si="5"/>
        <v>0</v>
      </c>
      <c r="J70" s="30">
        <v>16</v>
      </c>
      <c r="K70" s="151">
        <v>16</v>
      </c>
      <c r="L70" s="151">
        <f>IF(AND(Crop!L69&gt;0,L69&lt;upland_dry!$D$6),Crop!L69+1,IF(K70=upland_dry!$E$6,1,0))</f>
        <v>5</v>
      </c>
      <c r="M70" s="151">
        <v>16</v>
      </c>
      <c r="N70" s="151">
        <f>IF(ISERROR(VLOOKUP(K70,$L$3:$M$70,2,FALSE)),0,VLOOKUP(K70,$L$3:$M$70,2,FALSE))</f>
        <v>27</v>
      </c>
      <c r="O70" s="151">
        <v>16</v>
      </c>
      <c r="P70" s="157">
        <v>16</v>
      </c>
      <c r="Q70" s="157">
        <f>IF(AND(Crop!Q69&gt;0,Q69&lt;plant!$D$6),Crop!Q69+1,IF(P70=plant!$E$6,1,0))</f>
        <v>16</v>
      </c>
      <c r="R70" s="157">
        <v>16</v>
      </c>
      <c r="S70" s="157">
        <f>IF(ISERROR(VLOOKUP(P70,$Q$3:$R$70,2,FALSE)),0,VLOOKUP(P70,$Q$3:$R$70,2,FALSE))</f>
        <v>16</v>
      </c>
      <c r="T70" s="157">
        <v>16</v>
      </c>
      <c r="U70" s="172">
        <v>16</v>
      </c>
      <c r="V70" s="171">
        <f>IF(AND(Crop!V69&gt;0,V69&lt;paddy_rain!$D$6),Crop!V69+1,IF(U70=paddy_rain!$E$6,1,0))</f>
        <v>0</v>
      </c>
      <c r="W70" s="172">
        <v>16</v>
      </c>
      <c r="X70" s="171">
        <f>IF(ISERROR(VLOOKUP(U70,$V$3:$W$70,2,FALSE)),0,VLOOKUP(U70,$V$3:$W$70,2,FALSE))</f>
        <v>0</v>
      </c>
      <c r="Y70" s="172">
        <v>16</v>
      </c>
      <c r="Z70" s="175">
        <v>16</v>
      </c>
      <c r="AA70" s="174">
        <f>IF(AND(Crop!AA69&gt;0,AA69&lt;upland_rain!$D$6),Crop!AA69+1,IF(Z70=upland_rain!$E$6,1,0))</f>
        <v>33</v>
      </c>
      <c r="AB70" s="175">
        <v>16</v>
      </c>
      <c r="AC70" s="174">
        <f>IF(ISERROR(VLOOKUP(Z70,$AA$3:$AB$70,2,FALSE)),0,VLOOKUP(Z70,$AA$3:$AB$70,2,FALSE))</f>
        <v>51</v>
      </c>
      <c r="AD70" s="175">
        <v>16</v>
      </c>
    </row>
  </sheetData>
  <sheetProtection password="DD72" sheet="1" objects="1" scenarios="1"/>
  <mergeCells count="5">
    <mergeCell ref="Z1:AD1"/>
    <mergeCell ref="K1:O1"/>
    <mergeCell ref="F1:J1"/>
    <mergeCell ref="P1:T1"/>
    <mergeCell ref="U1:Y1"/>
  </mergeCells>
  <phoneticPr fontId="2" type="noConversion"/>
  <pageMargins left="0.17" right="0.17" top="0.59" bottom="0.44" header="0.23" footer="0.17"/>
  <pageSetup paperSize="9" scale="56" orientation="landscape"/>
  <headerFooter alignWithMargins="0">
    <oddFooter>&amp;L&amp;Z&amp;F&amp;A&amp;C&amp;P/&amp;N&amp;R&amp;D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DEA42-D7D0-D946-A11B-11C97CC1FEB4}">
  <sheetPr codeName="Sheet7">
    <tabColor indexed="44"/>
  </sheetPr>
  <dimension ref="A1:AI57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Y1" sqref="Y1:Y65536"/>
    </sheetView>
  </sheetViews>
  <sheetFormatPr baseColWidth="10" defaultColWidth="9.1640625" defaultRowHeight="12.75" customHeight="1" x14ac:dyDescent="0.15"/>
  <cols>
    <col min="1" max="1" width="9.83203125" style="20" customWidth="1"/>
    <col min="2" max="2" width="8" style="20" customWidth="1"/>
    <col min="3" max="3" width="7.5" style="20" customWidth="1"/>
    <col min="4" max="4" width="7.83203125" style="20" customWidth="1"/>
    <col min="5" max="5" width="7" style="20" customWidth="1"/>
    <col min="6" max="6" width="7.83203125" style="20" customWidth="1"/>
    <col min="7" max="7" width="7.1640625" style="20" customWidth="1"/>
    <col min="8" max="8" width="6.83203125" style="20" customWidth="1"/>
    <col min="9" max="9" width="7.83203125" style="20" customWidth="1"/>
    <col min="10" max="10" width="6.1640625" style="20" customWidth="1"/>
    <col min="11" max="11" width="6.6640625" style="20" customWidth="1"/>
    <col min="12" max="12" width="4.5" style="20" customWidth="1"/>
    <col min="13" max="13" width="5.33203125" style="20" customWidth="1"/>
    <col min="14" max="14" width="5" style="20" customWidth="1"/>
    <col min="15" max="15" width="6.1640625" style="20" customWidth="1"/>
    <col min="16" max="16" width="5.83203125" style="20" customWidth="1"/>
    <col min="17" max="17" width="6.5" style="20" customWidth="1"/>
    <col min="18" max="18" width="7.5" style="20" customWidth="1"/>
    <col min="19" max="19" width="4.6640625" style="20" customWidth="1"/>
    <col min="20" max="20" width="6.1640625" style="20" customWidth="1"/>
    <col min="21" max="21" width="5" style="20" customWidth="1"/>
    <col min="22" max="22" width="7.5" style="20" customWidth="1"/>
    <col min="23" max="23" width="4.1640625" style="20" customWidth="1"/>
    <col min="24" max="24" width="4.5" style="20" customWidth="1"/>
    <col min="25" max="25" width="5" style="20" customWidth="1"/>
    <col min="26" max="26" width="4.5" style="20" customWidth="1"/>
    <col min="27" max="27" width="5" style="20" customWidth="1"/>
    <col min="28" max="28" width="7.6640625" style="20" customWidth="1"/>
    <col min="29" max="29" width="5.83203125" style="20" customWidth="1"/>
    <col min="30" max="30" width="5.33203125" style="20" customWidth="1"/>
    <col min="31" max="32" width="6.6640625" style="20" customWidth="1"/>
    <col min="33" max="33" width="4.5" style="20" customWidth="1"/>
    <col min="34" max="34" width="6.6640625" style="20" customWidth="1"/>
    <col min="35" max="35" width="7.33203125" style="20" customWidth="1"/>
    <col min="36" max="16384" width="9.1640625" style="20"/>
  </cols>
  <sheetData>
    <row r="1" spans="1:35" ht="16" x14ac:dyDescent="0.2">
      <c r="A1" s="32" t="s">
        <v>1</v>
      </c>
    </row>
    <row r="3" spans="1:35" ht="12.75" customHeight="1" x14ac:dyDescent="0.15">
      <c r="A3" s="21" t="s">
        <v>2</v>
      </c>
      <c r="B3" s="835" t="s">
        <v>148</v>
      </c>
      <c r="C3" s="835" t="s">
        <v>149</v>
      </c>
      <c r="D3" s="835" t="s">
        <v>150</v>
      </c>
      <c r="E3" s="835" t="s">
        <v>3</v>
      </c>
      <c r="F3" s="835" t="s">
        <v>151</v>
      </c>
      <c r="G3" s="835" t="s">
        <v>152</v>
      </c>
      <c r="H3" s="835" t="s">
        <v>681</v>
      </c>
      <c r="I3" s="835" t="s">
        <v>4</v>
      </c>
      <c r="J3" s="835" t="s">
        <v>682</v>
      </c>
      <c r="K3" s="835" t="s">
        <v>683</v>
      </c>
      <c r="L3" s="835" t="s">
        <v>5</v>
      </c>
      <c r="M3" s="835" t="s">
        <v>6</v>
      </c>
      <c r="N3" s="835" t="s">
        <v>684</v>
      </c>
      <c r="O3" s="835" t="s">
        <v>7</v>
      </c>
      <c r="P3" s="835" t="s">
        <v>153</v>
      </c>
      <c r="Q3" s="835" t="s">
        <v>154</v>
      </c>
      <c r="R3" s="835" t="s">
        <v>685</v>
      </c>
      <c r="S3" s="835" t="s">
        <v>8</v>
      </c>
      <c r="T3" s="835" t="s">
        <v>155</v>
      </c>
      <c r="U3" s="835" t="s">
        <v>9</v>
      </c>
      <c r="V3" s="835" t="s">
        <v>156</v>
      </c>
      <c r="W3" s="835" t="s">
        <v>176</v>
      </c>
      <c r="X3" s="835" t="s">
        <v>177</v>
      </c>
      <c r="Y3" s="835" t="s">
        <v>178</v>
      </c>
      <c r="Z3" s="835" t="s">
        <v>183</v>
      </c>
      <c r="AA3" s="835" t="s">
        <v>179</v>
      </c>
      <c r="AB3" s="838" t="s">
        <v>184</v>
      </c>
      <c r="AC3" s="835" t="s">
        <v>180</v>
      </c>
      <c r="AD3" s="835" t="s">
        <v>181</v>
      </c>
      <c r="AE3" s="838" t="s">
        <v>186</v>
      </c>
      <c r="AF3" s="838" t="s">
        <v>187</v>
      </c>
      <c r="AG3" s="838" t="s">
        <v>185</v>
      </c>
      <c r="AH3" s="835" t="s">
        <v>182</v>
      </c>
      <c r="AI3" s="835" t="s">
        <v>188</v>
      </c>
    </row>
    <row r="4" spans="1:35" ht="12.75" customHeight="1" x14ac:dyDescent="0.15">
      <c r="A4" s="22"/>
      <c r="B4" s="836"/>
      <c r="C4" s="836"/>
      <c r="D4" s="836"/>
      <c r="E4" s="836"/>
      <c r="F4" s="836"/>
      <c r="G4" s="836"/>
      <c r="H4" s="836"/>
      <c r="I4" s="836"/>
      <c r="J4" s="836"/>
      <c r="K4" s="836"/>
      <c r="L4" s="836"/>
      <c r="M4" s="836"/>
      <c r="N4" s="836"/>
      <c r="O4" s="836"/>
      <c r="P4" s="836"/>
      <c r="Q4" s="836"/>
      <c r="R4" s="836"/>
      <c r="S4" s="836"/>
      <c r="T4" s="836"/>
      <c r="U4" s="836"/>
      <c r="V4" s="836"/>
      <c r="W4" s="836"/>
      <c r="X4" s="836"/>
      <c r="Y4" s="836"/>
      <c r="Z4" s="836"/>
      <c r="AA4" s="836"/>
      <c r="AB4" s="836"/>
      <c r="AC4" s="836"/>
      <c r="AD4" s="836"/>
      <c r="AE4" s="836"/>
      <c r="AF4" s="836"/>
      <c r="AG4" s="836"/>
      <c r="AH4" s="836"/>
      <c r="AI4" s="836"/>
    </row>
    <row r="5" spans="1:35" ht="12.75" customHeight="1" x14ac:dyDescent="0.15">
      <c r="A5" s="23"/>
      <c r="B5" s="837"/>
      <c r="C5" s="837"/>
      <c r="D5" s="837"/>
      <c r="E5" s="837"/>
      <c r="F5" s="837"/>
      <c r="G5" s="837"/>
      <c r="H5" s="837"/>
      <c r="I5" s="837"/>
      <c r="J5" s="837"/>
      <c r="K5" s="837"/>
      <c r="L5" s="837"/>
      <c r="M5" s="837"/>
      <c r="N5" s="837"/>
      <c r="O5" s="837"/>
      <c r="P5" s="837"/>
      <c r="Q5" s="837"/>
      <c r="R5" s="837"/>
      <c r="S5" s="837"/>
      <c r="T5" s="837"/>
      <c r="U5" s="837"/>
      <c r="V5" s="837"/>
      <c r="W5" s="837"/>
      <c r="X5" s="837"/>
      <c r="Y5" s="837"/>
      <c r="Z5" s="837"/>
      <c r="AA5" s="837"/>
      <c r="AB5" s="837"/>
      <c r="AC5" s="837"/>
      <c r="AD5" s="837"/>
      <c r="AE5" s="837"/>
      <c r="AF5" s="837"/>
      <c r="AG5" s="837"/>
      <c r="AH5" s="837"/>
      <c r="AI5" s="837"/>
    </row>
    <row r="6" spans="1:35" ht="12.75" customHeight="1" x14ac:dyDescent="0.15">
      <c r="A6" s="52">
        <v>1</v>
      </c>
      <c r="B6" s="53">
        <v>1.03</v>
      </c>
      <c r="C6" s="53">
        <v>0.66</v>
      </c>
      <c r="D6" s="53">
        <v>1.22</v>
      </c>
      <c r="E6" s="53">
        <v>0.5</v>
      </c>
      <c r="F6" s="53">
        <v>0.63</v>
      </c>
      <c r="G6" s="53">
        <v>0.65</v>
      </c>
      <c r="H6" s="53">
        <v>0.54</v>
      </c>
      <c r="I6" s="53">
        <v>0.64</v>
      </c>
      <c r="J6" s="53">
        <v>0.6</v>
      </c>
      <c r="K6" s="53">
        <v>0.57999999999999996</v>
      </c>
      <c r="L6" s="53">
        <v>0.59</v>
      </c>
      <c r="M6" s="53">
        <v>0.45</v>
      </c>
      <c r="N6" s="53">
        <v>0.68</v>
      </c>
      <c r="O6" s="53">
        <v>1.02</v>
      </c>
      <c r="P6" s="53">
        <v>0.73</v>
      </c>
      <c r="Q6" s="53">
        <v>0.75</v>
      </c>
      <c r="R6" s="53">
        <v>0.72</v>
      </c>
      <c r="S6" s="53">
        <v>0.88</v>
      </c>
      <c r="T6" s="53">
        <v>1.01</v>
      </c>
      <c r="U6" s="53">
        <v>0.54</v>
      </c>
      <c r="V6" s="53">
        <v>0.36</v>
      </c>
      <c r="W6" s="54">
        <v>0.88</v>
      </c>
      <c r="X6" s="53">
        <v>0.65</v>
      </c>
      <c r="Y6" s="54">
        <v>0.76</v>
      </c>
      <c r="Z6" s="54">
        <v>0.68</v>
      </c>
      <c r="AA6" s="54">
        <v>1</v>
      </c>
      <c r="AB6" s="54">
        <v>0.89</v>
      </c>
      <c r="AC6" s="54">
        <v>2.1</v>
      </c>
      <c r="AD6" s="54">
        <v>1.74</v>
      </c>
      <c r="AE6" s="54">
        <v>1.1000000000000001</v>
      </c>
      <c r="AF6" s="54">
        <v>1.17</v>
      </c>
      <c r="AG6" s="54">
        <v>0.91</v>
      </c>
      <c r="AH6" s="54">
        <v>0.88</v>
      </c>
      <c r="AI6" s="54">
        <v>0.5</v>
      </c>
    </row>
    <row r="7" spans="1:35" ht="12.75" customHeight="1" x14ac:dyDescent="0.15">
      <c r="A7" s="55">
        <v>2</v>
      </c>
      <c r="B7" s="56">
        <v>1.07</v>
      </c>
      <c r="C7" s="56">
        <v>0.79</v>
      </c>
      <c r="D7" s="56">
        <v>1.3</v>
      </c>
      <c r="E7" s="56">
        <v>0.52</v>
      </c>
      <c r="F7" s="56">
        <v>0.72</v>
      </c>
      <c r="G7" s="56">
        <v>0.68</v>
      </c>
      <c r="H7" s="56">
        <v>0.56999999999999995</v>
      </c>
      <c r="I7" s="56">
        <v>0.69</v>
      </c>
      <c r="J7" s="56">
        <v>0.72</v>
      </c>
      <c r="K7" s="56">
        <v>0.87</v>
      </c>
      <c r="L7" s="56">
        <v>0.7</v>
      </c>
      <c r="M7" s="56">
        <v>0.56999999999999995</v>
      </c>
      <c r="N7" s="56">
        <v>0.73</v>
      </c>
      <c r="O7" s="56">
        <v>1.1399999999999999</v>
      </c>
      <c r="P7" s="56">
        <v>0.82</v>
      </c>
      <c r="Q7" s="56">
        <v>0.76</v>
      </c>
      <c r="R7" s="56">
        <v>0.82</v>
      </c>
      <c r="S7" s="56">
        <v>1.0900000000000001</v>
      </c>
      <c r="T7" s="56">
        <v>1.36</v>
      </c>
      <c r="U7" s="56">
        <v>0.6</v>
      </c>
      <c r="V7" s="56">
        <v>0.57999999999999996</v>
      </c>
      <c r="W7" s="57">
        <v>0.88</v>
      </c>
      <c r="X7" s="56">
        <v>0.65</v>
      </c>
      <c r="Y7" s="57">
        <v>0.76</v>
      </c>
      <c r="Z7" s="57">
        <v>0.68</v>
      </c>
      <c r="AA7" s="57">
        <v>1</v>
      </c>
      <c r="AB7" s="57">
        <v>0.89</v>
      </c>
      <c r="AC7" s="57">
        <v>2.1</v>
      </c>
      <c r="AD7" s="57">
        <v>1.74</v>
      </c>
      <c r="AE7" s="57">
        <v>1.1000000000000001</v>
      </c>
      <c r="AF7" s="57">
        <v>1.17</v>
      </c>
      <c r="AG7" s="57">
        <v>0.91</v>
      </c>
      <c r="AH7" s="57">
        <v>0.88</v>
      </c>
      <c r="AI7" s="57">
        <v>0.5</v>
      </c>
    </row>
    <row r="8" spans="1:35" ht="12.75" customHeight="1" x14ac:dyDescent="0.15">
      <c r="A8" s="55">
        <v>3</v>
      </c>
      <c r="B8" s="56">
        <v>1.1200000000000001</v>
      </c>
      <c r="C8" s="56">
        <v>0.97</v>
      </c>
      <c r="D8" s="56">
        <v>1.36</v>
      </c>
      <c r="E8" s="56">
        <v>0.61</v>
      </c>
      <c r="F8" s="56">
        <v>0.86</v>
      </c>
      <c r="G8" s="56">
        <v>0.84</v>
      </c>
      <c r="H8" s="56">
        <v>0.68</v>
      </c>
      <c r="I8" s="56">
        <v>0.81</v>
      </c>
      <c r="J8" s="56">
        <v>0.85</v>
      </c>
      <c r="K8" s="56">
        <v>1.18</v>
      </c>
      <c r="L8" s="56">
        <v>0.85</v>
      </c>
      <c r="M8" s="56">
        <v>0.69</v>
      </c>
      <c r="N8" s="56">
        <v>0.75</v>
      </c>
      <c r="O8" s="56">
        <v>1.6</v>
      </c>
      <c r="P8" s="56">
        <v>0.91</v>
      </c>
      <c r="Q8" s="56">
        <v>0.8</v>
      </c>
      <c r="R8" s="56">
        <v>0.94</v>
      </c>
      <c r="S8" s="56">
        <v>1.23</v>
      </c>
      <c r="T8" s="56">
        <v>1.43</v>
      </c>
      <c r="U8" s="56">
        <v>0.68</v>
      </c>
      <c r="V8" s="56">
        <v>0.77</v>
      </c>
      <c r="W8" s="57">
        <v>0.88</v>
      </c>
      <c r="X8" s="56">
        <v>0.65</v>
      </c>
      <c r="Y8" s="57">
        <v>0.76</v>
      </c>
      <c r="Z8" s="57">
        <v>0.68</v>
      </c>
      <c r="AA8" s="57">
        <v>1</v>
      </c>
      <c r="AB8" s="57">
        <v>0.89</v>
      </c>
      <c r="AC8" s="57">
        <v>2.1</v>
      </c>
      <c r="AD8" s="57">
        <v>1.74</v>
      </c>
      <c r="AE8" s="57">
        <v>1.1000000000000001</v>
      </c>
      <c r="AF8" s="57">
        <v>1.17</v>
      </c>
      <c r="AG8" s="57">
        <v>0.91</v>
      </c>
      <c r="AH8" s="57">
        <v>0.88</v>
      </c>
      <c r="AI8" s="57">
        <v>0.5</v>
      </c>
    </row>
    <row r="9" spans="1:35" ht="12.75" customHeight="1" x14ac:dyDescent="0.15">
      <c r="A9" s="55">
        <v>4</v>
      </c>
      <c r="B9" s="56">
        <v>1.29</v>
      </c>
      <c r="C9" s="56">
        <v>1.18</v>
      </c>
      <c r="D9" s="56">
        <v>1.45</v>
      </c>
      <c r="E9" s="56">
        <v>0.76</v>
      </c>
      <c r="F9" s="56">
        <v>1.1299999999999999</v>
      </c>
      <c r="G9" s="56">
        <v>0.99</v>
      </c>
      <c r="H9" s="56">
        <v>0.84</v>
      </c>
      <c r="I9" s="56">
        <v>1.01</v>
      </c>
      <c r="J9" s="56">
        <v>0.94</v>
      </c>
      <c r="K9" s="56">
        <v>1.4</v>
      </c>
      <c r="L9" s="56">
        <v>1.1100000000000001</v>
      </c>
      <c r="M9" s="56">
        <v>0.88</v>
      </c>
      <c r="N9" s="56">
        <v>0.78</v>
      </c>
      <c r="O9" s="56">
        <v>1.9</v>
      </c>
      <c r="P9" s="56">
        <v>1.01</v>
      </c>
      <c r="Q9" s="56">
        <v>0.88</v>
      </c>
      <c r="R9" s="56">
        <v>1.05</v>
      </c>
      <c r="S9" s="56">
        <v>1.35</v>
      </c>
      <c r="T9" s="56">
        <v>1.47</v>
      </c>
      <c r="U9" s="56">
        <v>0.72</v>
      </c>
      <c r="V9" s="56">
        <v>0.93</v>
      </c>
      <c r="W9" s="57">
        <v>0.88</v>
      </c>
      <c r="X9" s="56">
        <v>0.65</v>
      </c>
      <c r="Y9" s="57">
        <v>0.76</v>
      </c>
      <c r="Z9" s="57">
        <v>0.68</v>
      </c>
      <c r="AA9" s="57">
        <v>1</v>
      </c>
      <c r="AB9" s="57">
        <v>0.89</v>
      </c>
      <c r="AC9" s="57">
        <v>2.1</v>
      </c>
      <c r="AD9" s="57">
        <v>1.74</v>
      </c>
      <c r="AE9" s="57">
        <v>1.1000000000000001</v>
      </c>
      <c r="AF9" s="57">
        <v>1.17</v>
      </c>
      <c r="AG9" s="57">
        <v>0.91</v>
      </c>
      <c r="AH9" s="57">
        <v>0.88</v>
      </c>
      <c r="AI9" s="57">
        <v>0.5</v>
      </c>
    </row>
    <row r="10" spans="1:35" ht="12.75" customHeight="1" x14ac:dyDescent="0.15">
      <c r="A10" s="55">
        <v>5</v>
      </c>
      <c r="B10" s="56">
        <v>1.38</v>
      </c>
      <c r="C10" s="56">
        <v>1.35</v>
      </c>
      <c r="D10" s="56">
        <v>1.47</v>
      </c>
      <c r="E10" s="56">
        <v>1.1100000000000001</v>
      </c>
      <c r="F10" s="56">
        <v>1.35</v>
      </c>
      <c r="G10" s="56">
        <v>1.1599999999999999</v>
      </c>
      <c r="H10" s="56">
        <v>1.05</v>
      </c>
      <c r="I10" s="56">
        <v>1.23</v>
      </c>
      <c r="J10" s="56">
        <v>1.17</v>
      </c>
      <c r="K10" s="56">
        <v>1.28</v>
      </c>
      <c r="L10" s="56">
        <v>1.23</v>
      </c>
      <c r="M10" s="56">
        <v>1.01</v>
      </c>
      <c r="N10" s="56">
        <v>0.81</v>
      </c>
      <c r="O10" s="56">
        <v>2.1</v>
      </c>
      <c r="P10" s="56">
        <v>1.1200000000000001</v>
      </c>
      <c r="Q10" s="56">
        <v>1.01</v>
      </c>
      <c r="R10" s="56">
        <v>1.1499999999999999</v>
      </c>
      <c r="S10" s="56">
        <v>1.43</v>
      </c>
      <c r="T10" s="56">
        <v>1.49</v>
      </c>
      <c r="U10" s="56">
        <v>0.78</v>
      </c>
      <c r="V10" s="56">
        <v>1.07</v>
      </c>
      <c r="W10" s="57">
        <v>0.88</v>
      </c>
      <c r="X10" s="56">
        <v>0.65</v>
      </c>
      <c r="Y10" s="57">
        <v>0.76</v>
      </c>
      <c r="Z10" s="57">
        <v>0.68</v>
      </c>
      <c r="AA10" s="57">
        <v>1</v>
      </c>
      <c r="AB10" s="57">
        <v>0.89</v>
      </c>
      <c r="AC10" s="57">
        <v>2.1</v>
      </c>
      <c r="AD10" s="57">
        <v>1.74</v>
      </c>
      <c r="AE10" s="57">
        <v>1.1000000000000001</v>
      </c>
      <c r="AF10" s="57">
        <v>1.17</v>
      </c>
      <c r="AG10" s="57">
        <v>0.91</v>
      </c>
      <c r="AH10" s="57">
        <v>0.88</v>
      </c>
      <c r="AI10" s="57">
        <v>0.5</v>
      </c>
    </row>
    <row r="11" spans="1:35" ht="12.75" customHeight="1" x14ac:dyDescent="0.15">
      <c r="A11" s="55">
        <v>6</v>
      </c>
      <c r="B11" s="56">
        <v>1.45</v>
      </c>
      <c r="C11" s="56">
        <v>1.51</v>
      </c>
      <c r="D11" s="56">
        <v>1.49</v>
      </c>
      <c r="E11" s="56">
        <v>1.26</v>
      </c>
      <c r="F11" s="56">
        <v>1.52</v>
      </c>
      <c r="G11" s="56">
        <v>1.22</v>
      </c>
      <c r="H11" s="56">
        <v>1.21</v>
      </c>
      <c r="I11" s="56">
        <v>1.32</v>
      </c>
      <c r="J11" s="56">
        <v>1.24</v>
      </c>
      <c r="K11" s="56">
        <v>1.19</v>
      </c>
      <c r="L11" s="56">
        <v>1.28</v>
      </c>
      <c r="M11" s="56">
        <v>1.36</v>
      </c>
      <c r="N11" s="56">
        <v>0.85</v>
      </c>
      <c r="O11" s="56">
        <v>1.9</v>
      </c>
      <c r="P11" s="56">
        <v>1.21</v>
      </c>
      <c r="Q11" s="56">
        <v>1.1200000000000001</v>
      </c>
      <c r="R11" s="56">
        <v>1.2</v>
      </c>
      <c r="S11" s="56">
        <v>1.48</v>
      </c>
      <c r="T11" s="56">
        <v>1.19</v>
      </c>
      <c r="U11" s="56">
        <v>0.83</v>
      </c>
      <c r="V11" s="56">
        <v>1.18</v>
      </c>
      <c r="W11" s="57">
        <v>1.19</v>
      </c>
      <c r="X11" s="56">
        <v>0.86</v>
      </c>
      <c r="Y11" s="57">
        <v>0.86</v>
      </c>
      <c r="Z11" s="57">
        <v>1.1000000000000001</v>
      </c>
      <c r="AA11" s="57">
        <v>1.23</v>
      </c>
      <c r="AB11" s="57">
        <v>0.95</v>
      </c>
      <c r="AC11" s="57">
        <v>2.46</v>
      </c>
      <c r="AD11" s="57">
        <v>1.62</v>
      </c>
      <c r="AE11" s="57">
        <v>1.38</v>
      </c>
      <c r="AF11" s="57">
        <v>1.47</v>
      </c>
      <c r="AG11" s="57">
        <v>0.79</v>
      </c>
      <c r="AH11" s="57">
        <v>1.23</v>
      </c>
      <c r="AI11" s="57">
        <v>0.5</v>
      </c>
    </row>
    <row r="12" spans="1:35" ht="12.75" customHeight="1" x14ac:dyDescent="0.15">
      <c r="A12" s="55">
        <v>7</v>
      </c>
      <c r="B12" s="56">
        <v>1.5</v>
      </c>
      <c r="C12" s="56">
        <v>1.61</v>
      </c>
      <c r="D12" s="56">
        <v>1.49</v>
      </c>
      <c r="E12" s="56">
        <v>1.33</v>
      </c>
      <c r="F12" s="56">
        <v>1.61</v>
      </c>
      <c r="G12" s="56">
        <v>1.21</v>
      </c>
      <c r="H12" s="56">
        <v>1.23</v>
      </c>
      <c r="I12" s="56">
        <v>1.35</v>
      </c>
      <c r="J12" s="56">
        <v>1.28</v>
      </c>
      <c r="K12" s="56">
        <v>0.66</v>
      </c>
      <c r="L12" s="56">
        <v>1.24</v>
      </c>
      <c r="M12" s="56">
        <v>1.61</v>
      </c>
      <c r="N12" s="56">
        <v>0.9</v>
      </c>
      <c r="O12" s="56">
        <v>1.73</v>
      </c>
      <c r="P12" s="56">
        <v>1.3</v>
      </c>
      <c r="Q12" s="56">
        <v>1.21</v>
      </c>
      <c r="R12" s="56">
        <v>1.2</v>
      </c>
      <c r="S12" s="56">
        <v>1.47</v>
      </c>
      <c r="T12" s="56">
        <v>1.17</v>
      </c>
      <c r="U12" s="56">
        <v>0.73</v>
      </c>
      <c r="V12" s="56">
        <v>1.27</v>
      </c>
      <c r="W12" s="57">
        <v>1.19</v>
      </c>
      <c r="X12" s="56">
        <v>0.86</v>
      </c>
      <c r="Y12" s="57">
        <v>0.86</v>
      </c>
      <c r="Z12" s="57">
        <v>1.1000000000000001</v>
      </c>
      <c r="AA12" s="57">
        <v>1.23</v>
      </c>
      <c r="AB12" s="57">
        <v>0.95</v>
      </c>
      <c r="AC12" s="57">
        <v>2.46</v>
      </c>
      <c r="AD12" s="57">
        <v>1.62</v>
      </c>
      <c r="AE12" s="57">
        <v>1.38</v>
      </c>
      <c r="AF12" s="57">
        <v>1.47</v>
      </c>
      <c r="AG12" s="57">
        <v>0.79</v>
      </c>
      <c r="AH12" s="57">
        <v>1.23</v>
      </c>
      <c r="AI12" s="57">
        <v>0.5</v>
      </c>
    </row>
    <row r="13" spans="1:35" ht="12.75" customHeight="1" x14ac:dyDescent="0.15">
      <c r="A13" s="55">
        <v>8</v>
      </c>
      <c r="B13" s="56">
        <v>1.48</v>
      </c>
      <c r="C13" s="56">
        <v>1.64</v>
      </c>
      <c r="D13" s="56">
        <v>1.48</v>
      </c>
      <c r="E13" s="56">
        <v>1.38</v>
      </c>
      <c r="F13" s="56">
        <v>1.63</v>
      </c>
      <c r="G13" s="56">
        <v>1.1499999999999999</v>
      </c>
      <c r="H13" s="56">
        <v>1.26</v>
      </c>
      <c r="I13" s="56">
        <v>1.34</v>
      </c>
      <c r="J13" s="56">
        <v>1.36</v>
      </c>
      <c r="K13" s="56">
        <v>0.44</v>
      </c>
      <c r="L13" s="56">
        <v>1.21</v>
      </c>
      <c r="M13" s="56">
        <v>1.48</v>
      </c>
      <c r="N13" s="56">
        <v>0.95</v>
      </c>
      <c r="O13" s="56">
        <v>1.44</v>
      </c>
      <c r="P13" s="56">
        <v>1.36</v>
      </c>
      <c r="Q13" s="56">
        <v>1.32</v>
      </c>
      <c r="R13" s="56">
        <v>1.1499999999999999</v>
      </c>
      <c r="S13" s="56">
        <v>1.46</v>
      </c>
      <c r="T13" s="56"/>
      <c r="U13" s="56">
        <v>0.67</v>
      </c>
      <c r="V13" s="56">
        <v>1.33</v>
      </c>
      <c r="W13" s="57">
        <v>1.19</v>
      </c>
      <c r="X13" s="56">
        <v>0.86</v>
      </c>
      <c r="Y13" s="57">
        <v>0.86</v>
      </c>
      <c r="Z13" s="57">
        <v>1.1000000000000001</v>
      </c>
      <c r="AA13" s="57">
        <v>1.23</v>
      </c>
      <c r="AB13" s="57">
        <v>0.95</v>
      </c>
      <c r="AC13" s="57">
        <v>2.46</v>
      </c>
      <c r="AD13" s="57">
        <v>1.62</v>
      </c>
      <c r="AE13" s="57">
        <v>1.38</v>
      </c>
      <c r="AF13" s="57">
        <v>1.47</v>
      </c>
      <c r="AG13" s="57">
        <v>0.79</v>
      </c>
      <c r="AH13" s="57">
        <v>1.23</v>
      </c>
      <c r="AI13" s="57">
        <v>0.5</v>
      </c>
    </row>
    <row r="14" spans="1:35" ht="12.75" customHeight="1" x14ac:dyDescent="0.15">
      <c r="A14" s="55">
        <v>9</v>
      </c>
      <c r="B14" s="56">
        <v>1.42</v>
      </c>
      <c r="C14" s="56">
        <v>1.62</v>
      </c>
      <c r="D14" s="56">
        <v>1.46</v>
      </c>
      <c r="E14" s="56">
        <v>1.37</v>
      </c>
      <c r="F14" s="56">
        <v>1.58</v>
      </c>
      <c r="G14" s="56">
        <v>0.96</v>
      </c>
      <c r="H14" s="56">
        <v>1.25</v>
      </c>
      <c r="I14" s="56">
        <v>1.27</v>
      </c>
      <c r="J14" s="56">
        <v>1.04</v>
      </c>
      <c r="K14" s="56">
        <v>0.34</v>
      </c>
      <c r="L14" s="56">
        <v>1.1299999999999999</v>
      </c>
      <c r="M14" s="56">
        <v>1.44</v>
      </c>
      <c r="N14" s="56">
        <v>0.97</v>
      </c>
      <c r="O14" s="56">
        <v>1.03</v>
      </c>
      <c r="P14" s="56">
        <v>1.41</v>
      </c>
      <c r="Q14" s="56">
        <v>1.38</v>
      </c>
      <c r="R14" s="56">
        <v>1.08</v>
      </c>
      <c r="S14" s="56">
        <v>1.41</v>
      </c>
      <c r="T14" s="56"/>
      <c r="U14" s="56"/>
      <c r="V14" s="56">
        <v>1.38</v>
      </c>
      <c r="W14" s="57">
        <v>1.19</v>
      </c>
      <c r="X14" s="56">
        <v>0.86</v>
      </c>
      <c r="Y14" s="57">
        <v>0.86</v>
      </c>
      <c r="Z14" s="57">
        <v>1.1000000000000001</v>
      </c>
      <c r="AA14" s="57">
        <v>1.23</v>
      </c>
      <c r="AB14" s="57">
        <v>0.95</v>
      </c>
      <c r="AC14" s="57">
        <v>2.46</v>
      </c>
      <c r="AD14" s="57">
        <v>1.62</v>
      </c>
      <c r="AE14" s="57">
        <v>1.38</v>
      </c>
      <c r="AF14" s="57">
        <v>1.47</v>
      </c>
      <c r="AG14" s="57">
        <v>0.79</v>
      </c>
      <c r="AH14" s="57">
        <v>1.23</v>
      </c>
      <c r="AI14" s="57">
        <v>0.5</v>
      </c>
    </row>
    <row r="15" spans="1:35" ht="12.75" customHeight="1" x14ac:dyDescent="0.15">
      <c r="A15" s="55">
        <v>10</v>
      </c>
      <c r="B15" s="56">
        <v>1.34</v>
      </c>
      <c r="C15" s="56">
        <v>1.6</v>
      </c>
      <c r="D15" s="56">
        <v>1.44</v>
      </c>
      <c r="E15" s="56">
        <v>1.32</v>
      </c>
      <c r="F15" s="56">
        <v>1.5</v>
      </c>
      <c r="G15" s="56">
        <v>0.72</v>
      </c>
      <c r="H15" s="56">
        <v>1.2</v>
      </c>
      <c r="I15" s="56">
        <v>1.0900000000000001</v>
      </c>
      <c r="J15" s="56">
        <v>0.99</v>
      </c>
      <c r="K15" s="56"/>
      <c r="L15" s="56">
        <v>0.98</v>
      </c>
      <c r="M15" s="56">
        <v>1.3</v>
      </c>
      <c r="N15" s="56">
        <v>1.06</v>
      </c>
      <c r="O15" s="56">
        <v>0.75</v>
      </c>
      <c r="P15" s="56">
        <v>1.41</v>
      </c>
      <c r="Q15" s="56">
        <v>1.41</v>
      </c>
      <c r="R15" s="56">
        <v>0.92</v>
      </c>
      <c r="S15" s="56">
        <v>1.36</v>
      </c>
      <c r="T15" s="56"/>
      <c r="U15" s="56"/>
      <c r="V15" s="56"/>
      <c r="W15" s="57">
        <v>1.34</v>
      </c>
      <c r="X15" s="56">
        <v>1.1299999999999999</v>
      </c>
      <c r="Y15" s="57">
        <v>1.01</v>
      </c>
      <c r="Z15" s="57">
        <v>1.42</v>
      </c>
      <c r="AA15" s="57">
        <v>2.14</v>
      </c>
      <c r="AB15" s="57">
        <v>1.46</v>
      </c>
      <c r="AC15" s="57">
        <v>2.5299999999999998</v>
      </c>
      <c r="AD15" s="57">
        <v>1.45</v>
      </c>
      <c r="AE15" s="57">
        <v>1.44</v>
      </c>
      <c r="AF15" s="57">
        <v>1.51</v>
      </c>
      <c r="AG15" s="57">
        <v>0.87</v>
      </c>
      <c r="AH15" s="57">
        <v>1.03</v>
      </c>
      <c r="AI15" s="57">
        <v>0.5</v>
      </c>
    </row>
    <row r="16" spans="1:35" ht="12.75" customHeight="1" x14ac:dyDescent="0.15">
      <c r="A16" s="55">
        <v>11</v>
      </c>
      <c r="B16" s="56">
        <v>1.23</v>
      </c>
      <c r="C16" s="56">
        <v>1.55</v>
      </c>
      <c r="D16" s="56">
        <v>1.36</v>
      </c>
      <c r="E16" s="56">
        <v>1.1399999999999999</v>
      </c>
      <c r="F16" s="56">
        <v>1.38</v>
      </c>
      <c r="G16" s="56">
        <v>0.61</v>
      </c>
      <c r="H16" s="56">
        <v>1.1200000000000001</v>
      </c>
      <c r="I16" s="56">
        <v>0.85</v>
      </c>
      <c r="J16" s="56">
        <v>0.91</v>
      </c>
      <c r="K16" s="56"/>
      <c r="L16" s="56">
        <v>0.71</v>
      </c>
      <c r="M16" s="56">
        <v>1.21</v>
      </c>
      <c r="N16" s="56">
        <v>1.1000000000000001</v>
      </c>
      <c r="O16" s="56">
        <v>0.65</v>
      </c>
      <c r="P16" s="56">
        <v>1.37</v>
      </c>
      <c r="Q16" s="56">
        <v>1.4</v>
      </c>
      <c r="R16" s="56">
        <v>0.77</v>
      </c>
      <c r="S16" s="56">
        <v>1.29</v>
      </c>
      <c r="T16" s="56"/>
      <c r="U16" s="56"/>
      <c r="V16" s="56"/>
      <c r="W16" s="57">
        <v>1.34</v>
      </c>
      <c r="X16" s="56">
        <v>1.1299999999999999</v>
      </c>
      <c r="Y16" s="57">
        <v>1.01</v>
      </c>
      <c r="Z16" s="57">
        <v>1.42</v>
      </c>
      <c r="AA16" s="57">
        <v>2.14</v>
      </c>
      <c r="AB16" s="57">
        <v>1.46</v>
      </c>
      <c r="AC16" s="57">
        <v>2.5299999999999998</v>
      </c>
      <c r="AD16" s="57">
        <v>1.45</v>
      </c>
      <c r="AE16" s="57">
        <v>1.44</v>
      </c>
      <c r="AF16" s="57">
        <v>1.51</v>
      </c>
      <c r="AG16" s="57">
        <v>0.87</v>
      </c>
      <c r="AH16" s="57">
        <v>1.03</v>
      </c>
      <c r="AI16" s="57">
        <v>0.5</v>
      </c>
    </row>
    <row r="17" spans="1:35" ht="12.75" customHeight="1" x14ac:dyDescent="0.15">
      <c r="A17" s="55">
        <v>12</v>
      </c>
      <c r="B17" s="56">
        <v>0.94</v>
      </c>
      <c r="C17" s="56">
        <v>1.46</v>
      </c>
      <c r="D17" s="56">
        <v>1.23</v>
      </c>
      <c r="E17" s="56">
        <v>0.83</v>
      </c>
      <c r="F17" s="56">
        <v>1.1499999999999999</v>
      </c>
      <c r="G17" s="56"/>
      <c r="H17" s="56">
        <v>0.94</v>
      </c>
      <c r="I17" s="56">
        <v>0.74</v>
      </c>
      <c r="J17" s="56">
        <v>0.77</v>
      </c>
      <c r="K17" s="56"/>
      <c r="L17" s="56">
        <v>0.55000000000000004</v>
      </c>
      <c r="M17" s="56">
        <v>1</v>
      </c>
      <c r="N17" s="56">
        <v>1.03</v>
      </c>
      <c r="O17" s="56">
        <v>0.52</v>
      </c>
      <c r="P17" s="56">
        <v>1.31</v>
      </c>
      <c r="Q17" s="56">
        <v>1.37</v>
      </c>
      <c r="R17" s="56">
        <v>0.67</v>
      </c>
      <c r="S17" s="56"/>
      <c r="T17" s="56"/>
      <c r="U17" s="56"/>
      <c r="V17" s="56"/>
      <c r="W17" s="57">
        <v>1.34</v>
      </c>
      <c r="X17" s="56">
        <v>1.1299999999999999</v>
      </c>
      <c r="Y17" s="57">
        <v>1.01</v>
      </c>
      <c r="Z17" s="57">
        <v>1.42</v>
      </c>
      <c r="AA17" s="57">
        <v>2.14</v>
      </c>
      <c r="AB17" s="57">
        <v>1.46</v>
      </c>
      <c r="AC17" s="57">
        <v>2.5299999999999998</v>
      </c>
      <c r="AD17" s="57">
        <v>1.45</v>
      </c>
      <c r="AE17" s="57">
        <v>1.44</v>
      </c>
      <c r="AF17" s="57">
        <v>1.51</v>
      </c>
      <c r="AG17" s="57">
        <v>0.87</v>
      </c>
      <c r="AH17" s="57">
        <v>1.03</v>
      </c>
      <c r="AI17" s="57">
        <v>0.5</v>
      </c>
    </row>
    <row r="18" spans="1:35" ht="12.75" customHeight="1" x14ac:dyDescent="0.15">
      <c r="A18" s="55">
        <v>13</v>
      </c>
      <c r="B18" s="56">
        <v>0.86</v>
      </c>
      <c r="C18" s="56">
        <v>1.28</v>
      </c>
      <c r="D18" s="56">
        <v>1.1100000000000001</v>
      </c>
      <c r="E18" s="56">
        <v>0.62</v>
      </c>
      <c r="F18" s="56">
        <v>0.9</v>
      </c>
      <c r="G18" s="56"/>
      <c r="H18" s="56">
        <v>0.78</v>
      </c>
      <c r="I18" s="56">
        <v>0.74</v>
      </c>
      <c r="J18" s="56">
        <v>0.6</v>
      </c>
      <c r="K18" s="56"/>
      <c r="L18" s="56"/>
      <c r="M18" s="56"/>
      <c r="N18" s="56">
        <v>0.92</v>
      </c>
      <c r="O18" s="56"/>
      <c r="P18" s="56">
        <v>1.22</v>
      </c>
      <c r="Q18" s="56">
        <v>1.33</v>
      </c>
      <c r="R18" s="56"/>
      <c r="S18" s="56"/>
      <c r="T18" s="56"/>
      <c r="U18" s="56"/>
      <c r="V18" s="56"/>
      <c r="W18" s="57">
        <v>1.34</v>
      </c>
      <c r="X18" s="57">
        <v>1.1299999999999999</v>
      </c>
      <c r="Y18" s="57">
        <v>1.01</v>
      </c>
      <c r="Z18" s="57">
        <v>1.42</v>
      </c>
      <c r="AA18" s="57">
        <v>2.14</v>
      </c>
      <c r="AB18" s="57">
        <v>1.46</v>
      </c>
      <c r="AC18" s="57">
        <v>2.5299999999999998</v>
      </c>
      <c r="AD18" s="57">
        <v>1.45</v>
      </c>
      <c r="AE18" s="57">
        <v>1.44</v>
      </c>
      <c r="AF18" s="57">
        <v>1.51</v>
      </c>
      <c r="AG18" s="57">
        <v>0.87</v>
      </c>
      <c r="AH18" s="57">
        <v>1.03</v>
      </c>
      <c r="AI18" s="57">
        <v>0.5</v>
      </c>
    </row>
    <row r="19" spans="1:35" ht="12.75" customHeight="1" x14ac:dyDescent="0.15">
      <c r="A19" s="55">
        <v>14</v>
      </c>
      <c r="B19" s="56"/>
      <c r="C19" s="56">
        <v>1.08</v>
      </c>
      <c r="D19" s="56">
        <v>0.93</v>
      </c>
      <c r="E19" s="56">
        <v>0.46</v>
      </c>
      <c r="F19" s="56">
        <v>0.67</v>
      </c>
      <c r="G19" s="56"/>
      <c r="H19" s="56">
        <v>0.69</v>
      </c>
      <c r="I19" s="56">
        <v>0.72</v>
      </c>
      <c r="J19" s="56">
        <v>0.5</v>
      </c>
      <c r="K19" s="56"/>
      <c r="L19" s="56"/>
      <c r="M19" s="56"/>
      <c r="N19" s="56">
        <v>0.8</v>
      </c>
      <c r="O19" s="56"/>
      <c r="P19" s="56">
        <v>1.08</v>
      </c>
      <c r="Q19" s="56">
        <v>1.29</v>
      </c>
      <c r="R19" s="56"/>
      <c r="S19" s="56"/>
      <c r="T19" s="56"/>
      <c r="U19" s="56"/>
      <c r="V19" s="56"/>
      <c r="W19" s="57">
        <v>1.1499999999999999</v>
      </c>
      <c r="X19" s="57">
        <v>1.35</v>
      </c>
      <c r="Y19" s="57">
        <v>1.02</v>
      </c>
      <c r="Z19" s="57">
        <v>1.48</v>
      </c>
      <c r="AA19" s="57">
        <v>2.27</v>
      </c>
      <c r="AB19" s="57">
        <v>1.49</v>
      </c>
      <c r="AC19" s="57">
        <v>2.2799999999999998</v>
      </c>
      <c r="AD19" s="57">
        <v>1.1200000000000001</v>
      </c>
      <c r="AE19" s="57">
        <v>1.5</v>
      </c>
      <c r="AF19" s="57">
        <v>1.59</v>
      </c>
      <c r="AG19" s="57">
        <v>0.83</v>
      </c>
      <c r="AH19" s="57">
        <v>0.98</v>
      </c>
      <c r="AI19" s="57">
        <v>0.5</v>
      </c>
    </row>
    <row r="20" spans="1:35" ht="12.75" customHeight="1" x14ac:dyDescent="0.15">
      <c r="A20" s="55">
        <v>15</v>
      </c>
      <c r="B20" s="56"/>
      <c r="C20" s="56"/>
      <c r="D20" s="56"/>
      <c r="E20" s="56">
        <v>0.39</v>
      </c>
      <c r="F20" s="56"/>
      <c r="G20" s="56"/>
      <c r="H20" s="56">
        <v>0.65</v>
      </c>
      <c r="I20" s="56"/>
      <c r="J20" s="56">
        <v>0.45</v>
      </c>
      <c r="K20" s="56"/>
      <c r="L20" s="56"/>
      <c r="M20" s="56"/>
      <c r="N20" s="56">
        <v>0.72</v>
      </c>
      <c r="O20" s="56"/>
      <c r="P20" s="56">
        <v>0.92</v>
      </c>
      <c r="Q20" s="56">
        <v>1.22</v>
      </c>
      <c r="R20" s="56"/>
      <c r="S20" s="56"/>
      <c r="T20" s="56"/>
      <c r="U20" s="56"/>
      <c r="V20" s="56"/>
      <c r="W20" s="57">
        <v>1.1499999999999999</v>
      </c>
      <c r="X20" s="57">
        <v>1.35</v>
      </c>
      <c r="Y20" s="57">
        <v>1.02</v>
      </c>
      <c r="Z20" s="57">
        <v>1.48</v>
      </c>
      <c r="AA20" s="57">
        <v>2.27</v>
      </c>
      <c r="AB20" s="57">
        <v>1.49</v>
      </c>
      <c r="AC20" s="57">
        <v>2.2799999999999998</v>
      </c>
      <c r="AD20" s="57">
        <v>1.1200000000000001</v>
      </c>
      <c r="AE20" s="57">
        <v>1.5</v>
      </c>
      <c r="AF20" s="57">
        <v>1.59</v>
      </c>
      <c r="AG20" s="57">
        <v>0.83</v>
      </c>
      <c r="AH20" s="57">
        <v>0.98</v>
      </c>
      <c r="AI20" s="57">
        <v>0.3</v>
      </c>
    </row>
    <row r="21" spans="1:35" ht="12.75" customHeight="1" x14ac:dyDescent="0.15">
      <c r="A21" s="55">
        <v>16</v>
      </c>
      <c r="B21" s="56"/>
      <c r="C21" s="56"/>
      <c r="D21" s="56"/>
      <c r="E21" s="56"/>
      <c r="F21" s="56"/>
      <c r="G21" s="56"/>
      <c r="H21" s="56">
        <v>0.62</v>
      </c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7">
        <v>1.1499999999999999</v>
      </c>
      <c r="X21" s="57">
        <v>1.35</v>
      </c>
      <c r="Y21" s="57">
        <v>1.02</v>
      </c>
      <c r="Z21" s="57">
        <v>1.48</v>
      </c>
      <c r="AA21" s="57">
        <v>2.27</v>
      </c>
      <c r="AB21" s="57">
        <v>1.49</v>
      </c>
      <c r="AC21" s="57">
        <v>2.2799999999999998</v>
      </c>
      <c r="AD21" s="57">
        <v>1.1200000000000001</v>
      </c>
      <c r="AE21" s="57">
        <v>1.5</v>
      </c>
      <c r="AF21" s="57">
        <v>1.59</v>
      </c>
      <c r="AG21" s="57">
        <v>0.83</v>
      </c>
      <c r="AH21" s="57">
        <v>0.98</v>
      </c>
      <c r="AI21" s="57">
        <v>0.3</v>
      </c>
    </row>
    <row r="22" spans="1:35" ht="12.75" customHeight="1" x14ac:dyDescent="0.15">
      <c r="A22" s="55">
        <v>17</v>
      </c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>
        <v>1.1499999999999999</v>
      </c>
      <c r="X22" s="57">
        <v>1.35</v>
      </c>
      <c r="Y22" s="57">
        <v>1.02</v>
      </c>
      <c r="Z22" s="57">
        <v>1.48</v>
      </c>
      <c r="AA22" s="57">
        <v>2.27</v>
      </c>
      <c r="AB22" s="57">
        <v>1.49</v>
      </c>
      <c r="AC22" s="57">
        <v>2.2799999999999998</v>
      </c>
      <c r="AD22" s="57">
        <v>1.1200000000000001</v>
      </c>
      <c r="AE22" s="57">
        <v>1.5</v>
      </c>
      <c r="AF22" s="57">
        <v>1.59</v>
      </c>
      <c r="AG22" s="57">
        <v>0.83</v>
      </c>
      <c r="AH22" s="57">
        <v>0.98</v>
      </c>
      <c r="AI22" s="57">
        <v>0.3</v>
      </c>
    </row>
    <row r="23" spans="1:35" ht="12.75" customHeight="1" x14ac:dyDescent="0.15">
      <c r="A23" s="55">
        <v>18</v>
      </c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>
        <v>1.1499999999999999</v>
      </c>
      <c r="X23" s="57">
        <v>1.35</v>
      </c>
      <c r="Y23" s="57">
        <v>1.02</v>
      </c>
      <c r="Z23" s="57">
        <v>1.48</v>
      </c>
      <c r="AA23" s="57">
        <v>2.27</v>
      </c>
      <c r="AB23" s="57">
        <v>1.49</v>
      </c>
      <c r="AC23" s="57">
        <v>2.2799999999999998</v>
      </c>
      <c r="AD23" s="57">
        <v>1.1200000000000001</v>
      </c>
      <c r="AE23" s="57">
        <v>1.5</v>
      </c>
      <c r="AF23" s="57">
        <v>1.59</v>
      </c>
      <c r="AG23" s="57">
        <v>0.83</v>
      </c>
      <c r="AH23" s="57">
        <v>0.98</v>
      </c>
      <c r="AI23" s="57">
        <v>0.3</v>
      </c>
    </row>
    <row r="24" spans="1:35" ht="12.75" customHeight="1" x14ac:dyDescent="0.15">
      <c r="A24" s="55">
        <v>19</v>
      </c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>
        <v>0.85</v>
      </c>
      <c r="X24" s="57">
        <v>1.56</v>
      </c>
      <c r="Y24" s="57">
        <v>1.01</v>
      </c>
      <c r="Z24" s="57">
        <v>1.29</v>
      </c>
      <c r="AA24" s="57">
        <v>1.66</v>
      </c>
      <c r="AB24" s="57">
        <v>1.1599999999999999</v>
      </c>
      <c r="AC24" s="57">
        <v>2.29</v>
      </c>
      <c r="AD24" s="57">
        <v>1.02</v>
      </c>
      <c r="AE24" s="57">
        <v>1.29</v>
      </c>
      <c r="AF24" s="57">
        <v>1.35</v>
      </c>
      <c r="AG24" s="57">
        <v>1.03</v>
      </c>
      <c r="AH24" s="57">
        <v>0.77</v>
      </c>
      <c r="AI24" s="57">
        <v>0.3</v>
      </c>
    </row>
    <row r="25" spans="1:35" ht="12.75" customHeight="1" x14ac:dyDescent="0.15">
      <c r="A25" s="55">
        <v>20</v>
      </c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>
        <v>0.85</v>
      </c>
      <c r="X25" s="57">
        <v>1.56</v>
      </c>
      <c r="Y25" s="57">
        <v>1.01</v>
      </c>
      <c r="Z25" s="57">
        <v>1.29</v>
      </c>
      <c r="AA25" s="57">
        <v>1.66</v>
      </c>
      <c r="AB25" s="57">
        <v>1.1599999999999999</v>
      </c>
      <c r="AC25" s="57">
        <v>2.29</v>
      </c>
      <c r="AD25" s="57">
        <v>1.02</v>
      </c>
      <c r="AE25" s="57">
        <v>1.29</v>
      </c>
      <c r="AF25" s="57">
        <v>1.35</v>
      </c>
      <c r="AG25" s="57">
        <v>1.03</v>
      </c>
      <c r="AH25" s="57">
        <v>0.77</v>
      </c>
      <c r="AI25" s="57">
        <v>0.3</v>
      </c>
    </row>
    <row r="26" spans="1:35" ht="12.75" customHeight="1" x14ac:dyDescent="0.15">
      <c r="A26" s="55">
        <v>21</v>
      </c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>
        <v>0.85</v>
      </c>
      <c r="X26" s="57">
        <v>1.56</v>
      </c>
      <c r="Y26" s="57">
        <v>1.01</v>
      </c>
      <c r="Z26" s="57">
        <v>1.29</v>
      </c>
      <c r="AA26" s="57">
        <v>1.66</v>
      </c>
      <c r="AB26" s="57">
        <v>1.1599999999999999</v>
      </c>
      <c r="AC26" s="57">
        <v>2.29</v>
      </c>
      <c r="AD26" s="57">
        <v>1.02</v>
      </c>
      <c r="AE26" s="57">
        <v>1.29</v>
      </c>
      <c r="AF26" s="57">
        <v>1.35</v>
      </c>
      <c r="AG26" s="57">
        <v>1.03</v>
      </c>
      <c r="AH26" s="57">
        <v>0.77</v>
      </c>
      <c r="AI26" s="57">
        <v>0.3</v>
      </c>
    </row>
    <row r="27" spans="1:35" ht="12.75" customHeight="1" x14ac:dyDescent="0.15">
      <c r="A27" s="55">
        <v>22</v>
      </c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>
        <v>0.85</v>
      </c>
      <c r="X27" s="57">
        <v>1.56</v>
      </c>
      <c r="Y27" s="57">
        <v>1.01</v>
      </c>
      <c r="Z27" s="57">
        <v>1.29</v>
      </c>
      <c r="AA27" s="57">
        <v>1.66</v>
      </c>
      <c r="AB27" s="57">
        <v>1.1599999999999999</v>
      </c>
      <c r="AC27" s="57">
        <v>2.29</v>
      </c>
      <c r="AD27" s="57">
        <v>1.02</v>
      </c>
      <c r="AE27" s="57">
        <v>1.29</v>
      </c>
      <c r="AF27" s="57">
        <v>1.35</v>
      </c>
      <c r="AG27" s="57">
        <v>1.03</v>
      </c>
      <c r="AH27" s="57">
        <v>0.77</v>
      </c>
      <c r="AI27" s="57">
        <v>0.3</v>
      </c>
    </row>
    <row r="28" spans="1:35" ht="12.75" customHeight="1" x14ac:dyDescent="0.15">
      <c r="A28" s="55">
        <v>23</v>
      </c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>
        <v>0.62</v>
      </c>
      <c r="X28" s="57">
        <v>1.29</v>
      </c>
      <c r="Y28" s="57">
        <v>0.89</v>
      </c>
      <c r="Z28" s="57">
        <v>1.08</v>
      </c>
      <c r="AA28" s="57">
        <v>1.5</v>
      </c>
      <c r="AB28" s="57">
        <v>1.33</v>
      </c>
      <c r="AC28" s="57">
        <v>2.5</v>
      </c>
      <c r="AD28" s="57">
        <v>1.1299999999999999</v>
      </c>
      <c r="AE28" s="57">
        <v>1.08</v>
      </c>
      <c r="AF28" s="57">
        <v>1.1399999999999999</v>
      </c>
      <c r="AG28" s="57">
        <v>1.37</v>
      </c>
      <c r="AH28" s="57">
        <v>1.0900000000000001</v>
      </c>
      <c r="AI28" s="57">
        <v>0.3</v>
      </c>
    </row>
    <row r="29" spans="1:35" ht="12.75" customHeight="1" x14ac:dyDescent="0.15">
      <c r="A29" s="55">
        <v>24</v>
      </c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>
        <v>0.62</v>
      </c>
      <c r="X29" s="57">
        <v>1.29</v>
      </c>
      <c r="Y29" s="57">
        <v>0.89</v>
      </c>
      <c r="Z29" s="57">
        <v>1.08</v>
      </c>
      <c r="AA29" s="57">
        <v>1.5</v>
      </c>
      <c r="AB29" s="57">
        <v>1.33</v>
      </c>
      <c r="AC29" s="57">
        <v>2.5</v>
      </c>
      <c r="AD29" s="57">
        <v>1.1299999999999999</v>
      </c>
      <c r="AE29" s="57">
        <v>1.08</v>
      </c>
      <c r="AF29" s="57">
        <v>1.1399999999999999</v>
      </c>
      <c r="AG29" s="57">
        <v>1.37</v>
      </c>
      <c r="AH29" s="57">
        <v>1.0900000000000001</v>
      </c>
      <c r="AI29" s="57">
        <v>0.3</v>
      </c>
    </row>
    <row r="30" spans="1:35" ht="12.75" customHeight="1" x14ac:dyDescent="0.15">
      <c r="A30" s="55">
        <v>25</v>
      </c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>
        <v>0.62</v>
      </c>
      <c r="X30" s="57">
        <v>1.29</v>
      </c>
      <c r="Y30" s="57">
        <v>0.89</v>
      </c>
      <c r="Z30" s="57">
        <v>1.08</v>
      </c>
      <c r="AA30" s="57">
        <v>1.5</v>
      </c>
      <c r="AB30" s="57">
        <v>1.33</v>
      </c>
      <c r="AC30" s="57">
        <v>2.5</v>
      </c>
      <c r="AD30" s="57">
        <v>1.1299999999999999</v>
      </c>
      <c r="AE30" s="57">
        <v>1.08</v>
      </c>
      <c r="AF30" s="57">
        <v>1.1399999999999999</v>
      </c>
      <c r="AG30" s="57">
        <v>1.37</v>
      </c>
      <c r="AH30" s="57">
        <v>1.0900000000000001</v>
      </c>
      <c r="AI30" s="57">
        <v>0.3</v>
      </c>
    </row>
    <row r="31" spans="1:35" ht="12.75" customHeight="1" x14ac:dyDescent="0.15">
      <c r="A31" s="55">
        <v>26</v>
      </c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>
        <v>0.62</v>
      </c>
      <c r="X31" s="57">
        <v>1.29</v>
      </c>
      <c r="Y31" s="57">
        <v>0.89</v>
      </c>
      <c r="Z31" s="57">
        <v>1.08</v>
      </c>
      <c r="AA31" s="57">
        <v>1.5</v>
      </c>
      <c r="AB31" s="57">
        <v>1.33</v>
      </c>
      <c r="AC31" s="57">
        <v>2.5</v>
      </c>
      <c r="AD31" s="57">
        <v>1.1299999999999999</v>
      </c>
      <c r="AE31" s="57">
        <v>1.08</v>
      </c>
      <c r="AF31" s="57">
        <v>1.1399999999999999</v>
      </c>
      <c r="AG31" s="57">
        <v>1.37</v>
      </c>
      <c r="AH31" s="57">
        <v>1.0900000000000001</v>
      </c>
      <c r="AI31" s="57">
        <v>0.3</v>
      </c>
    </row>
    <row r="32" spans="1:35" ht="12.75" customHeight="1" x14ac:dyDescent="0.15">
      <c r="A32" s="55">
        <v>27</v>
      </c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>
        <v>1.2</v>
      </c>
      <c r="Y32" s="57">
        <v>0.7</v>
      </c>
      <c r="Z32" s="57">
        <v>0.83</v>
      </c>
      <c r="AA32" s="57"/>
      <c r="AB32" s="57">
        <v>2.0699999999999998</v>
      </c>
      <c r="AC32" s="57">
        <v>1.9</v>
      </c>
      <c r="AD32" s="57">
        <v>1.97</v>
      </c>
      <c r="AE32" s="57">
        <v>1.3</v>
      </c>
      <c r="AF32" s="57">
        <v>1.33</v>
      </c>
      <c r="AG32" s="57">
        <v>1.37</v>
      </c>
      <c r="AH32" s="57">
        <v>0.57999999999999996</v>
      </c>
      <c r="AI32" s="57">
        <v>0.3</v>
      </c>
    </row>
    <row r="33" spans="1:35" ht="12.75" customHeight="1" x14ac:dyDescent="0.15">
      <c r="A33" s="55">
        <v>28</v>
      </c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>
        <v>1.2</v>
      </c>
      <c r="Y33" s="57">
        <v>0.7</v>
      </c>
      <c r="Z33" s="57">
        <v>0.83</v>
      </c>
      <c r="AA33" s="57"/>
      <c r="AB33" s="57">
        <v>2.0699999999999998</v>
      </c>
      <c r="AC33" s="57">
        <v>1.9</v>
      </c>
      <c r="AD33" s="57">
        <v>1.97</v>
      </c>
      <c r="AE33" s="57">
        <v>1.3</v>
      </c>
      <c r="AF33" s="57">
        <v>1.33</v>
      </c>
      <c r="AG33" s="57">
        <v>1.37</v>
      </c>
      <c r="AH33" s="57">
        <v>0.57999999999999996</v>
      </c>
      <c r="AI33" s="57">
        <v>0.3</v>
      </c>
    </row>
    <row r="34" spans="1:35" ht="12.75" customHeight="1" x14ac:dyDescent="0.15">
      <c r="A34" s="55">
        <v>29</v>
      </c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>
        <v>1.2</v>
      </c>
      <c r="Y34" s="57">
        <v>0.7</v>
      </c>
      <c r="Z34" s="57">
        <v>0.83</v>
      </c>
      <c r="AA34" s="57"/>
      <c r="AB34" s="57">
        <v>2.0699999999999998</v>
      </c>
      <c r="AC34" s="57">
        <v>1.9</v>
      </c>
      <c r="AD34" s="57">
        <v>1.97</v>
      </c>
      <c r="AE34" s="57">
        <v>1.3</v>
      </c>
      <c r="AF34" s="57">
        <v>1.33</v>
      </c>
      <c r="AG34" s="57">
        <v>1.37</v>
      </c>
      <c r="AH34" s="57">
        <v>0.57999999999999996</v>
      </c>
      <c r="AI34" s="57">
        <v>0.3</v>
      </c>
    </row>
    <row r="35" spans="1:35" ht="12.75" customHeight="1" x14ac:dyDescent="0.15">
      <c r="A35" s="55">
        <v>30</v>
      </c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>
        <v>1.2</v>
      </c>
      <c r="Y35" s="57">
        <v>0.7</v>
      </c>
      <c r="Z35" s="57">
        <v>0.83</v>
      </c>
      <c r="AA35" s="57"/>
      <c r="AB35" s="57">
        <v>2.0699999999999998</v>
      </c>
      <c r="AC35" s="57">
        <v>1.9</v>
      </c>
      <c r="AD35" s="57">
        <v>1.97</v>
      </c>
      <c r="AE35" s="57">
        <v>1.3</v>
      </c>
      <c r="AF35" s="57">
        <v>1.33</v>
      </c>
      <c r="AG35" s="57">
        <v>1.37</v>
      </c>
      <c r="AH35" s="57">
        <v>0.57999999999999996</v>
      </c>
      <c r="AI35" s="57">
        <v>0.3</v>
      </c>
    </row>
    <row r="36" spans="1:35" ht="12.75" customHeight="1" x14ac:dyDescent="0.15">
      <c r="A36" s="55">
        <v>31</v>
      </c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>
        <v>1.2</v>
      </c>
      <c r="Y36" s="57">
        <v>0.7</v>
      </c>
      <c r="Z36" s="57">
        <v>0.83</v>
      </c>
      <c r="AA36" s="57"/>
      <c r="AB36" s="57">
        <v>2.0699999999999998</v>
      </c>
      <c r="AC36" s="57">
        <v>1.9</v>
      </c>
      <c r="AD36" s="57">
        <v>1.97</v>
      </c>
      <c r="AE36" s="57">
        <v>1.3</v>
      </c>
      <c r="AF36" s="57">
        <v>1.33</v>
      </c>
      <c r="AG36" s="57">
        <v>1.37</v>
      </c>
      <c r="AH36" s="57">
        <v>0.57999999999999996</v>
      </c>
      <c r="AI36" s="57">
        <v>0.3</v>
      </c>
    </row>
    <row r="37" spans="1:35" ht="12.75" customHeight="1" x14ac:dyDescent="0.15">
      <c r="A37" s="55">
        <v>32</v>
      </c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>
        <v>0.93</v>
      </c>
      <c r="Y37" s="57">
        <v>0.47</v>
      </c>
      <c r="Z37" s="57">
        <v>0.66</v>
      </c>
      <c r="AA37" s="57"/>
      <c r="AB37" s="57">
        <v>1.79</v>
      </c>
      <c r="AC37" s="57">
        <v>1.69</v>
      </c>
      <c r="AD37" s="57">
        <v>2.44</v>
      </c>
      <c r="AE37" s="57">
        <v>1.4</v>
      </c>
      <c r="AF37" s="57">
        <v>1.42</v>
      </c>
      <c r="AG37" s="57">
        <v>1.53</v>
      </c>
      <c r="AH37" s="57">
        <v>1.24</v>
      </c>
      <c r="AI37" s="57">
        <v>0.3</v>
      </c>
    </row>
    <row r="38" spans="1:35" ht="12.75" customHeight="1" x14ac:dyDescent="0.15">
      <c r="A38" s="55">
        <v>33</v>
      </c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>
        <v>0.93</v>
      </c>
      <c r="Y38" s="57">
        <v>0.47</v>
      </c>
      <c r="Z38" s="57">
        <v>0.66</v>
      </c>
      <c r="AA38" s="57"/>
      <c r="AB38" s="57">
        <v>1.79</v>
      </c>
      <c r="AC38" s="57">
        <v>1.69</v>
      </c>
      <c r="AD38" s="57">
        <v>2.44</v>
      </c>
      <c r="AE38" s="57">
        <v>1.4</v>
      </c>
      <c r="AF38" s="57">
        <v>1.42</v>
      </c>
      <c r="AG38" s="57">
        <v>1.53</v>
      </c>
      <c r="AH38" s="57">
        <v>1.24</v>
      </c>
      <c r="AI38" s="57">
        <v>0.3</v>
      </c>
    </row>
    <row r="39" spans="1:35" ht="12.75" customHeight="1" x14ac:dyDescent="0.15">
      <c r="A39" s="55">
        <v>34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>
        <v>0.93</v>
      </c>
      <c r="Y39" s="57">
        <v>0.47</v>
      </c>
      <c r="Z39" s="57">
        <v>0.66</v>
      </c>
      <c r="AA39" s="57"/>
      <c r="AB39" s="57">
        <v>1.79</v>
      </c>
      <c r="AC39" s="57">
        <v>1.69</v>
      </c>
      <c r="AD39" s="57">
        <v>2.44</v>
      </c>
      <c r="AE39" s="57">
        <v>1.4</v>
      </c>
      <c r="AF39" s="57">
        <v>1.42</v>
      </c>
      <c r="AG39" s="57">
        <v>1.53</v>
      </c>
      <c r="AH39" s="57">
        <v>1.24</v>
      </c>
      <c r="AI39" s="57">
        <v>0.3</v>
      </c>
    </row>
    <row r="40" spans="1:35" ht="12.75" customHeight="1" x14ac:dyDescent="0.15">
      <c r="A40" s="55">
        <v>35</v>
      </c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>
        <v>0.93</v>
      </c>
      <c r="Y40" s="57">
        <v>0.47</v>
      </c>
      <c r="Z40" s="57">
        <v>0.66</v>
      </c>
      <c r="AA40" s="57"/>
      <c r="AB40" s="57">
        <v>1.79</v>
      </c>
      <c r="AC40" s="57">
        <v>1.69</v>
      </c>
      <c r="AD40" s="57">
        <v>2.44</v>
      </c>
      <c r="AE40" s="57">
        <v>1.4</v>
      </c>
      <c r="AF40" s="57">
        <v>1.42</v>
      </c>
      <c r="AG40" s="57">
        <v>1.53</v>
      </c>
      <c r="AH40" s="57">
        <v>1.24</v>
      </c>
      <c r="AI40" s="57">
        <v>0.3</v>
      </c>
    </row>
    <row r="41" spans="1:35" ht="12.75" customHeight="1" x14ac:dyDescent="0.15">
      <c r="A41" s="55">
        <v>36</v>
      </c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>
        <v>0.63</v>
      </c>
      <c r="Y41" s="57"/>
      <c r="Z41" s="57">
        <v>0.55000000000000004</v>
      </c>
      <c r="AA41" s="57"/>
      <c r="AB41" s="57">
        <v>2.17</v>
      </c>
      <c r="AC41" s="57">
        <v>1.61</v>
      </c>
      <c r="AD41" s="57">
        <v>2.36</v>
      </c>
      <c r="AE41" s="57">
        <v>1.18</v>
      </c>
      <c r="AF41" s="57">
        <v>1.21</v>
      </c>
      <c r="AG41" s="57">
        <v>1.33</v>
      </c>
      <c r="AH41" s="57">
        <v>0.85</v>
      </c>
      <c r="AI41" s="57">
        <v>0.3</v>
      </c>
    </row>
    <row r="42" spans="1:35" ht="12.75" customHeight="1" x14ac:dyDescent="0.15">
      <c r="A42" s="55">
        <v>37</v>
      </c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>
        <v>0.63</v>
      </c>
      <c r="Y42" s="57"/>
      <c r="Z42" s="57">
        <v>0.55000000000000004</v>
      </c>
      <c r="AA42" s="57"/>
      <c r="AB42" s="57">
        <v>2.17</v>
      </c>
      <c r="AC42" s="57">
        <v>1.61</v>
      </c>
      <c r="AD42" s="57">
        <v>2.36</v>
      </c>
      <c r="AE42" s="57">
        <v>1.18</v>
      </c>
      <c r="AF42" s="57">
        <v>1.21</v>
      </c>
      <c r="AG42" s="57">
        <v>1.33</v>
      </c>
      <c r="AH42" s="57">
        <v>0.85</v>
      </c>
      <c r="AI42" s="57">
        <v>0.3</v>
      </c>
    </row>
    <row r="43" spans="1:35" ht="12.75" customHeight="1" x14ac:dyDescent="0.15">
      <c r="A43" s="55">
        <v>38</v>
      </c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>
        <v>0.63</v>
      </c>
      <c r="Y43" s="57"/>
      <c r="Z43" s="57">
        <v>0.55000000000000004</v>
      </c>
      <c r="AA43" s="57"/>
      <c r="AB43" s="57">
        <v>2.17</v>
      </c>
      <c r="AC43" s="57">
        <v>1.61</v>
      </c>
      <c r="AD43" s="57">
        <v>2.36</v>
      </c>
      <c r="AE43" s="57">
        <v>1.18</v>
      </c>
      <c r="AF43" s="57">
        <v>1.21</v>
      </c>
      <c r="AG43" s="57">
        <v>1.33</v>
      </c>
      <c r="AH43" s="57">
        <v>0.85</v>
      </c>
      <c r="AI43" s="57">
        <v>0.3</v>
      </c>
    </row>
    <row r="44" spans="1:35" ht="12.75" customHeight="1" x14ac:dyDescent="0.15">
      <c r="A44" s="55">
        <v>39</v>
      </c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>
        <v>0.63</v>
      </c>
      <c r="Y44" s="57"/>
      <c r="Z44" s="57">
        <v>0.55000000000000004</v>
      </c>
      <c r="AA44" s="57"/>
      <c r="AB44" s="57">
        <v>2.17</v>
      </c>
      <c r="AC44" s="57">
        <v>1.61</v>
      </c>
      <c r="AD44" s="57">
        <v>2.36</v>
      </c>
      <c r="AE44" s="57">
        <v>1.18</v>
      </c>
      <c r="AF44" s="57">
        <v>1.21</v>
      </c>
      <c r="AG44" s="57">
        <v>1.33</v>
      </c>
      <c r="AH44" s="57">
        <v>0.85</v>
      </c>
      <c r="AI44" s="57">
        <v>0.3</v>
      </c>
    </row>
    <row r="45" spans="1:35" ht="12.75" customHeight="1" x14ac:dyDescent="0.15">
      <c r="A45" s="55">
        <v>40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>
        <v>0.63</v>
      </c>
      <c r="Y45" s="57"/>
      <c r="Z45" s="57">
        <v>0.55000000000000004</v>
      </c>
      <c r="AA45" s="57"/>
      <c r="AB45" s="57">
        <v>2.17</v>
      </c>
      <c r="AC45" s="57">
        <v>1.61</v>
      </c>
      <c r="AD45" s="57">
        <v>2.36</v>
      </c>
      <c r="AE45" s="57">
        <v>1.18</v>
      </c>
      <c r="AF45" s="57">
        <v>1.21</v>
      </c>
      <c r="AG45" s="57">
        <v>1.33</v>
      </c>
      <c r="AH45" s="57">
        <v>0.85</v>
      </c>
      <c r="AI45" s="57">
        <v>0.3</v>
      </c>
    </row>
    <row r="46" spans="1:35" ht="12.75" customHeight="1" x14ac:dyDescent="0.15">
      <c r="A46" s="55">
        <v>41</v>
      </c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>
        <v>0.52</v>
      </c>
      <c r="Y46" s="57"/>
      <c r="Z46" s="57">
        <v>0.61</v>
      </c>
      <c r="AA46" s="57"/>
      <c r="AB46" s="57">
        <v>2.25</v>
      </c>
      <c r="AC46" s="57">
        <v>1.27</v>
      </c>
      <c r="AD46" s="57">
        <v>1.97</v>
      </c>
      <c r="AE46" s="57">
        <v>1.19</v>
      </c>
      <c r="AF46" s="57">
        <v>1.28</v>
      </c>
      <c r="AG46" s="57">
        <v>1.24</v>
      </c>
      <c r="AH46" s="57">
        <v>1.24</v>
      </c>
      <c r="AI46" s="57">
        <v>0.3</v>
      </c>
    </row>
    <row r="47" spans="1:35" ht="12.75" customHeight="1" x14ac:dyDescent="0.15">
      <c r="A47" s="55">
        <v>42</v>
      </c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>
        <v>0.52</v>
      </c>
      <c r="Y47" s="57"/>
      <c r="Z47" s="57">
        <v>0.61</v>
      </c>
      <c r="AA47" s="57"/>
      <c r="AB47" s="57">
        <v>2.25</v>
      </c>
      <c r="AC47" s="57">
        <v>1.27</v>
      </c>
      <c r="AD47" s="57">
        <v>1.97</v>
      </c>
      <c r="AE47" s="57">
        <v>1.19</v>
      </c>
      <c r="AF47" s="57">
        <v>1.28</v>
      </c>
      <c r="AG47" s="57">
        <v>1.24</v>
      </c>
      <c r="AH47" s="57">
        <v>1.24</v>
      </c>
      <c r="AI47" s="57">
        <v>0.3</v>
      </c>
    </row>
    <row r="48" spans="1:35" ht="12.75" customHeight="1" x14ac:dyDescent="0.15">
      <c r="A48" s="55">
        <v>43</v>
      </c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>
        <v>0.52</v>
      </c>
      <c r="Y48" s="57"/>
      <c r="Z48" s="57">
        <v>0.61</v>
      </c>
      <c r="AA48" s="57"/>
      <c r="AB48" s="57">
        <v>2.25</v>
      </c>
      <c r="AC48" s="57">
        <v>1.27</v>
      </c>
      <c r="AD48" s="57">
        <v>1.97</v>
      </c>
      <c r="AE48" s="57">
        <v>1.19</v>
      </c>
      <c r="AF48" s="57">
        <v>1.28</v>
      </c>
      <c r="AG48" s="57">
        <v>1.24</v>
      </c>
      <c r="AH48" s="57">
        <v>1.24</v>
      </c>
      <c r="AI48" s="57">
        <v>0.3</v>
      </c>
    </row>
    <row r="49" spans="1:35" ht="12.75" customHeight="1" x14ac:dyDescent="0.15">
      <c r="A49" s="55">
        <v>44</v>
      </c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>
        <v>0.52</v>
      </c>
      <c r="Y49" s="57"/>
      <c r="Z49" s="57">
        <v>0.61</v>
      </c>
      <c r="AA49" s="57"/>
      <c r="AB49" s="57">
        <v>2.25</v>
      </c>
      <c r="AC49" s="57">
        <v>1.27</v>
      </c>
      <c r="AD49" s="57">
        <v>1.97</v>
      </c>
      <c r="AE49" s="57">
        <v>1.19</v>
      </c>
      <c r="AF49" s="57">
        <v>1.28</v>
      </c>
      <c r="AG49" s="57">
        <v>1.24</v>
      </c>
      <c r="AH49" s="57">
        <v>1.24</v>
      </c>
      <c r="AI49" s="57">
        <v>0.3</v>
      </c>
    </row>
    <row r="50" spans="1:35" ht="12.75" customHeight="1" x14ac:dyDescent="0.15">
      <c r="A50" s="55">
        <v>45</v>
      </c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>
        <v>0.76</v>
      </c>
      <c r="AA50" s="57"/>
      <c r="AB50" s="57">
        <v>1.73</v>
      </c>
      <c r="AC50" s="57">
        <v>1.24</v>
      </c>
      <c r="AD50" s="57">
        <v>1.96</v>
      </c>
      <c r="AE50" s="57">
        <v>1.06</v>
      </c>
      <c r="AF50" s="57">
        <v>1.1599999999999999</v>
      </c>
      <c r="AG50" s="57">
        <v>1.26</v>
      </c>
      <c r="AH50" s="57">
        <v>0.56999999999999995</v>
      </c>
      <c r="AI50" s="57"/>
    </row>
    <row r="51" spans="1:35" ht="12.75" customHeight="1" x14ac:dyDescent="0.15">
      <c r="A51" s="55">
        <v>46</v>
      </c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>
        <v>0.76</v>
      </c>
      <c r="AA51" s="57"/>
      <c r="AB51" s="57">
        <v>1.73</v>
      </c>
      <c r="AC51" s="57">
        <v>1.24</v>
      </c>
      <c r="AD51" s="57">
        <v>1.96</v>
      </c>
      <c r="AE51" s="57">
        <v>1.06</v>
      </c>
      <c r="AF51" s="57">
        <v>1.1599999999999999</v>
      </c>
      <c r="AG51" s="57">
        <v>1.26</v>
      </c>
      <c r="AH51" s="57">
        <v>0.56999999999999995</v>
      </c>
      <c r="AI51" s="57"/>
    </row>
    <row r="52" spans="1:35" ht="12.75" customHeight="1" x14ac:dyDescent="0.15">
      <c r="A52" s="55">
        <v>47</v>
      </c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>
        <v>0.76</v>
      </c>
      <c r="AA52" s="57"/>
      <c r="AB52" s="57">
        <v>1.73</v>
      </c>
      <c r="AC52" s="57">
        <v>1.24</v>
      </c>
      <c r="AD52" s="57">
        <v>1.96</v>
      </c>
      <c r="AE52" s="57">
        <v>1.06</v>
      </c>
      <c r="AF52" s="57">
        <v>1.1599999999999999</v>
      </c>
      <c r="AG52" s="57">
        <v>1.26</v>
      </c>
      <c r="AH52" s="57">
        <v>0.56999999999999995</v>
      </c>
      <c r="AI52" s="57"/>
    </row>
    <row r="53" spans="1:35" ht="12.75" customHeight="1" x14ac:dyDescent="0.15">
      <c r="A53" s="55">
        <v>48</v>
      </c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>
        <v>0.76</v>
      </c>
      <c r="AA53" s="57"/>
      <c r="AB53" s="57">
        <v>1.73</v>
      </c>
      <c r="AC53" s="57">
        <v>1.24</v>
      </c>
      <c r="AD53" s="57">
        <v>1.96</v>
      </c>
      <c r="AE53" s="57">
        <v>1.06</v>
      </c>
      <c r="AF53" s="57">
        <v>1.1599999999999999</v>
      </c>
      <c r="AG53" s="57">
        <v>1.26</v>
      </c>
      <c r="AH53" s="57">
        <v>0.56999999999999995</v>
      </c>
      <c r="AI53" s="57"/>
    </row>
    <row r="54" spans="1:35" ht="12.75" customHeight="1" x14ac:dyDescent="0.15">
      <c r="A54" s="55">
        <v>49</v>
      </c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>
        <v>0.74</v>
      </c>
      <c r="AA54" s="57"/>
      <c r="AB54" s="57">
        <v>1.9</v>
      </c>
      <c r="AC54" s="57">
        <v>1.19</v>
      </c>
      <c r="AD54" s="57">
        <v>1.9</v>
      </c>
      <c r="AE54" s="57">
        <v>1.02</v>
      </c>
      <c r="AF54" s="57">
        <v>1.1100000000000001</v>
      </c>
      <c r="AG54" s="57">
        <v>1.34</v>
      </c>
      <c r="AH54" s="57">
        <v>1.05</v>
      </c>
      <c r="AI54" s="57"/>
    </row>
    <row r="55" spans="1:35" ht="12.75" customHeight="1" x14ac:dyDescent="0.15">
      <c r="A55" s="55">
        <v>50</v>
      </c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>
        <v>0.74</v>
      </c>
      <c r="AA55" s="57"/>
      <c r="AB55" s="57">
        <v>1.9</v>
      </c>
      <c r="AC55" s="57">
        <v>1.19</v>
      </c>
      <c r="AD55" s="57">
        <v>1.9</v>
      </c>
      <c r="AE55" s="57">
        <v>1.02</v>
      </c>
      <c r="AF55" s="57">
        <v>1.1100000000000001</v>
      </c>
      <c r="AG55" s="57">
        <v>1.34</v>
      </c>
      <c r="AH55" s="57">
        <v>1.05</v>
      </c>
      <c r="AI55" s="57"/>
    </row>
    <row r="56" spans="1:35" ht="12.75" customHeight="1" x14ac:dyDescent="0.15">
      <c r="A56" s="55">
        <v>51</v>
      </c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>
        <v>0.74</v>
      </c>
      <c r="AA56" s="57"/>
      <c r="AB56" s="57">
        <v>1.9</v>
      </c>
      <c r="AC56" s="57">
        <v>1.19</v>
      </c>
      <c r="AD56" s="57">
        <v>1.9</v>
      </c>
      <c r="AE56" s="57">
        <v>1.02</v>
      </c>
      <c r="AF56" s="57">
        <v>1.1100000000000001</v>
      </c>
      <c r="AG56" s="57">
        <v>1.34</v>
      </c>
      <c r="AH56" s="57">
        <v>1.05</v>
      </c>
      <c r="AI56" s="57"/>
    </row>
    <row r="57" spans="1:35" ht="12.75" customHeight="1" x14ac:dyDescent="0.15">
      <c r="A57" s="58">
        <v>52</v>
      </c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>
        <v>0.74</v>
      </c>
      <c r="AA57" s="59"/>
      <c r="AB57" s="59">
        <v>1.9</v>
      </c>
      <c r="AC57" s="59">
        <v>1.19</v>
      </c>
      <c r="AD57" s="59">
        <v>1.9</v>
      </c>
      <c r="AE57" s="59">
        <v>1.02</v>
      </c>
      <c r="AF57" s="59">
        <v>1.1100000000000001</v>
      </c>
      <c r="AG57" s="59">
        <v>1.34</v>
      </c>
      <c r="AH57" s="59">
        <v>1.05</v>
      </c>
      <c r="AI57" s="59"/>
    </row>
  </sheetData>
  <sheetProtection password="DD72" sheet="1"/>
  <mergeCells count="34">
    <mergeCell ref="N3:N5"/>
    <mergeCell ref="P3:P5"/>
    <mergeCell ref="AC3:AC5"/>
    <mergeCell ref="AD3:AD5"/>
    <mergeCell ref="Q3:Q5"/>
    <mergeCell ref="AA3:AA5"/>
    <mergeCell ref="AB3:AB5"/>
    <mergeCell ref="Z3:Z5"/>
    <mergeCell ref="Y3:Y5"/>
    <mergeCell ref="X3:X5"/>
    <mergeCell ref="M3:M5"/>
    <mergeCell ref="F3:F5"/>
    <mergeCell ref="G3:G5"/>
    <mergeCell ref="H3:H5"/>
    <mergeCell ref="I3:I5"/>
    <mergeCell ref="J3:J5"/>
    <mergeCell ref="K3:K5"/>
    <mergeCell ref="O3:O5"/>
    <mergeCell ref="W3:W5"/>
    <mergeCell ref="R3:R5"/>
    <mergeCell ref="T3:T5"/>
    <mergeCell ref="S3:S5"/>
    <mergeCell ref="U3:U5"/>
    <mergeCell ref="V3:V5"/>
    <mergeCell ref="AI3:AI5"/>
    <mergeCell ref="AE3:AE5"/>
    <mergeCell ref="AF3:AF5"/>
    <mergeCell ref="AG3:AG5"/>
    <mergeCell ref="AH3:AH5"/>
    <mergeCell ref="B3:B5"/>
    <mergeCell ref="C3:C5"/>
    <mergeCell ref="D3:D5"/>
    <mergeCell ref="E3:E5"/>
    <mergeCell ref="L3:L5"/>
  </mergeCells>
  <phoneticPr fontId="5" type="noConversion"/>
  <pageMargins left="0.17" right="0.17" top="0.89" bottom="0.42" header="0.17" footer="0.17"/>
  <pageSetup paperSize="9" scale="65" orientation="landscape" horizontalDpi="1200" verticalDpi="1200"/>
  <headerFooter alignWithMargins="0">
    <oddFooter>&amp;L&amp;Z&amp;F&amp;A&amp;C&amp;P/&amp;N&amp;R&amp;D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15BF-DB42-2A46-80E9-5BCAC41DAD58}">
  <sheetPr codeName="Sheet22">
    <tabColor indexed="44"/>
  </sheetPr>
  <dimension ref="A1:L63"/>
  <sheetViews>
    <sheetView topLeftCell="A12" zoomScaleNormal="100" zoomScaleSheetLayoutView="100" workbookViewId="0">
      <selection activeCell="C5" sqref="C5"/>
    </sheetView>
  </sheetViews>
  <sheetFormatPr baseColWidth="10" defaultColWidth="9.1640625" defaultRowHeight="13" x14ac:dyDescent="0.15"/>
  <cols>
    <col min="1" max="1" width="7.83203125" style="177" customWidth="1"/>
    <col min="2" max="2" width="21.1640625" style="177" customWidth="1"/>
    <col min="3" max="10" width="8.5" style="177" customWidth="1"/>
    <col min="11" max="16384" width="9.1640625" style="177"/>
  </cols>
  <sheetData>
    <row r="1" spans="1:12" ht="16" x14ac:dyDescent="0.2">
      <c r="A1" s="816" t="s">
        <v>659</v>
      </c>
      <c r="B1" s="816"/>
      <c r="C1" s="816"/>
      <c r="D1" s="816"/>
      <c r="E1" s="816"/>
      <c r="F1" s="816"/>
      <c r="G1" s="816"/>
      <c r="H1" s="816"/>
    </row>
    <row r="2" spans="1:12" x14ac:dyDescent="0.15">
      <c r="A2" s="180" t="s">
        <v>2</v>
      </c>
      <c r="B2" s="211" t="s">
        <v>489</v>
      </c>
      <c r="C2" s="212" t="s">
        <v>415</v>
      </c>
      <c r="D2" s="211" t="s">
        <v>561</v>
      </c>
      <c r="E2" s="211" t="s">
        <v>563</v>
      </c>
      <c r="F2" s="213" t="s">
        <v>564</v>
      </c>
      <c r="G2" s="214" t="s">
        <v>394</v>
      </c>
      <c r="H2" s="211" t="s">
        <v>391</v>
      </c>
      <c r="I2" s="314" t="s">
        <v>412</v>
      </c>
      <c r="J2" s="315" t="s">
        <v>413</v>
      </c>
    </row>
    <row r="3" spans="1:12" x14ac:dyDescent="0.15">
      <c r="A3" s="180" t="s">
        <v>402</v>
      </c>
      <c r="B3" s="214"/>
      <c r="C3" s="212"/>
      <c r="D3" s="211"/>
      <c r="E3" s="211"/>
      <c r="F3" s="214"/>
      <c r="G3" s="214"/>
      <c r="H3" s="215"/>
      <c r="I3" s="214"/>
      <c r="J3" s="215"/>
    </row>
    <row r="4" spans="1:12" x14ac:dyDescent="0.15">
      <c r="A4" s="216" t="s">
        <v>352</v>
      </c>
      <c r="B4" s="216" t="s">
        <v>353</v>
      </c>
      <c r="C4" s="216" t="s">
        <v>354</v>
      </c>
      <c r="D4" s="216" t="s">
        <v>355</v>
      </c>
      <c r="E4" s="216" t="s">
        <v>356</v>
      </c>
      <c r="F4" s="216" t="s">
        <v>357</v>
      </c>
      <c r="G4" s="216" t="s">
        <v>423</v>
      </c>
      <c r="H4" s="216" t="s">
        <v>358</v>
      </c>
      <c r="I4" s="216" t="s">
        <v>359</v>
      </c>
      <c r="J4" s="216" t="s">
        <v>360</v>
      </c>
    </row>
    <row r="5" spans="1:12" x14ac:dyDescent="0.15">
      <c r="A5" s="181">
        <v>1</v>
      </c>
      <c r="B5" s="222" t="s">
        <v>509</v>
      </c>
      <c r="C5" s="301">
        <f t="shared" ref="C5:C36" si="0">SUM(D5:J5)</f>
        <v>5.3550644567219136E-4</v>
      </c>
      <c r="D5" s="301">
        <f>+paddy_Dry!AJ27/1000000</f>
        <v>0</v>
      </c>
      <c r="E5" s="301">
        <f>+paddy_rain!AJ27/1000000</f>
        <v>0</v>
      </c>
      <c r="F5" s="301">
        <f>+upland_dry!AJ27/1000000</f>
        <v>0</v>
      </c>
      <c r="G5" s="301">
        <f>+upland_rain!AJ27/1000000</f>
        <v>5.3550644567219136E-4</v>
      </c>
      <c r="H5" s="301">
        <f>+plant!Z16/1000000</f>
        <v>0</v>
      </c>
      <c r="I5" s="301">
        <f>+fishporn!I11/1000000</f>
        <v>0</v>
      </c>
      <c r="J5" s="301">
        <f>+' prawnporn'!K11/1000000</f>
        <v>0</v>
      </c>
      <c r="L5" s="300"/>
    </row>
    <row r="6" spans="1:12" x14ac:dyDescent="0.15">
      <c r="A6" s="217">
        <f t="shared" ref="A6:A37" si="1">A5+1</f>
        <v>2</v>
      </c>
      <c r="B6" s="223" t="s">
        <v>510</v>
      </c>
      <c r="C6" s="302">
        <f t="shared" si="0"/>
        <v>5.3550644567219136E-4</v>
      </c>
      <c r="D6" s="302">
        <f>+paddy_Dry!AJ28/1000000</f>
        <v>0</v>
      </c>
      <c r="E6" s="302">
        <f>+paddy_rain!AJ28/1000000</f>
        <v>0</v>
      </c>
      <c r="F6" s="302">
        <f>+upland_dry!AJ28/1000000</f>
        <v>0</v>
      </c>
      <c r="G6" s="302">
        <f>+upland_rain!AJ28/1000000</f>
        <v>5.3550644567219136E-4</v>
      </c>
      <c r="H6" s="302">
        <f>+plant!Z17/1000000</f>
        <v>0</v>
      </c>
      <c r="I6" s="302">
        <f>+fishporn!I12/1000000</f>
        <v>0</v>
      </c>
      <c r="J6" s="302">
        <f>+' prawnporn'!K12/1000000</f>
        <v>0</v>
      </c>
    </row>
    <row r="7" spans="1:12" x14ac:dyDescent="0.15">
      <c r="A7" s="217">
        <f t="shared" si="1"/>
        <v>3</v>
      </c>
      <c r="B7" s="223" t="s">
        <v>511</v>
      </c>
      <c r="C7" s="302">
        <f t="shared" si="0"/>
        <v>5.3550644567219136E-4</v>
      </c>
      <c r="D7" s="302">
        <f>+paddy_Dry!AJ29/1000000</f>
        <v>0</v>
      </c>
      <c r="E7" s="302">
        <f>+paddy_rain!AJ29/1000000</f>
        <v>0</v>
      </c>
      <c r="F7" s="302">
        <f>+upland_dry!AJ29/1000000</f>
        <v>0</v>
      </c>
      <c r="G7" s="302">
        <f>+upland_rain!AJ29/1000000</f>
        <v>5.3550644567219136E-4</v>
      </c>
      <c r="H7" s="302">
        <f>+plant!Z18/1000000</f>
        <v>0</v>
      </c>
      <c r="I7" s="302">
        <f>+fishporn!I13/1000000</f>
        <v>0</v>
      </c>
      <c r="J7" s="302">
        <f>+' prawnporn'!K13/1000000</f>
        <v>0</v>
      </c>
    </row>
    <row r="8" spans="1:12" x14ac:dyDescent="0.15">
      <c r="A8" s="217">
        <f t="shared" si="1"/>
        <v>4</v>
      </c>
      <c r="B8" s="223" t="s">
        <v>512</v>
      </c>
      <c r="C8" s="302">
        <f t="shared" si="0"/>
        <v>5.3550644567219136E-4</v>
      </c>
      <c r="D8" s="302">
        <f>+paddy_Dry!AJ30/1000000</f>
        <v>0</v>
      </c>
      <c r="E8" s="302">
        <f>+paddy_rain!AJ30/1000000</f>
        <v>0</v>
      </c>
      <c r="F8" s="302">
        <f>+upland_dry!AJ30/1000000</f>
        <v>0</v>
      </c>
      <c r="G8" s="302">
        <f>+upland_rain!AJ30/1000000</f>
        <v>5.3550644567219136E-4</v>
      </c>
      <c r="H8" s="302">
        <f>+plant!Z19/1000000</f>
        <v>0</v>
      </c>
      <c r="I8" s="302">
        <f>+fishporn!I14/1000000</f>
        <v>0</v>
      </c>
      <c r="J8" s="302">
        <f>+' prawnporn'!K14/1000000</f>
        <v>0</v>
      </c>
    </row>
    <row r="9" spans="1:12" x14ac:dyDescent="0.15">
      <c r="A9" s="217">
        <f t="shared" si="1"/>
        <v>5</v>
      </c>
      <c r="B9" s="223" t="s">
        <v>513</v>
      </c>
      <c r="C9" s="302">
        <f t="shared" si="0"/>
        <v>8.714322580645161E-5</v>
      </c>
      <c r="D9" s="302">
        <f>+paddy_Dry!AJ31/1000000</f>
        <v>0</v>
      </c>
      <c r="E9" s="302">
        <f>+paddy_rain!AJ31/1000000</f>
        <v>0</v>
      </c>
      <c r="F9" s="302">
        <f>+upland_dry!AJ31/1000000</f>
        <v>0</v>
      </c>
      <c r="G9" s="302">
        <f>+upland_rain!AJ31/1000000</f>
        <v>8.714322580645161E-5</v>
      </c>
      <c r="H9" s="302">
        <f>+plant!Z20/1000000</f>
        <v>0</v>
      </c>
      <c r="I9" s="302">
        <f>+fishporn!I15/1000000</f>
        <v>0</v>
      </c>
      <c r="J9" s="302">
        <f>+' prawnporn'!K15/1000000</f>
        <v>0</v>
      </c>
    </row>
    <row r="10" spans="1:12" x14ac:dyDescent="0.15">
      <c r="A10" s="217">
        <f t="shared" si="1"/>
        <v>6</v>
      </c>
      <c r="B10" s="223" t="s">
        <v>514</v>
      </c>
      <c r="C10" s="302">
        <f t="shared" si="0"/>
        <v>8.714322580645161E-5</v>
      </c>
      <c r="D10" s="302">
        <f>+paddy_Dry!AJ32/1000000</f>
        <v>0</v>
      </c>
      <c r="E10" s="302">
        <f>+paddy_rain!AJ32/1000000</f>
        <v>0</v>
      </c>
      <c r="F10" s="302">
        <f>+upland_dry!AJ32/1000000</f>
        <v>0</v>
      </c>
      <c r="G10" s="302">
        <f>+upland_rain!AJ32/1000000</f>
        <v>8.714322580645161E-5</v>
      </c>
      <c r="H10" s="302">
        <f>+plant!Z21/1000000</f>
        <v>0</v>
      </c>
      <c r="I10" s="302">
        <f>+fishporn!I16/1000000</f>
        <v>0</v>
      </c>
      <c r="J10" s="302">
        <f>+' prawnporn'!K16/1000000</f>
        <v>0</v>
      </c>
    </row>
    <row r="11" spans="1:12" x14ac:dyDescent="0.15">
      <c r="A11" s="217">
        <f t="shared" si="1"/>
        <v>7</v>
      </c>
      <c r="B11" s="223" t="s">
        <v>515</v>
      </c>
      <c r="C11" s="302">
        <f t="shared" si="0"/>
        <v>8.714322580645161E-5</v>
      </c>
      <c r="D11" s="302">
        <f>+paddy_Dry!AJ33/1000000</f>
        <v>0</v>
      </c>
      <c r="E11" s="302">
        <f>+paddy_rain!AJ33/1000000</f>
        <v>0</v>
      </c>
      <c r="F11" s="302">
        <f>+upland_dry!AJ33/1000000</f>
        <v>0</v>
      </c>
      <c r="G11" s="302">
        <f>+upland_rain!AJ33/1000000</f>
        <v>8.714322580645161E-5</v>
      </c>
      <c r="H11" s="302">
        <f>+plant!Z22/1000000</f>
        <v>0</v>
      </c>
      <c r="I11" s="302">
        <f>+fishporn!I17/1000000</f>
        <v>0</v>
      </c>
      <c r="J11" s="302">
        <f>+' prawnporn'!K17/1000000</f>
        <v>0</v>
      </c>
    </row>
    <row r="12" spans="1:12" x14ac:dyDescent="0.15">
      <c r="A12" s="217">
        <f t="shared" si="1"/>
        <v>8</v>
      </c>
      <c r="B12" s="223" t="s">
        <v>516</v>
      </c>
      <c r="C12" s="302">
        <f t="shared" si="0"/>
        <v>8.714322580645161E-5</v>
      </c>
      <c r="D12" s="302">
        <f>+paddy_Dry!AJ34/1000000</f>
        <v>0</v>
      </c>
      <c r="E12" s="302">
        <f>+paddy_rain!AJ34/1000000</f>
        <v>0</v>
      </c>
      <c r="F12" s="302">
        <f>+upland_dry!AJ34/1000000</f>
        <v>0</v>
      </c>
      <c r="G12" s="302">
        <f>+upland_rain!AJ34/1000000</f>
        <v>8.714322580645161E-5</v>
      </c>
      <c r="H12" s="302">
        <f>+plant!Z23/1000000</f>
        <v>0</v>
      </c>
      <c r="I12" s="302">
        <f>+fishporn!I18/1000000</f>
        <v>0</v>
      </c>
      <c r="J12" s="302">
        <f>+' prawnporn'!K18/1000000</f>
        <v>0</v>
      </c>
    </row>
    <row r="13" spans="1:12" x14ac:dyDescent="0.15">
      <c r="A13" s="217">
        <f t="shared" si="1"/>
        <v>9</v>
      </c>
      <c r="B13" s="223" t="s">
        <v>517</v>
      </c>
      <c r="C13" s="302">
        <f t="shared" si="0"/>
        <v>1.1134967741935484E-4</v>
      </c>
      <c r="D13" s="302">
        <f>+paddy_Dry!AJ35/1000000</f>
        <v>0</v>
      </c>
      <c r="E13" s="302">
        <f>+paddy_rain!AJ35/1000000</f>
        <v>0</v>
      </c>
      <c r="F13" s="302">
        <f>+upland_dry!AJ35/1000000</f>
        <v>0</v>
      </c>
      <c r="G13" s="302">
        <f>+upland_rain!AJ35/1000000</f>
        <v>1.1134967741935484E-4</v>
      </c>
      <c r="H13" s="302">
        <f>+plant!Z24/1000000</f>
        <v>0</v>
      </c>
      <c r="I13" s="302">
        <f>+fishporn!I19/1000000</f>
        <v>0</v>
      </c>
      <c r="J13" s="302">
        <f>+' prawnporn'!K19/1000000</f>
        <v>0</v>
      </c>
    </row>
    <row r="14" spans="1:12" x14ac:dyDescent="0.15">
      <c r="A14" s="217">
        <f t="shared" si="1"/>
        <v>10</v>
      </c>
      <c r="B14" s="223" t="s">
        <v>518</v>
      </c>
      <c r="C14" s="302">
        <f t="shared" si="0"/>
        <v>1.1134967741935484E-4</v>
      </c>
      <c r="D14" s="302">
        <f>+paddy_Dry!AJ36/1000000</f>
        <v>0</v>
      </c>
      <c r="E14" s="302">
        <f>+paddy_rain!AJ36/1000000</f>
        <v>0</v>
      </c>
      <c r="F14" s="302">
        <f>+upland_dry!AJ36/1000000</f>
        <v>0</v>
      </c>
      <c r="G14" s="302">
        <f>+upland_rain!AJ36/1000000</f>
        <v>1.1134967741935484E-4</v>
      </c>
      <c r="H14" s="302">
        <f>+plant!Z25/1000000</f>
        <v>0</v>
      </c>
      <c r="I14" s="302">
        <f>+fishporn!I20/1000000</f>
        <v>0</v>
      </c>
      <c r="J14" s="302">
        <f>+' prawnporn'!K20/1000000</f>
        <v>0</v>
      </c>
    </row>
    <row r="15" spans="1:12" x14ac:dyDescent="0.15">
      <c r="A15" s="217">
        <f t="shared" si="1"/>
        <v>11</v>
      </c>
      <c r="B15" s="223" t="s">
        <v>519</v>
      </c>
      <c r="C15" s="302">
        <f t="shared" si="0"/>
        <v>1.1134967741935484E-4</v>
      </c>
      <c r="D15" s="302">
        <f>+paddy_Dry!AJ37/1000000</f>
        <v>0</v>
      </c>
      <c r="E15" s="302">
        <f>+paddy_rain!AJ37/1000000</f>
        <v>0</v>
      </c>
      <c r="F15" s="302">
        <f>+upland_dry!AJ37/1000000</f>
        <v>0</v>
      </c>
      <c r="G15" s="302">
        <f>+upland_rain!AJ37/1000000</f>
        <v>1.1134967741935484E-4</v>
      </c>
      <c r="H15" s="302">
        <f>+plant!Z26/1000000</f>
        <v>0</v>
      </c>
      <c r="I15" s="302">
        <f>+fishporn!I21/1000000</f>
        <v>0</v>
      </c>
      <c r="J15" s="302">
        <f>+' prawnporn'!K21/1000000</f>
        <v>0</v>
      </c>
    </row>
    <row r="16" spans="1:12" x14ac:dyDescent="0.15">
      <c r="A16" s="217">
        <f t="shared" si="1"/>
        <v>12</v>
      </c>
      <c r="B16" s="223" t="s">
        <v>520</v>
      </c>
      <c r="C16" s="302">
        <f t="shared" si="0"/>
        <v>1.1134967741935484E-4</v>
      </c>
      <c r="D16" s="302">
        <f>+paddy_Dry!AJ38/1000000</f>
        <v>0</v>
      </c>
      <c r="E16" s="302">
        <f>+paddy_rain!AJ38/1000000</f>
        <v>0</v>
      </c>
      <c r="F16" s="302">
        <f>+upland_dry!AJ38/1000000</f>
        <v>0</v>
      </c>
      <c r="G16" s="302">
        <f>+upland_rain!AJ38/1000000</f>
        <v>1.1134967741935484E-4</v>
      </c>
      <c r="H16" s="302">
        <f>+plant!Z27/1000000</f>
        <v>0</v>
      </c>
      <c r="I16" s="302">
        <f>+fishporn!I22/1000000</f>
        <v>0</v>
      </c>
      <c r="J16" s="302">
        <f>+' prawnporn'!K22/1000000</f>
        <v>0</v>
      </c>
    </row>
    <row r="17" spans="1:10" x14ac:dyDescent="0.15">
      <c r="A17" s="217">
        <f t="shared" si="1"/>
        <v>13</v>
      </c>
      <c r="B17" s="223" t="s">
        <v>521</v>
      </c>
      <c r="C17" s="302">
        <f t="shared" si="0"/>
        <v>1.1134967741935484E-4</v>
      </c>
      <c r="D17" s="302">
        <f>+paddy_Dry!AJ39/1000000</f>
        <v>0</v>
      </c>
      <c r="E17" s="302">
        <f>+paddy_rain!AJ39/1000000</f>
        <v>0</v>
      </c>
      <c r="F17" s="302">
        <f>+upland_dry!AJ39/1000000</f>
        <v>0</v>
      </c>
      <c r="G17" s="302">
        <f>+upland_rain!AJ39/1000000</f>
        <v>1.1134967741935484E-4</v>
      </c>
      <c r="H17" s="302">
        <f>+plant!Z28/1000000</f>
        <v>0</v>
      </c>
      <c r="I17" s="302">
        <f>+fishporn!I23/1000000</f>
        <v>0</v>
      </c>
      <c r="J17" s="302">
        <f>+' prawnporn'!K23/1000000</f>
        <v>0</v>
      </c>
    </row>
    <row r="18" spans="1:10" x14ac:dyDescent="0.15">
      <c r="A18" s="217">
        <f t="shared" si="1"/>
        <v>14</v>
      </c>
      <c r="B18" s="223" t="s">
        <v>522</v>
      </c>
      <c r="C18" s="302">
        <f t="shared" si="0"/>
        <v>4.4219999999999991E-4</v>
      </c>
      <c r="D18" s="302">
        <f>+paddy_Dry!AJ40/1000000</f>
        <v>0</v>
      </c>
      <c r="E18" s="302">
        <f>+paddy_rain!AJ40/1000000</f>
        <v>0</v>
      </c>
      <c r="F18" s="302">
        <f>+upland_dry!AJ40/1000000</f>
        <v>0</v>
      </c>
      <c r="G18" s="302">
        <f>+upland_rain!AJ40/1000000</f>
        <v>4.4219999999999991E-4</v>
      </c>
      <c r="H18" s="302">
        <f>+plant!Z29/1000000</f>
        <v>0</v>
      </c>
      <c r="I18" s="302">
        <f>+fishporn!I24/1000000</f>
        <v>0</v>
      </c>
      <c r="J18" s="302">
        <f>+' prawnporn'!K24/1000000</f>
        <v>0</v>
      </c>
    </row>
    <row r="19" spans="1:10" x14ac:dyDescent="0.15">
      <c r="A19" s="217">
        <f t="shared" si="1"/>
        <v>15</v>
      </c>
      <c r="B19" s="223" t="s">
        <v>523</v>
      </c>
      <c r="C19" s="302">
        <f t="shared" si="0"/>
        <v>4.4219999999999991E-4</v>
      </c>
      <c r="D19" s="302">
        <f>+paddy_Dry!AJ41/1000000</f>
        <v>0</v>
      </c>
      <c r="E19" s="302">
        <f>+paddy_rain!AJ41/1000000</f>
        <v>0</v>
      </c>
      <c r="F19" s="302">
        <f>+upland_dry!AJ41/1000000</f>
        <v>0</v>
      </c>
      <c r="G19" s="302">
        <f>+upland_rain!AJ41/1000000</f>
        <v>4.4219999999999991E-4</v>
      </c>
      <c r="H19" s="302">
        <f>+plant!Z30/1000000</f>
        <v>0</v>
      </c>
      <c r="I19" s="302">
        <f>+fishporn!I25/1000000</f>
        <v>0</v>
      </c>
      <c r="J19" s="302">
        <f>+' prawnporn'!K25/1000000</f>
        <v>0</v>
      </c>
    </row>
    <row r="20" spans="1:10" x14ac:dyDescent="0.15">
      <c r="A20" s="217">
        <f t="shared" si="1"/>
        <v>16</v>
      </c>
      <c r="B20" s="223" t="s">
        <v>524</v>
      </c>
      <c r="C20" s="302">
        <f t="shared" si="0"/>
        <v>4.4219999999999991E-4</v>
      </c>
      <c r="D20" s="302">
        <f>+paddy_Dry!AJ42/1000000</f>
        <v>0</v>
      </c>
      <c r="E20" s="302">
        <f>+paddy_rain!AJ42/1000000</f>
        <v>0</v>
      </c>
      <c r="F20" s="302">
        <f>+upland_dry!AJ42/1000000</f>
        <v>0</v>
      </c>
      <c r="G20" s="302">
        <f>+upland_rain!AJ42/1000000</f>
        <v>4.4219999999999991E-4</v>
      </c>
      <c r="H20" s="302">
        <f>+plant!Z31/1000000</f>
        <v>0</v>
      </c>
      <c r="I20" s="302">
        <f>+fishporn!I26/1000000</f>
        <v>0</v>
      </c>
      <c r="J20" s="302">
        <f>+' prawnporn'!K26/1000000</f>
        <v>0</v>
      </c>
    </row>
    <row r="21" spans="1:10" x14ac:dyDescent="0.15">
      <c r="A21" s="217">
        <f t="shared" si="1"/>
        <v>17</v>
      </c>
      <c r="B21" s="223" t="s">
        <v>525</v>
      </c>
      <c r="C21" s="302">
        <f t="shared" si="0"/>
        <v>4.0919999999999997E-4</v>
      </c>
      <c r="D21" s="302">
        <f>+paddy_Dry!AJ43/1000000</f>
        <v>0</v>
      </c>
      <c r="E21" s="302">
        <f>+paddy_rain!AJ43/1000000</f>
        <v>0</v>
      </c>
      <c r="F21" s="302">
        <f>+upland_dry!AJ43/1000000</f>
        <v>0</v>
      </c>
      <c r="G21" s="302">
        <f>+upland_rain!AJ43/1000000</f>
        <v>4.0919999999999997E-4</v>
      </c>
      <c r="H21" s="302">
        <f>+plant!Z32/1000000</f>
        <v>0</v>
      </c>
      <c r="I21" s="302">
        <f>+fishporn!I27/1000000</f>
        <v>0</v>
      </c>
      <c r="J21" s="302">
        <f>+' prawnporn'!K27/1000000</f>
        <v>0</v>
      </c>
    </row>
    <row r="22" spans="1:10" x14ac:dyDescent="0.15">
      <c r="A22" s="217">
        <f t="shared" si="1"/>
        <v>18</v>
      </c>
      <c r="B22" s="223" t="s">
        <v>526</v>
      </c>
      <c r="C22" s="302">
        <f t="shared" si="0"/>
        <v>0</v>
      </c>
      <c r="D22" s="302">
        <f>+paddy_Dry!AJ44/1000000</f>
        <v>0</v>
      </c>
      <c r="E22" s="302">
        <f>+paddy_rain!AJ44/1000000</f>
        <v>0</v>
      </c>
      <c r="F22" s="302">
        <f>+upland_dry!AJ44/1000000</f>
        <v>0</v>
      </c>
      <c r="G22" s="302">
        <f>+upland_rain!AJ44/1000000</f>
        <v>0</v>
      </c>
      <c r="H22" s="302">
        <f>+plant!Z33/1000000</f>
        <v>0</v>
      </c>
      <c r="I22" s="302">
        <f>+fishporn!I28/1000000</f>
        <v>0</v>
      </c>
      <c r="J22" s="302">
        <f>+' prawnporn'!K28/1000000</f>
        <v>0</v>
      </c>
    </row>
    <row r="23" spans="1:10" x14ac:dyDescent="0.15">
      <c r="A23" s="217">
        <f t="shared" si="1"/>
        <v>19</v>
      </c>
      <c r="B23" s="223" t="s">
        <v>527</v>
      </c>
      <c r="C23" s="302">
        <f t="shared" si="0"/>
        <v>0</v>
      </c>
      <c r="D23" s="302">
        <f>+paddy_Dry!AJ45/1000000</f>
        <v>0</v>
      </c>
      <c r="E23" s="302">
        <f>+paddy_rain!AJ45/1000000</f>
        <v>0</v>
      </c>
      <c r="F23" s="302">
        <f>+upland_dry!AJ45/1000000</f>
        <v>0</v>
      </c>
      <c r="G23" s="302">
        <f>+upland_rain!AJ45/1000000</f>
        <v>0</v>
      </c>
      <c r="H23" s="302">
        <f>+plant!Z34/1000000</f>
        <v>0</v>
      </c>
      <c r="I23" s="302">
        <f>+fishporn!I29/1000000</f>
        <v>0</v>
      </c>
      <c r="J23" s="302">
        <f>+' prawnporn'!K29/1000000</f>
        <v>0</v>
      </c>
    </row>
    <row r="24" spans="1:10" x14ac:dyDescent="0.15">
      <c r="A24" s="217">
        <f t="shared" si="1"/>
        <v>20</v>
      </c>
      <c r="B24" s="223" t="s">
        <v>528</v>
      </c>
      <c r="C24" s="302">
        <f t="shared" si="0"/>
        <v>0</v>
      </c>
      <c r="D24" s="302">
        <f>+paddy_Dry!AJ46/1000000</f>
        <v>0</v>
      </c>
      <c r="E24" s="302">
        <f>+paddy_rain!AJ46/1000000</f>
        <v>0</v>
      </c>
      <c r="F24" s="302">
        <f>+upland_dry!AJ46/1000000</f>
        <v>0</v>
      </c>
      <c r="G24" s="302">
        <f>+upland_rain!AJ46/1000000</f>
        <v>0</v>
      </c>
      <c r="H24" s="302">
        <f>+plant!Z35/1000000</f>
        <v>0</v>
      </c>
      <c r="I24" s="302">
        <f>+fishporn!I30/1000000</f>
        <v>0</v>
      </c>
      <c r="J24" s="302">
        <f>+' prawnporn'!K30/1000000</f>
        <v>0</v>
      </c>
    </row>
    <row r="25" spans="1:10" x14ac:dyDescent="0.15">
      <c r="A25" s="217">
        <f t="shared" si="1"/>
        <v>21</v>
      </c>
      <c r="B25" s="223" t="s">
        <v>529</v>
      </c>
      <c r="C25" s="302">
        <f t="shared" si="0"/>
        <v>0</v>
      </c>
      <c r="D25" s="302">
        <f>+paddy_Dry!AJ47/1000000</f>
        <v>0</v>
      </c>
      <c r="E25" s="302">
        <f>+paddy_rain!AJ47/1000000</f>
        <v>0</v>
      </c>
      <c r="F25" s="302">
        <f>+upland_dry!AJ47/1000000</f>
        <v>0</v>
      </c>
      <c r="G25" s="302">
        <f>+upland_rain!AJ47/1000000</f>
        <v>0</v>
      </c>
      <c r="H25" s="302">
        <f>+plant!Z36/1000000</f>
        <v>0</v>
      </c>
      <c r="I25" s="302">
        <f>+fishporn!I31/1000000</f>
        <v>0</v>
      </c>
      <c r="J25" s="302">
        <f>+' prawnporn'!K31/1000000</f>
        <v>0</v>
      </c>
    </row>
    <row r="26" spans="1:10" x14ac:dyDescent="0.15">
      <c r="A26" s="217">
        <f t="shared" si="1"/>
        <v>22</v>
      </c>
      <c r="B26" s="223" t="s">
        <v>530</v>
      </c>
      <c r="C26" s="302">
        <f t="shared" si="0"/>
        <v>0</v>
      </c>
      <c r="D26" s="302">
        <f>+paddy_Dry!AJ48/1000000</f>
        <v>0</v>
      </c>
      <c r="E26" s="302">
        <f>+paddy_rain!AJ48/1000000</f>
        <v>0</v>
      </c>
      <c r="F26" s="302">
        <f>+upland_dry!AJ48/1000000</f>
        <v>0</v>
      </c>
      <c r="G26" s="302">
        <f>+upland_rain!AJ48/1000000</f>
        <v>0</v>
      </c>
      <c r="H26" s="302">
        <f>+plant!Z37/1000000</f>
        <v>0</v>
      </c>
      <c r="I26" s="302">
        <f>+fishporn!I32/1000000</f>
        <v>0</v>
      </c>
      <c r="J26" s="302">
        <f>+' prawnporn'!K32/1000000</f>
        <v>0</v>
      </c>
    </row>
    <row r="27" spans="1:10" x14ac:dyDescent="0.15">
      <c r="A27" s="217">
        <f t="shared" si="1"/>
        <v>23</v>
      </c>
      <c r="B27" s="223" t="s">
        <v>531</v>
      </c>
      <c r="C27" s="302">
        <f t="shared" si="0"/>
        <v>0</v>
      </c>
      <c r="D27" s="302">
        <f>+paddy_Dry!AJ49/1000000</f>
        <v>0</v>
      </c>
      <c r="E27" s="302">
        <f>+paddy_rain!AJ49/1000000</f>
        <v>0</v>
      </c>
      <c r="F27" s="302">
        <f>+upland_dry!AJ49/1000000</f>
        <v>0</v>
      </c>
      <c r="G27" s="302">
        <f>+upland_rain!AJ49/1000000</f>
        <v>0</v>
      </c>
      <c r="H27" s="302">
        <f>+plant!Z38/1000000</f>
        <v>0</v>
      </c>
      <c r="I27" s="302">
        <f>+fishporn!I33/1000000</f>
        <v>0</v>
      </c>
      <c r="J27" s="302">
        <f>+' prawnporn'!K33/1000000</f>
        <v>0</v>
      </c>
    </row>
    <row r="28" spans="1:10" x14ac:dyDescent="0.15">
      <c r="A28" s="217">
        <f t="shared" si="1"/>
        <v>24</v>
      </c>
      <c r="B28" s="223" t="s">
        <v>532</v>
      </c>
      <c r="C28" s="302">
        <f t="shared" si="0"/>
        <v>0</v>
      </c>
      <c r="D28" s="302">
        <f>+paddy_Dry!AJ50/1000000</f>
        <v>0</v>
      </c>
      <c r="E28" s="302">
        <f>+paddy_rain!AJ50/1000000</f>
        <v>0</v>
      </c>
      <c r="F28" s="302">
        <f>+upland_dry!AJ50/1000000</f>
        <v>0</v>
      </c>
      <c r="G28" s="302">
        <f>+upland_rain!AJ50/1000000</f>
        <v>0</v>
      </c>
      <c r="H28" s="302">
        <f>+plant!Z39/1000000</f>
        <v>0</v>
      </c>
      <c r="I28" s="302">
        <f>+fishporn!I34/1000000</f>
        <v>0</v>
      </c>
      <c r="J28" s="302">
        <f>+' prawnporn'!K34/1000000</f>
        <v>0</v>
      </c>
    </row>
    <row r="29" spans="1:10" x14ac:dyDescent="0.15">
      <c r="A29" s="217">
        <f t="shared" si="1"/>
        <v>25</v>
      </c>
      <c r="B29" s="223" t="s">
        <v>533</v>
      </c>
      <c r="C29" s="302">
        <f t="shared" si="0"/>
        <v>0</v>
      </c>
      <c r="D29" s="302">
        <f>+paddy_Dry!AJ51/1000000</f>
        <v>0</v>
      </c>
      <c r="E29" s="302">
        <f>+paddy_rain!AJ51/1000000</f>
        <v>0</v>
      </c>
      <c r="F29" s="302">
        <f>+upland_dry!AJ51/1000000</f>
        <v>0</v>
      </c>
      <c r="G29" s="302">
        <f>+upland_rain!AJ51/1000000</f>
        <v>0</v>
      </c>
      <c r="H29" s="302">
        <f>+plant!Z40/1000000</f>
        <v>0</v>
      </c>
      <c r="I29" s="302">
        <f>+fishporn!I35/1000000</f>
        <v>0</v>
      </c>
      <c r="J29" s="302">
        <f>+' prawnporn'!K35/1000000</f>
        <v>0</v>
      </c>
    </row>
    <row r="30" spans="1:10" x14ac:dyDescent="0.15">
      <c r="A30" s="217">
        <f t="shared" si="1"/>
        <v>26</v>
      </c>
      <c r="B30" s="223" t="s">
        <v>534</v>
      </c>
      <c r="C30" s="302">
        <f t="shared" si="0"/>
        <v>0</v>
      </c>
      <c r="D30" s="302">
        <f>+paddy_Dry!AJ52/1000000</f>
        <v>0</v>
      </c>
      <c r="E30" s="302">
        <f>+paddy_rain!AJ52/1000000</f>
        <v>0</v>
      </c>
      <c r="F30" s="302">
        <f>+upland_dry!AJ52/1000000</f>
        <v>0</v>
      </c>
      <c r="G30" s="302">
        <f>+upland_rain!AJ52/1000000</f>
        <v>0</v>
      </c>
      <c r="H30" s="302">
        <f>+plant!Z41/1000000</f>
        <v>0</v>
      </c>
      <c r="I30" s="302">
        <f>+fishporn!I36/1000000</f>
        <v>0</v>
      </c>
      <c r="J30" s="302">
        <f>+' prawnporn'!K36/1000000</f>
        <v>0</v>
      </c>
    </row>
    <row r="31" spans="1:10" x14ac:dyDescent="0.15">
      <c r="A31" s="217">
        <f t="shared" si="1"/>
        <v>27</v>
      </c>
      <c r="B31" s="223" t="s">
        <v>535</v>
      </c>
      <c r="C31" s="302">
        <f t="shared" si="0"/>
        <v>0</v>
      </c>
      <c r="D31" s="302">
        <f>+paddy_Dry!AJ53/1000000</f>
        <v>0</v>
      </c>
      <c r="E31" s="302">
        <f>+paddy_rain!AJ53/1000000</f>
        <v>0</v>
      </c>
      <c r="F31" s="302">
        <f>+upland_dry!AJ53/1000000</f>
        <v>0</v>
      </c>
      <c r="G31" s="302">
        <f>+upland_rain!AJ53/1000000</f>
        <v>0</v>
      </c>
      <c r="H31" s="302">
        <f>+plant!Z42/1000000</f>
        <v>0</v>
      </c>
      <c r="I31" s="302">
        <f>+fishporn!I37/1000000</f>
        <v>0</v>
      </c>
      <c r="J31" s="302">
        <f>+' prawnporn'!K37/1000000</f>
        <v>0</v>
      </c>
    </row>
    <row r="32" spans="1:10" x14ac:dyDescent="0.15">
      <c r="A32" s="217">
        <f t="shared" si="1"/>
        <v>28</v>
      </c>
      <c r="B32" s="223" t="s">
        <v>536</v>
      </c>
      <c r="C32" s="302">
        <f t="shared" si="0"/>
        <v>0</v>
      </c>
      <c r="D32" s="302">
        <f>+paddy_Dry!AJ54/1000000</f>
        <v>0</v>
      </c>
      <c r="E32" s="302">
        <f>+paddy_rain!AJ54/1000000</f>
        <v>0</v>
      </c>
      <c r="F32" s="302">
        <f>+upland_dry!AJ54/1000000</f>
        <v>0</v>
      </c>
      <c r="G32" s="302">
        <f>+upland_rain!AJ54/1000000</f>
        <v>0</v>
      </c>
      <c r="H32" s="302">
        <f>+plant!Z43/1000000</f>
        <v>0</v>
      </c>
      <c r="I32" s="302">
        <f>+fishporn!I38/1000000</f>
        <v>0</v>
      </c>
      <c r="J32" s="302">
        <f>+' prawnporn'!K38/1000000</f>
        <v>0</v>
      </c>
    </row>
    <row r="33" spans="1:10" x14ac:dyDescent="0.15">
      <c r="A33" s="217">
        <f t="shared" si="1"/>
        <v>29</v>
      </c>
      <c r="B33" s="223" t="s">
        <v>537</v>
      </c>
      <c r="C33" s="302">
        <f t="shared" si="0"/>
        <v>0</v>
      </c>
      <c r="D33" s="302">
        <f>+paddy_Dry!AJ55/1000000</f>
        <v>0</v>
      </c>
      <c r="E33" s="302">
        <f>+paddy_rain!AJ55/1000000</f>
        <v>0</v>
      </c>
      <c r="F33" s="302">
        <f>+upland_dry!AJ55/1000000</f>
        <v>0</v>
      </c>
      <c r="G33" s="302">
        <f>+upland_rain!AJ55/1000000</f>
        <v>0</v>
      </c>
      <c r="H33" s="302">
        <f>+plant!Z44/1000000</f>
        <v>0</v>
      </c>
      <c r="I33" s="302">
        <f>+fishporn!I39/1000000</f>
        <v>0</v>
      </c>
      <c r="J33" s="302">
        <f>+' prawnporn'!K39/1000000</f>
        <v>0</v>
      </c>
    </row>
    <row r="34" spans="1:10" x14ac:dyDescent="0.15">
      <c r="A34" s="217">
        <f t="shared" si="1"/>
        <v>30</v>
      </c>
      <c r="B34" s="223" t="s">
        <v>538</v>
      </c>
      <c r="C34" s="302">
        <f t="shared" si="0"/>
        <v>0</v>
      </c>
      <c r="D34" s="302">
        <f>+paddy_Dry!AJ56/1000000</f>
        <v>0</v>
      </c>
      <c r="E34" s="302">
        <f>+paddy_rain!AJ56/1000000</f>
        <v>0</v>
      </c>
      <c r="F34" s="302">
        <f>+upland_dry!AJ56/1000000</f>
        <v>0</v>
      </c>
      <c r="G34" s="302">
        <f>+upland_rain!AJ56/1000000</f>
        <v>0</v>
      </c>
      <c r="H34" s="302">
        <f>+plant!Z45/1000000</f>
        <v>0</v>
      </c>
      <c r="I34" s="302">
        <f>+fishporn!I40/1000000</f>
        <v>0</v>
      </c>
      <c r="J34" s="302">
        <f>+' prawnporn'!K40/1000000</f>
        <v>0</v>
      </c>
    </row>
    <row r="35" spans="1:10" x14ac:dyDescent="0.15">
      <c r="A35" s="217">
        <f t="shared" si="1"/>
        <v>31</v>
      </c>
      <c r="B35" s="223" t="s">
        <v>539</v>
      </c>
      <c r="C35" s="302">
        <f t="shared" si="0"/>
        <v>0</v>
      </c>
      <c r="D35" s="302">
        <f>+paddy_Dry!AJ57/1000000</f>
        <v>0</v>
      </c>
      <c r="E35" s="302">
        <f>+paddy_rain!AJ57/1000000</f>
        <v>0</v>
      </c>
      <c r="F35" s="302">
        <f>+upland_dry!AJ57/1000000</f>
        <v>0</v>
      </c>
      <c r="G35" s="302">
        <f>+upland_rain!AJ57/1000000</f>
        <v>0</v>
      </c>
      <c r="H35" s="302">
        <f>+plant!Z46/1000000</f>
        <v>0</v>
      </c>
      <c r="I35" s="302">
        <f>+fishporn!I41/1000000</f>
        <v>0</v>
      </c>
      <c r="J35" s="302">
        <f>+' prawnporn'!K41/1000000</f>
        <v>0</v>
      </c>
    </row>
    <row r="36" spans="1:10" x14ac:dyDescent="0.15">
      <c r="A36" s="217">
        <f t="shared" si="1"/>
        <v>32</v>
      </c>
      <c r="B36" s="223" t="s">
        <v>540</v>
      </c>
      <c r="C36" s="302">
        <f t="shared" si="0"/>
        <v>0</v>
      </c>
      <c r="D36" s="302">
        <f>+paddy_Dry!AJ58/1000000</f>
        <v>0</v>
      </c>
      <c r="E36" s="302">
        <f>+paddy_rain!AJ58/1000000</f>
        <v>0</v>
      </c>
      <c r="F36" s="302">
        <f>+upland_dry!AJ58/1000000</f>
        <v>0</v>
      </c>
      <c r="G36" s="302">
        <f>+upland_rain!AJ58/1000000</f>
        <v>0</v>
      </c>
      <c r="H36" s="302">
        <f>+plant!Z47/1000000</f>
        <v>0</v>
      </c>
      <c r="I36" s="302">
        <f>+fishporn!I42/1000000</f>
        <v>0</v>
      </c>
      <c r="J36" s="302">
        <f>+' prawnporn'!K42/1000000</f>
        <v>0</v>
      </c>
    </row>
    <row r="37" spans="1:10" x14ac:dyDescent="0.15">
      <c r="A37" s="217">
        <f t="shared" si="1"/>
        <v>33</v>
      </c>
      <c r="B37" s="223" t="s">
        <v>541</v>
      </c>
      <c r="C37" s="302">
        <f t="shared" ref="C37:C56" si="2">SUM(D37:J37)</f>
        <v>0</v>
      </c>
      <c r="D37" s="302">
        <f>+paddy_Dry!AJ59/1000000</f>
        <v>0</v>
      </c>
      <c r="E37" s="302">
        <f>+paddy_rain!AJ59/1000000</f>
        <v>0</v>
      </c>
      <c r="F37" s="302">
        <f>+upland_dry!AJ59/1000000</f>
        <v>0</v>
      </c>
      <c r="G37" s="302">
        <f>+upland_rain!AJ59/1000000</f>
        <v>0</v>
      </c>
      <c r="H37" s="302">
        <f>+plant!Z48/1000000</f>
        <v>0</v>
      </c>
      <c r="I37" s="302">
        <f>+fishporn!I43/1000000</f>
        <v>0</v>
      </c>
      <c r="J37" s="302">
        <f>+' prawnporn'!K43/1000000</f>
        <v>0</v>
      </c>
    </row>
    <row r="38" spans="1:10" x14ac:dyDescent="0.15">
      <c r="A38" s="217">
        <f t="shared" ref="A38:A56" si="3">A37+1</f>
        <v>34</v>
      </c>
      <c r="B38" s="223" t="s">
        <v>542</v>
      </c>
      <c r="C38" s="302">
        <f t="shared" si="2"/>
        <v>0</v>
      </c>
      <c r="D38" s="302">
        <f>+paddy_Dry!AJ60/1000000</f>
        <v>0</v>
      </c>
      <c r="E38" s="302">
        <f>+paddy_rain!AJ60/1000000</f>
        <v>0</v>
      </c>
      <c r="F38" s="302">
        <f>+upland_dry!AJ60/1000000</f>
        <v>0</v>
      </c>
      <c r="G38" s="302">
        <f>+upland_rain!AJ60/1000000</f>
        <v>0</v>
      </c>
      <c r="H38" s="302">
        <f>+plant!Z49/1000000</f>
        <v>0</v>
      </c>
      <c r="I38" s="302">
        <f>+fishporn!I44/1000000</f>
        <v>0</v>
      </c>
      <c r="J38" s="302">
        <f>+' prawnporn'!K44/1000000</f>
        <v>0</v>
      </c>
    </row>
    <row r="39" spans="1:10" x14ac:dyDescent="0.15">
      <c r="A39" s="217">
        <f t="shared" si="3"/>
        <v>35</v>
      </c>
      <c r="B39" s="223" t="s">
        <v>543</v>
      </c>
      <c r="C39" s="302">
        <f t="shared" si="2"/>
        <v>0</v>
      </c>
      <c r="D39" s="302">
        <f>+paddy_Dry!AJ61/1000000</f>
        <v>0</v>
      </c>
      <c r="E39" s="302">
        <f>+paddy_rain!AJ61/1000000</f>
        <v>0</v>
      </c>
      <c r="F39" s="302">
        <f>+upland_dry!AJ61/1000000</f>
        <v>0</v>
      </c>
      <c r="G39" s="302">
        <f>+upland_rain!AJ61/1000000</f>
        <v>0</v>
      </c>
      <c r="H39" s="302">
        <f>+plant!Z50/1000000</f>
        <v>0</v>
      </c>
      <c r="I39" s="302">
        <f>+fishporn!I45/1000000</f>
        <v>0</v>
      </c>
      <c r="J39" s="302">
        <f>+' prawnporn'!K45/1000000</f>
        <v>0</v>
      </c>
    </row>
    <row r="40" spans="1:10" x14ac:dyDescent="0.15">
      <c r="A40" s="217">
        <f t="shared" si="3"/>
        <v>36</v>
      </c>
      <c r="B40" s="223" t="s">
        <v>544</v>
      </c>
      <c r="C40" s="302">
        <f t="shared" si="2"/>
        <v>0.43474877419354846</v>
      </c>
      <c r="D40" s="302">
        <f>+paddy_Dry!AJ62/1000000</f>
        <v>0</v>
      </c>
      <c r="E40" s="302">
        <f>+paddy_rain!AJ62/1000000</f>
        <v>0.43461419354838715</v>
      </c>
      <c r="F40" s="302">
        <f>+upland_dry!AJ62/1000000</f>
        <v>0</v>
      </c>
      <c r="G40" s="302">
        <f>+upland_rain!AJ62/1000000</f>
        <v>1.3458064516129033E-4</v>
      </c>
      <c r="H40" s="302">
        <f>+plant!Z51/1000000</f>
        <v>0</v>
      </c>
      <c r="I40" s="302">
        <f>+fishporn!I46/1000000</f>
        <v>0</v>
      </c>
      <c r="J40" s="302">
        <f>+' prawnporn'!K46/1000000</f>
        <v>0</v>
      </c>
    </row>
    <row r="41" spans="1:10" x14ac:dyDescent="0.15">
      <c r="A41" s="217">
        <f t="shared" si="3"/>
        <v>37</v>
      </c>
      <c r="B41" s="223" t="s">
        <v>545</v>
      </c>
      <c r="C41" s="302">
        <f t="shared" si="2"/>
        <v>0.89811770322580653</v>
      </c>
      <c r="D41" s="302">
        <f>+paddy_Dry!AJ63/1000000</f>
        <v>0</v>
      </c>
      <c r="E41" s="302">
        <f>+paddy_rain!AJ63/1000000</f>
        <v>0.89631432258064525</v>
      </c>
      <c r="F41" s="302">
        <f>+upland_dry!AJ63/1000000</f>
        <v>0</v>
      </c>
      <c r="G41" s="302">
        <f>+upland_rain!AJ63/1000000</f>
        <v>1.8033806451612905E-3</v>
      </c>
      <c r="H41" s="302">
        <f>+plant!Z52/1000000</f>
        <v>0</v>
      </c>
      <c r="I41" s="302">
        <f>+fishporn!I47/1000000</f>
        <v>0</v>
      </c>
      <c r="J41" s="302">
        <f>+' prawnporn'!K47/1000000</f>
        <v>0</v>
      </c>
    </row>
    <row r="42" spans="1:10" x14ac:dyDescent="0.15">
      <c r="A42" s="217">
        <f t="shared" si="3"/>
        <v>38</v>
      </c>
      <c r="B42" s="223" t="s">
        <v>546</v>
      </c>
      <c r="C42" s="302">
        <f t="shared" si="2"/>
        <v>1.4513435096774197</v>
      </c>
      <c r="D42" s="302">
        <f>+paddy_Dry!AJ64/1000000</f>
        <v>0</v>
      </c>
      <c r="E42" s="302">
        <f>+paddy_rain!AJ64/1000000</f>
        <v>1.4495401290322583</v>
      </c>
      <c r="F42" s="302">
        <f>+upland_dry!AJ64/1000000</f>
        <v>0</v>
      </c>
      <c r="G42" s="302">
        <f>+upland_rain!AJ64/1000000</f>
        <v>1.8033806451612905E-3</v>
      </c>
      <c r="H42" s="302">
        <f>+plant!Z53/1000000</f>
        <v>0</v>
      </c>
      <c r="I42" s="302">
        <f>+fishporn!I48/1000000</f>
        <v>0</v>
      </c>
      <c r="J42" s="302">
        <f>+' prawnporn'!K48/1000000</f>
        <v>0</v>
      </c>
    </row>
    <row r="43" spans="1:10" x14ac:dyDescent="0.15">
      <c r="A43" s="217">
        <f t="shared" si="3"/>
        <v>39</v>
      </c>
      <c r="B43" s="223" t="s">
        <v>547</v>
      </c>
      <c r="C43" s="302">
        <f t="shared" si="2"/>
        <v>2.025768929032258</v>
      </c>
      <c r="D43" s="302">
        <f>+paddy_Dry!AJ65/1000000</f>
        <v>0</v>
      </c>
      <c r="E43" s="302">
        <f>+paddy_rain!AJ65/1000000</f>
        <v>2.0239655483870966</v>
      </c>
      <c r="F43" s="302">
        <f>+upland_dry!AJ65/1000000</f>
        <v>0</v>
      </c>
      <c r="G43" s="302">
        <f>+upland_rain!AJ65/1000000</f>
        <v>1.8033806451612905E-3</v>
      </c>
      <c r="H43" s="302">
        <f>+plant!Z54/1000000</f>
        <v>0</v>
      </c>
      <c r="I43" s="302">
        <f>+fishporn!I49/1000000</f>
        <v>0</v>
      </c>
      <c r="J43" s="302">
        <f>+' prawnporn'!K49/1000000</f>
        <v>0</v>
      </c>
    </row>
    <row r="44" spans="1:10" x14ac:dyDescent="0.15">
      <c r="A44" s="217">
        <f t="shared" si="3"/>
        <v>40</v>
      </c>
      <c r="B44" s="223" t="s">
        <v>548</v>
      </c>
      <c r="C44" s="302">
        <f t="shared" si="2"/>
        <v>2.1169991070967744</v>
      </c>
      <c r="D44" s="302">
        <f>+paddy_Dry!AJ66/1000000</f>
        <v>0</v>
      </c>
      <c r="E44" s="302">
        <f>+paddy_rain!AJ66/1000000</f>
        <v>2.1148374709677422</v>
      </c>
      <c r="F44" s="302">
        <f>+upland_dry!AJ66/1000000</f>
        <v>0</v>
      </c>
      <c r="G44" s="302">
        <f>+upland_rain!AJ66/1000000</f>
        <v>2.1616361290322577E-3</v>
      </c>
      <c r="H44" s="302">
        <f>+plant!Z55/1000000</f>
        <v>0</v>
      </c>
      <c r="I44" s="302">
        <f>+fishporn!I50/1000000</f>
        <v>0</v>
      </c>
      <c r="J44" s="302">
        <f>+' prawnporn'!K50/1000000</f>
        <v>0</v>
      </c>
    </row>
    <row r="45" spans="1:10" x14ac:dyDescent="0.15">
      <c r="A45" s="217">
        <f t="shared" si="3"/>
        <v>41</v>
      </c>
      <c r="B45" s="223" t="s">
        <v>549</v>
      </c>
      <c r="C45" s="302">
        <f t="shared" si="2"/>
        <v>2.1169991070967744</v>
      </c>
      <c r="D45" s="302">
        <f>+paddy_Dry!AJ67/1000000</f>
        <v>0</v>
      </c>
      <c r="E45" s="302">
        <f>+paddy_rain!AJ67/1000000</f>
        <v>2.1148374709677422</v>
      </c>
      <c r="F45" s="302">
        <f>+upland_dry!AJ67/1000000</f>
        <v>0</v>
      </c>
      <c r="G45" s="302">
        <f>+upland_rain!AJ67/1000000</f>
        <v>2.1616361290322577E-3</v>
      </c>
      <c r="H45" s="302">
        <f>+plant!Z56/1000000</f>
        <v>0</v>
      </c>
      <c r="I45" s="302">
        <f>+fishporn!I51/1000000</f>
        <v>0</v>
      </c>
      <c r="J45" s="302">
        <f>+' prawnporn'!K51/1000000</f>
        <v>0</v>
      </c>
    </row>
    <row r="46" spans="1:10" x14ac:dyDescent="0.15">
      <c r="A46" s="217">
        <f t="shared" si="3"/>
        <v>42</v>
      </c>
      <c r="B46" s="223" t="s">
        <v>550</v>
      </c>
      <c r="C46" s="302">
        <f t="shared" si="2"/>
        <v>2.1169991070967744</v>
      </c>
      <c r="D46" s="302">
        <f>+paddy_Dry!AJ68/1000000</f>
        <v>0</v>
      </c>
      <c r="E46" s="302">
        <f>+paddy_rain!AJ68/1000000</f>
        <v>2.1148374709677422</v>
      </c>
      <c r="F46" s="302">
        <f>+upland_dry!AJ68/1000000</f>
        <v>0</v>
      </c>
      <c r="G46" s="302">
        <f>+upland_rain!AJ68/1000000</f>
        <v>2.1616361290322577E-3</v>
      </c>
      <c r="H46" s="302">
        <f>+plant!Z57/1000000</f>
        <v>0</v>
      </c>
      <c r="I46" s="302">
        <f>+fishporn!I52/1000000</f>
        <v>0</v>
      </c>
      <c r="J46" s="302">
        <f>+' prawnporn'!K52/1000000</f>
        <v>0</v>
      </c>
    </row>
    <row r="47" spans="1:10" x14ac:dyDescent="0.15">
      <c r="A47" s="217">
        <f t="shared" si="3"/>
        <v>43</v>
      </c>
      <c r="B47" s="223" t="s">
        <v>551</v>
      </c>
      <c r="C47" s="302">
        <f t="shared" si="2"/>
        <v>2.1169991070967744</v>
      </c>
      <c r="D47" s="302">
        <f>+paddy_Dry!AJ69/1000000</f>
        <v>0</v>
      </c>
      <c r="E47" s="302">
        <f>+paddy_rain!AJ69/1000000</f>
        <v>2.1148374709677422</v>
      </c>
      <c r="F47" s="302">
        <f>+upland_dry!AJ69/1000000</f>
        <v>0</v>
      </c>
      <c r="G47" s="302">
        <f>+upland_rain!AJ69/1000000</f>
        <v>2.1616361290322577E-3</v>
      </c>
      <c r="H47" s="302">
        <f>+plant!Z58/1000000</f>
        <v>0</v>
      </c>
      <c r="I47" s="302">
        <f>+fishporn!I53/1000000</f>
        <v>0</v>
      </c>
      <c r="J47" s="302">
        <f>+' prawnporn'!K53/1000000</f>
        <v>0</v>
      </c>
    </row>
    <row r="48" spans="1:10" x14ac:dyDescent="0.15">
      <c r="A48" s="217">
        <f t="shared" si="3"/>
        <v>44</v>
      </c>
      <c r="B48" s="223" t="s">
        <v>552</v>
      </c>
      <c r="C48" s="302">
        <f t="shared" si="2"/>
        <v>3.9849687359999995</v>
      </c>
      <c r="D48" s="302">
        <f>+paddy_Dry!AJ70/1000000</f>
        <v>0</v>
      </c>
      <c r="E48" s="302">
        <f>+paddy_rain!AJ70/1000000</f>
        <v>3.981401834666666</v>
      </c>
      <c r="F48" s="302">
        <f>+upland_dry!AJ70/1000000</f>
        <v>0</v>
      </c>
      <c r="G48" s="302">
        <f>+upland_rain!AJ70/1000000</f>
        <v>3.5669013333333331E-3</v>
      </c>
      <c r="H48" s="302">
        <f>+plant!Z59/1000000</f>
        <v>0</v>
      </c>
      <c r="I48" s="302">
        <f>+fishporn!I54/1000000</f>
        <v>0</v>
      </c>
      <c r="J48" s="302">
        <f>+' prawnporn'!K54/1000000</f>
        <v>0</v>
      </c>
    </row>
    <row r="49" spans="1:10" x14ac:dyDescent="0.15">
      <c r="A49" s="217">
        <f t="shared" si="3"/>
        <v>45</v>
      </c>
      <c r="B49" s="223" t="s">
        <v>553</v>
      </c>
      <c r="C49" s="302">
        <f t="shared" si="2"/>
        <v>3.9849687359999995</v>
      </c>
      <c r="D49" s="302">
        <f>+paddy_Dry!AJ71/1000000</f>
        <v>0</v>
      </c>
      <c r="E49" s="302">
        <f>+paddy_rain!AJ71/1000000</f>
        <v>3.981401834666666</v>
      </c>
      <c r="F49" s="302">
        <f>+upland_dry!AJ71/1000000</f>
        <v>0</v>
      </c>
      <c r="G49" s="302">
        <f>+upland_rain!AJ71/1000000</f>
        <v>3.5669013333333331E-3</v>
      </c>
      <c r="H49" s="302">
        <f>+plant!Z60/1000000</f>
        <v>0</v>
      </c>
      <c r="I49" s="302">
        <f>+fishporn!I55/1000000</f>
        <v>0</v>
      </c>
      <c r="J49" s="302">
        <f>+' prawnporn'!K55/1000000</f>
        <v>0</v>
      </c>
    </row>
    <row r="50" spans="1:10" x14ac:dyDescent="0.15">
      <c r="A50" s="217">
        <f t="shared" si="3"/>
        <v>46</v>
      </c>
      <c r="B50" s="223" t="s">
        <v>554</v>
      </c>
      <c r="C50" s="302">
        <f t="shared" si="2"/>
        <v>3.9849687359999995</v>
      </c>
      <c r="D50" s="302">
        <f>+paddy_Dry!AJ72/1000000</f>
        <v>0</v>
      </c>
      <c r="E50" s="302">
        <f>+paddy_rain!AJ72/1000000</f>
        <v>3.981401834666666</v>
      </c>
      <c r="F50" s="302">
        <f>+upland_dry!AJ72/1000000</f>
        <v>0</v>
      </c>
      <c r="G50" s="302">
        <f>+upland_rain!AJ72/1000000</f>
        <v>3.5669013333333331E-3</v>
      </c>
      <c r="H50" s="302">
        <f>+plant!Z61/1000000</f>
        <v>0</v>
      </c>
      <c r="I50" s="302">
        <f>+fishporn!I56/1000000</f>
        <v>0</v>
      </c>
      <c r="J50" s="302">
        <f>+' prawnporn'!K56/1000000</f>
        <v>0</v>
      </c>
    </row>
    <row r="51" spans="1:10" x14ac:dyDescent="0.15">
      <c r="A51" s="217">
        <f t="shared" si="3"/>
        <v>47</v>
      </c>
      <c r="B51" s="223" t="s">
        <v>555</v>
      </c>
      <c r="C51" s="302">
        <f t="shared" si="2"/>
        <v>3.9849687359999995</v>
      </c>
      <c r="D51" s="302">
        <f>+paddy_Dry!AJ73/1000000</f>
        <v>0</v>
      </c>
      <c r="E51" s="302">
        <f>+paddy_rain!AJ73/1000000</f>
        <v>3.981401834666666</v>
      </c>
      <c r="F51" s="302">
        <f>+upland_dry!AJ73/1000000</f>
        <v>0</v>
      </c>
      <c r="G51" s="302">
        <f>+upland_rain!AJ73/1000000</f>
        <v>3.5669013333333331E-3</v>
      </c>
      <c r="H51" s="302">
        <f>+plant!Z62/1000000</f>
        <v>0</v>
      </c>
      <c r="I51" s="302">
        <f>+fishporn!I57/1000000</f>
        <v>0</v>
      </c>
      <c r="J51" s="302">
        <f>+' prawnporn'!K57/1000000</f>
        <v>0</v>
      </c>
    </row>
    <row r="52" spans="1:10" x14ac:dyDescent="0.15">
      <c r="A52" s="217">
        <f t="shared" si="3"/>
        <v>48</v>
      </c>
      <c r="B52" s="223" t="s">
        <v>556</v>
      </c>
      <c r="C52" s="302">
        <f t="shared" si="2"/>
        <v>2.5150018012903224</v>
      </c>
      <c r="D52" s="302">
        <f>+paddy_Dry!AJ74/1000000</f>
        <v>0</v>
      </c>
      <c r="E52" s="302">
        <f>+paddy_rain!AJ74/1000000</f>
        <v>2.5130217135483868</v>
      </c>
      <c r="F52" s="302">
        <f>+upland_dry!AJ74/1000000</f>
        <v>0</v>
      </c>
      <c r="G52" s="302">
        <f>+upland_rain!AJ74/1000000</f>
        <v>1.9800877419354837E-3</v>
      </c>
      <c r="H52" s="302">
        <f>+plant!Z63/1000000</f>
        <v>0</v>
      </c>
      <c r="I52" s="302">
        <f>+fishporn!I58/1000000</f>
        <v>0</v>
      </c>
      <c r="J52" s="302">
        <f>+' prawnporn'!K58/1000000</f>
        <v>0</v>
      </c>
    </row>
    <row r="53" spans="1:10" x14ac:dyDescent="0.15">
      <c r="A53" s="217">
        <f t="shared" si="3"/>
        <v>49</v>
      </c>
      <c r="B53" s="223" t="s">
        <v>557</v>
      </c>
      <c r="C53" s="302">
        <f t="shared" si="2"/>
        <v>1.9753706270967746</v>
      </c>
      <c r="D53" s="302">
        <f>+paddy_Dry!AJ75/1000000</f>
        <v>0</v>
      </c>
      <c r="E53" s="302">
        <f>+paddy_rain!AJ75/1000000</f>
        <v>1.973390539354839</v>
      </c>
      <c r="F53" s="302">
        <f>+upland_dry!AJ75/1000000</f>
        <v>0</v>
      </c>
      <c r="G53" s="302">
        <f>+upland_rain!AJ75/1000000</f>
        <v>1.9800877419354837E-3</v>
      </c>
      <c r="H53" s="302">
        <f>+plant!Z64/1000000</f>
        <v>0</v>
      </c>
      <c r="I53" s="302">
        <f>+fishporn!I59/1000000</f>
        <v>0</v>
      </c>
      <c r="J53" s="302">
        <f>+' prawnporn'!K59/1000000</f>
        <v>0</v>
      </c>
    </row>
    <row r="54" spans="1:10" x14ac:dyDescent="0.15">
      <c r="A54" s="217">
        <f t="shared" si="3"/>
        <v>50</v>
      </c>
      <c r="B54" s="223" t="s">
        <v>558</v>
      </c>
      <c r="C54" s="302">
        <f t="shared" si="2"/>
        <v>1.4021086709677417</v>
      </c>
      <c r="D54" s="302">
        <f>+paddy_Dry!AJ76/1000000</f>
        <v>0</v>
      </c>
      <c r="E54" s="302">
        <f>+paddy_rain!AJ76/1000000</f>
        <v>1.4001285832258061</v>
      </c>
      <c r="F54" s="302">
        <f>+upland_dry!AJ76/1000000</f>
        <v>0</v>
      </c>
      <c r="G54" s="302">
        <f>+upland_rain!AJ76/1000000</f>
        <v>1.9800877419354837E-3</v>
      </c>
      <c r="H54" s="302">
        <f>+plant!Z65/1000000</f>
        <v>0</v>
      </c>
      <c r="I54" s="302">
        <f>+fishporn!I60/1000000</f>
        <v>0</v>
      </c>
      <c r="J54" s="302">
        <f>+' prawnporn'!K60/1000000</f>
        <v>0</v>
      </c>
    </row>
    <row r="55" spans="1:10" x14ac:dyDescent="0.15">
      <c r="A55" s="217">
        <f t="shared" si="3"/>
        <v>51</v>
      </c>
      <c r="B55" s="223" t="s">
        <v>559</v>
      </c>
      <c r="C55" s="302">
        <f t="shared" si="2"/>
        <v>0.71520544516129025</v>
      </c>
      <c r="D55" s="302">
        <f>+paddy_Dry!AJ77/1000000</f>
        <v>0</v>
      </c>
      <c r="E55" s="302">
        <f>+paddy_rain!AJ77/1000000</f>
        <v>0.71322535741935478</v>
      </c>
      <c r="F55" s="302">
        <f>+upland_dry!AJ77/1000000</f>
        <v>0</v>
      </c>
      <c r="G55" s="302">
        <f>+upland_rain!AJ77/1000000</f>
        <v>1.9800877419354837E-3</v>
      </c>
      <c r="H55" s="302">
        <f>+plant!Z66/1000000</f>
        <v>0</v>
      </c>
      <c r="I55" s="302">
        <f>+fishporn!I61/1000000</f>
        <v>0</v>
      </c>
      <c r="J55" s="302">
        <f>+' prawnporn'!K61/1000000</f>
        <v>0</v>
      </c>
    </row>
    <row r="56" spans="1:10" x14ac:dyDescent="0.15">
      <c r="A56" s="182">
        <f t="shared" si="3"/>
        <v>52</v>
      </c>
      <c r="B56" s="304" t="s">
        <v>560</v>
      </c>
      <c r="C56" s="302">
        <f t="shared" si="2"/>
        <v>1.9800877419354837E-3</v>
      </c>
      <c r="D56" s="302">
        <f>+paddy_Dry!AJ78/1000000</f>
        <v>0</v>
      </c>
      <c r="E56" s="302">
        <f>+paddy_rain!AJ78/1000000</f>
        <v>0</v>
      </c>
      <c r="F56" s="302">
        <f>+upland_dry!AJ78/1000000</f>
        <v>0</v>
      </c>
      <c r="G56" s="302">
        <f>+upland_rain!AJ78/1000000</f>
        <v>1.9800877419354837E-3</v>
      </c>
      <c r="H56" s="302">
        <f>+plant!Z67/1000000</f>
        <v>0</v>
      </c>
      <c r="I56" s="302">
        <f>+fishporn!I62/1000000</f>
        <v>0</v>
      </c>
      <c r="J56" s="302">
        <f>+' prawnporn'!K62/1000000</f>
        <v>0</v>
      </c>
    </row>
    <row r="57" spans="1:10" x14ac:dyDescent="0.15">
      <c r="A57" s="817" t="s">
        <v>462</v>
      </c>
      <c r="B57" s="817"/>
      <c r="C57" s="305">
        <f t="shared" ref="C57:J57" si="4">SUM(C5:C56)</f>
        <v>35.8323000678472</v>
      </c>
      <c r="D57" s="305">
        <f t="shared" si="4"/>
        <v>0</v>
      </c>
      <c r="E57" s="305">
        <f t="shared" si="4"/>
        <v>35.789157609634408</v>
      </c>
      <c r="F57" s="305">
        <f t="shared" si="4"/>
        <v>0</v>
      </c>
      <c r="G57" s="305">
        <f t="shared" si="4"/>
        <v>4.3142458212796296E-2</v>
      </c>
      <c r="H57" s="305">
        <f t="shared" si="4"/>
        <v>0</v>
      </c>
      <c r="I57" s="305">
        <f t="shared" si="4"/>
        <v>0</v>
      </c>
      <c r="J57" s="305">
        <f t="shared" si="4"/>
        <v>0</v>
      </c>
    </row>
    <row r="58" spans="1:10" x14ac:dyDescent="0.15">
      <c r="A58" s="210" t="s">
        <v>431</v>
      </c>
      <c r="B58" s="218"/>
    </row>
    <row r="59" spans="1:10" x14ac:dyDescent="0.15">
      <c r="A59" s="210"/>
      <c r="B59" s="219" t="s">
        <v>490</v>
      </c>
    </row>
    <row r="60" spans="1:10" x14ac:dyDescent="0.15">
      <c r="B60" s="177" t="s">
        <v>491</v>
      </c>
    </row>
    <row r="61" spans="1:10" x14ac:dyDescent="0.15">
      <c r="A61" s="210"/>
      <c r="B61" s="219" t="s">
        <v>492</v>
      </c>
    </row>
    <row r="62" spans="1:10" x14ac:dyDescent="0.15">
      <c r="B62" s="177" t="s">
        <v>493</v>
      </c>
    </row>
    <row r="63" spans="1:10" x14ac:dyDescent="0.15">
      <c r="B63" s="220" t="s">
        <v>494</v>
      </c>
    </row>
  </sheetData>
  <sheetProtection password="DD72" sheet="1" objects="1" scenarios="1"/>
  <mergeCells count="2">
    <mergeCell ref="A1:H1"/>
    <mergeCell ref="A57:B57"/>
  </mergeCells>
  <phoneticPr fontId="30" type="noConversion"/>
  <pageMargins left="0.3" right="0.17" top="0.61" bottom="1" header="0.22" footer="0.5"/>
  <pageSetup paperSize="9" orientation="portrait"/>
  <headerFooter alignWithMargins="0">
    <oddHeader>&amp;R/</oddHeader>
    <oddFooter>&amp;L&amp;Z&amp;F&amp;A&amp;C&amp;P/&amp;N&amp;R&amp;D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DDFA7-D3EC-684D-A861-7221AEEFBD81}">
  <sheetPr codeName="Sheet15">
    <tabColor indexed="44"/>
  </sheetPr>
  <dimension ref="A1:I14"/>
  <sheetViews>
    <sheetView topLeftCell="A2" workbookViewId="0">
      <selection activeCell="C2" sqref="C2"/>
    </sheetView>
  </sheetViews>
  <sheetFormatPr baseColWidth="10" defaultColWidth="9.1640625" defaultRowHeight="13" x14ac:dyDescent="0.15"/>
  <cols>
    <col min="1" max="1" width="12.6640625" style="177" customWidth="1"/>
    <col min="2" max="16384" width="9.1640625" style="177"/>
  </cols>
  <sheetData>
    <row r="1" spans="1:9" x14ac:dyDescent="0.15">
      <c r="A1" s="177" t="str">
        <f>+fill_data!C4</f>
        <v>นครราชสีมา</v>
      </c>
      <c r="B1" s="221" t="s">
        <v>495</v>
      </c>
      <c r="G1" s="313" t="s">
        <v>609</v>
      </c>
    </row>
    <row r="2" spans="1:9" x14ac:dyDescent="0.15">
      <c r="A2" s="177">
        <v>1</v>
      </c>
      <c r="B2" s="177" t="s">
        <v>496</v>
      </c>
      <c r="C2" s="177">
        <f>VLOOKUP($A$1,[0]!ฝนใช้การข้าว,A2+1,FALSE)</f>
        <v>4.5999999999999996</v>
      </c>
      <c r="D2" s="177">
        <f>+C2/31</f>
        <v>0.14838709677419354</v>
      </c>
      <c r="F2" s="177">
        <v>1</v>
      </c>
      <c r="G2" s="177" t="s">
        <v>496</v>
      </c>
      <c r="H2" s="177">
        <f>VLOOKUP($A$1,[0]!ฝนใช้การพืชไร่,F2+1,FALSE)</f>
        <v>4.5999999999999996</v>
      </c>
      <c r="I2" s="177">
        <f>+H2/31</f>
        <v>0.14838709677419354</v>
      </c>
    </row>
    <row r="3" spans="1:9" x14ac:dyDescent="0.15">
      <c r="A3" s="177">
        <v>2</v>
      </c>
      <c r="B3" s="177" t="s">
        <v>497</v>
      </c>
      <c r="C3" s="177">
        <f>VLOOKUP($A$1,[0]!ฝนใช้การข้าว,A3+1,FALSE)</f>
        <v>20.5</v>
      </c>
      <c r="D3" s="177">
        <f>+C3/28</f>
        <v>0.7321428571428571</v>
      </c>
      <c r="F3" s="177">
        <v>2</v>
      </c>
      <c r="G3" s="177" t="s">
        <v>497</v>
      </c>
      <c r="H3" s="177">
        <f>VLOOKUP($A$1,[0]!ฝนใช้การพืชไร่,F3+1,FALSE)</f>
        <v>16.5</v>
      </c>
      <c r="I3" s="177">
        <f>+H3/28</f>
        <v>0.5892857142857143</v>
      </c>
    </row>
    <row r="4" spans="1:9" x14ac:dyDescent="0.15">
      <c r="A4" s="177">
        <v>3</v>
      </c>
      <c r="B4" s="177" t="s">
        <v>498</v>
      </c>
      <c r="C4" s="177">
        <f>VLOOKUP($A$1,[0]!ฝนใช้การข้าว,A4+1,FALSE)</f>
        <v>41.6</v>
      </c>
      <c r="D4" s="177">
        <f>+C4/31</f>
        <v>1.3419354838709678</v>
      </c>
      <c r="F4" s="177">
        <v>3</v>
      </c>
      <c r="G4" s="177" t="s">
        <v>498</v>
      </c>
      <c r="H4" s="177">
        <f>VLOOKUP($A$1,[0]!ฝนใช้การพืชไร่,F4+1,FALSE)</f>
        <v>31.3</v>
      </c>
      <c r="I4" s="177">
        <f>+H4/31</f>
        <v>1.0096774193548388</v>
      </c>
    </row>
    <row r="5" spans="1:9" x14ac:dyDescent="0.15">
      <c r="A5" s="177">
        <v>4</v>
      </c>
      <c r="B5" s="177" t="s">
        <v>499</v>
      </c>
      <c r="C5" s="177">
        <f>VLOOKUP($A$1,[0]!ฝนใช้การข้าว,A5+1,FALSE)</f>
        <v>65.8</v>
      </c>
      <c r="D5" s="177">
        <f>+C5/30</f>
        <v>2.1933333333333334</v>
      </c>
      <c r="F5" s="177">
        <v>4</v>
      </c>
      <c r="G5" s="177" t="s">
        <v>499</v>
      </c>
      <c r="H5" s="177">
        <f>VLOOKUP($A$1,[0]!ฝนใช้การพืชไร่,F5+1,FALSE)</f>
        <v>42.3</v>
      </c>
      <c r="I5" s="177">
        <f>+H5/30</f>
        <v>1.41</v>
      </c>
    </row>
    <row r="6" spans="1:9" x14ac:dyDescent="0.15">
      <c r="A6" s="177">
        <v>5</v>
      </c>
      <c r="B6" s="177" t="s">
        <v>500</v>
      </c>
      <c r="C6" s="177">
        <f>VLOOKUP($A$1,[0]!ฝนใช้การข้าว,A6+1,FALSE)</f>
        <v>152.1</v>
      </c>
      <c r="D6" s="177">
        <f>+C6/31</f>
        <v>4.9064516129032256</v>
      </c>
      <c r="F6" s="177">
        <v>5</v>
      </c>
      <c r="G6" s="177" t="s">
        <v>500</v>
      </c>
      <c r="H6" s="177">
        <f>VLOOKUP($A$1,[0]!ฝนใช้การพืชไร่,F6+1,FALSE)</f>
        <v>67.622837837837835</v>
      </c>
      <c r="I6" s="177">
        <f>+H6/31</f>
        <v>2.1813818657367046</v>
      </c>
    </row>
    <row r="7" spans="1:9" x14ac:dyDescent="0.15">
      <c r="A7" s="177">
        <v>6</v>
      </c>
      <c r="B7" s="177" t="s">
        <v>501</v>
      </c>
      <c r="C7" s="177">
        <f>VLOOKUP($A$1,[0]!ฝนใช้การข้าว,A7+1,FALSE)</f>
        <v>104.5</v>
      </c>
      <c r="D7" s="177">
        <f>+C7/30</f>
        <v>3.4833333333333334</v>
      </c>
      <c r="F7" s="177">
        <v>6</v>
      </c>
      <c r="G7" s="177" t="s">
        <v>501</v>
      </c>
      <c r="H7" s="177">
        <f>VLOOKUP($A$1,[0]!ฝนใช้การพืชไร่,F7+1,FALSE)</f>
        <v>46.460135135135133</v>
      </c>
      <c r="I7" s="177">
        <f>+H7/30</f>
        <v>1.5486711711711711</v>
      </c>
    </row>
    <row r="8" spans="1:9" x14ac:dyDescent="0.15">
      <c r="A8" s="177">
        <v>7</v>
      </c>
      <c r="B8" s="177" t="s">
        <v>502</v>
      </c>
      <c r="C8" s="177">
        <f>VLOOKUP($A$1,[0]!ฝนใช้การข้าว,A8+1,FALSE)</f>
        <v>122.5</v>
      </c>
      <c r="D8" s="177">
        <f>+C8/31</f>
        <v>3.9516129032258065</v>
      </c>
      <c r="F8" s="177">
        <v>7</v>
      </c>
      <c r="G8" s="177" t="s">
        <v>502</v>
      </c>
      <c r="H8" s="177">
        <f>VLOOKUP($A$1,[0]!ฝนใช้การพืชไร่,F8+1,FALSE)</f>
        <v>74.5</v>
      </c>
      <c r="I8" s="177">
        <f>+H8/31</f>
        <v>2.403225806451613</v>
      </c>
    </row>
    <row r="9" spans="1:9" x14ac:dyDescent="0.15">
      <c r="A9" s="177">
        <v>8</v>
      </c>
      <c r="B9" s="177" t="s">
        <v>503</v>
      </c>
      <c r="C9" s="177">
        <f>VLOOKUP($A$1,[0]!ฝนใช้การข้าว,A9+1,FALSE)</f>
        <v>128</v>
      </c>
      <c r="D9" s="177">
        <f>+C9/31</f>
        <v>4.129032258064516</v>
      </c>
      <c r="F9" s="177">
        <v>8</v>
      </c>
      <c r="G9" s="177" t="s">
        <v>503</v>
      </c>
      <c r="H9" s="177">
        <f>VLOOKUP($A$1,[0]!ฝนใช้การพืชไร่,F9+1,FALSE)</f>
        <v>89.3</v>
      </c>
      <c r="I9" s="177">
        <f>+H9/31</f>
        <v>2.8806451612903223</v>
      </c>
    </row>
    <row r="10" spans="1:9" x14ac:dyDescent="0.15">
      <c r="A10" s="177">
        <v>9</v>
      </c>
      <c r="B10" s="177" t="s">
        <v>504</v>
      </c>
      <c r="C10" s="177">
        <f>VLOOKUP($A$1,[0]!ฝนใช้การข้าว,A10+1,FALSE)</f>
        <v>233.2</v>
      </c>
      <c r="D10" s="177">
        <f>+C10/30</f>
        <v>7.7733333333333325</v>
      </c>
      <c r="F10" s="177">
        <v>9</v>
      </c>
      <c r="G10" s="177" t="s">
        <v>504</v>
      </c>
      <c r="H10" s="177">
        <f>VLOOKUP($A$1,[0]!ฝนใช้การพืชไร่,F10+1,FALSE)</f>
        <v>142.6</v>
      </c>
      <c r="I10" s="177">
        <f>+H10/30</f>
        <v>4.753333333333333</v>
      </c>
    </row>
    <row r="11" spans="1:9" x14ac:dyDescent="0.15">
      <c r="A11" s="177">
        <v>10</v>
      </c>
      <c r="B11" s="177" t="s">
        <v>505</v>
      </c>
      <c r="C11" s="177">
        <f>VLOOKUP($A$1,[0]!ฝนใช้การข้าว,A11+1,FALSE)</f>
        <v>152.1</v>
      </c>
      <c r="D11" s="177">
        <f>+C11/31</f>
        <v>4.9064516129032256</v>
      </c>
      <c r="F11" s="177">
        <v>10</v>
      </c>
      <c r="G11" s="177" t="s">
        <v>505</v>
      </c>
      <c r="H11" s="177">
        <f>VLOOKUP($A$1,[0]!ฝนใช้การพืชไร่,F11+1,FALSE)</f>
        <v>81.8</v>
      </c>
      <c r="I11" s="177">
        <f>+H11/31</f>
        <v>2.6387096774193548</v>
      </c>
    </row>
    <row r="12" spans="1:9" x14ac:dyDescent="0.15">
      <c r="A12" s="177">
        <v>11</v>
      </c>
      <c r="B12" s="177" t="s">
        <v>506</v>
      </c>
      <c r="C12" s="177">
        <f>VLOOKUP($A$1,[0]!ฝนใช้การข้าว,A12+1,FALSE)</f>
        <v>31</v>
      </c>
      <c r="D12" s="177">
        <f>+C12/30</f>
        <v>1.0333333333333334</v>
      </c>
      <c r="F12" s="177">
        <v>11</v>
      </c>
      <c r="G12" s="177" t="s">
        <v>506</v>
      </c>
      <c r="H12" s="177">
        <f>VLOOKUP($A$1,[0]!ฝนใช้การพืชไร่,F12+1,FALSE)</f>
        <v>21.408839779005522</v>
      </c>
      <c r="I12" s="177">
        <f>+H12/30</f>
        <v>0.71362799263351739</v>
      </c>
    </row>
    <row r="13" spans="1:9" x14ac:dyDescent="0.15">
      <c r="A13" s="177">
        <v>12</v>
      </c>
      <c r="B13" s="177" t="s">
        <v>507</v>
      </c>
      <c r="C13" s="177">
        <f>VLOOKUP($A$1,[0]!ฝนใช้การข้าว,A13+1,FALSE)</f>
        <v>3.6</v>
      </c>
      <c r="D13" s="177">
        <f>+C13/31</f>
        <v>0.11612903225806452</v>
      </c>
      <c r="F13" s="177">
        <v>12</v>
      </c>
      <c r="G13" s="177" t="s">
        <v>507</v>
      </c>
      <c r="H13" s="177">
        <f>VLOOKUP($A$1,[0]!ฝนใช้การพืชไร่,F13+1,FALSE)</f>
        <v>3.6</v>
      </c>
      <c r="I13" s="177">
        <f>+H13/31</f>
        <v>0.11612903225806452</v>
      </c>
    </row>
    <row r="14" spans="1:9" x14ac:dyDescent="0.15">
      <c r="B14" s="177" t="s">
        <v>415</v>
      </c>
      <c r="C14" s="177">
        <f>SUM(C2:C13)</f>
        <v>1059.4999999999998</v>
      </c>
      <c r="G14" s="177" t="s">
        <v>415</v>
      </c>
      <c r="H14" s="177">
        <f>SUM(H2:H13)</f>
        <v>621.9918127519785</v>
      </c>
    </row>
  </sheetData>
  <phoneticPr fontId="30" type="noConversion"/>
  <pageMargins left="0.74803149606299213" right="0.74803149606299213" top="0.98425196850393704" bottom="0.98425196850393704" header="0.51181102362204722" footer="0.51181102362204722"/>
  <pageSetup paperSize="9" orientation="portrait"/>
  <headerFooter alignWithMargins="0">
    <oddFooter>&amp;L&amp;Z&amp;F&amp;A&amp;C&amp;P/&amp;N&amp;R&amp;D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CC91F-568A-AB4D-8693-AFAC4F5CF2ED}">
  <sheetPr codeName="Sheet20">
    <tabColor indexed="31"/>
  </sheetPr>
  <dimension ref="A1:AC78"/>
  <sheetViews>
    <sheetView workbookViewId="0">
      <pane xSplit="1" ySplit="2" topLeftCell="E42" activePane="bottomRight" state="frozen"/>
      <selection activeCell="N78" sqref="A1:N78"/>
      <selection pane="topRight" activeCell="N78" sqref="A1:N78"/>
      <selection pane="bottomLeft" activeCell="N78" sqref="A1:N78"/>
      <selection pane="bottomRight" activeCell="N93" sqref="N93"/>
    </sheetView>
  </sheetViews>
  <sheetFormatPr baseColWidth="10" defaultColWidth="9.1640625" defaultRowHeight="13" x14ac:dyDescent="0.15"/>
  <cols>
    <col min="1" max="1" width="13.6640625" style="282" customWidth="1"/>
    <col min="2" max="10" width="9.1640625" style="273"/>
    <col min="11" max="11" width="6.33203125" style="273" customWidth="1"/>
    <col min="12" max="12" width="9.1640625" style="273"/>
    <col min="13" max="13" width="7.83203125" style="273" customWidth="1"/>
    <col min="14" max="14" width="8.5" style="273" customWidth="1"/>
    <col min="15" max="15" width="9.1640625" style="273"/>
    <col min="16" max="16" width="13.5" style="273" bestFit="1" customWidth="1"/>
    <col min="17" max="16384" width="9.1640625" style="273"/>
  </cols>
  <sheetData>
    <row r="1" spans="1:29" x14ac:dyDescent="0.15">
      <c r="A1" s="839" t="s">
        <v>108</v>
      </c>
      <c r="B1" s="841" t="s">
        <v>495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3"/>
      <c r="P1" s="844" t="s">
        <v>108</v>
      </c>
      <c r="Q1" s="846" t="s">
        <v>609</v>
      </c>
      <c r="R1" s="842"/>
      <c r="S1" s="842"/>
      <c r="T1" s="842"/>
      <c r="U1" s="842"/>
      <c r="V1" s="842"/>
      <c r="W1" s="842"/>
      <c r="X1" s="842"/>
      <c r="Y1" s="842"/>
      <c r="Z1" s="842"/>
      <c r="AA1" s="842"/>
      <c r="AB1" s="842"/>
      <c r="AC1" s="843"/>
    </row>
    <row r="2" spans="1:29" x14ac:dyDescent="0.15">
      <c r="A2" s="840"/>
      <c r="B2" s="274" t="s">
        <v>496</v>
      </c>
      <c r="C2" s="274" t="s">
        <v>497</v>
      </c>
      <c r="D2" s="274" t="s">
        <v>498</v>
      </c>
      <c r="E2" s="274" t="s">
        <v>499</v>
      </c>
      <c r="F2" s="274" t="s">
        <v>500</v>
      </c>
      <c r="G2" s="274" t="s">
        <v>501</v>
      </c>
      <c r="H2" s="274" t="s">
        <v>502</v>
      </c>
      <c r="I2" s="274" t="s">
        <v>503</v>
      </c>
      <c r="J2" s="274" t="s">
        <v>504</v>
      </c>
      <c r="K2" s="274" t="s">
        <v>505</v>
      </c>
      <c r="L2" s="274" t="s">
        <v>506</v>
      </c>
      <c r="M2" s="274" t="s">
        <v>507</v>
      </c>
      <c r="N2" s="274" t="s">
        <v>415</v>
      </c>
      <c r="P2" s="845"/>
      <c r="Q2" s="274" t="s">
        <v>496</v>
      </c>
      <c r="R2" s="274" t="s">
        <v>497</v>
      </c>
      <c r="S2" s="274" t="s">
        <v>498</v>
      </c>
      <c r="T2" s="274" t="s">
        <v>499</v>
      </c>
      <c r="U2" s="274" t="s">
        <v>500</v>
      </c>
      <c r="V2" s="274" t="s">
        <v>501</v>
      </c>
      <c r="W2" s="274" t="s">
        <v>502</v>
      </c>
      <c r="X2" s="274" t="s">
        <v>503</v>
      </c>
      <c r="Y2" s="274" t="s">
        <v>504</v>
      </c>
      <c r="Z2" s="274" t="s">
        <v>505</v>
      </c>
      <c r="AA2" s="274" t="s">
        <v>506</v>
      </c>
      <c r="AB2" s="274" t="s">
        <v>507</v>
      </c>
      <c r="AC2" s="274" t="s">
        <v>415</v>
      </c>
    </row>
    <row r="3" spans="1:29" x14ac:dyDescent="0.15">
      <c r="A3" s="278" t="s">
        <v>33</v>
      </c>
      <c r="B3" s="275">
        <v>0.8</v>
      </c>
      <c r="C3" s="275">
        <v>14</v>
      </c>
      <c r="D3" s="275">
        <v>18.100000000000001</v>
      </c>
      <c r="E3" s="275">
        <v>41.3</v>
      </c>
      <c r="F3" s="275">
        <v>200</v>
      </c>
      <c r="G3" s="275">
        <v>170.1</v>
      </c>
      <c r="H3" s="275">
        <v>148.4</v>
      </c>
      <c r="I3" s="275">
        <v>155.69999999999999</v>
      </c>
      <c r="J3" s="275">
        <v>252.3</v>
      </c>
      <c r="K3" s="275">
        <v>208.9</v>
      </c>
      <c r="L3" s="275">
        <v>66.5</v>
      </c>
      <c r="M3" s="275">
        <v>2</v>
      </c>
      <c r="N3" s="334">
        <v>1278.0999999999999</v>
      </c>
      <c r="P3" s="275" t="s">
        <v>33</v>
      </c>
      <c r="Q3" s="307">
        <v>0.8</v>
      </c>
      <c r="R3" s="307">
        <v>11.5</v>
      </c>
      <c r="S3" s="307">
        <v>12.5</v>
      </c>
      <c r="T3" s="307">
        <v>29.1</v>
      </c>
      <c r="U3" s="307">
        <v>88.918918918918905</v>
      </c>
      <c r="V3" s="307">
        <v>75.625540540540527</v>
      </c>
      <c r="W3" s="307">
        <v>65.8</v>
      </c>
      <c r="X3" s="307">
        <v>98.1</v>
      </c>
      <c r="Y3" s="307">
        <v>106.9</v>
      </c>
      <c r="Z3" s="307">
        <v>61.4</v>
      </c>
      <c r="AA3" s="308">
        <v>45.925414364640879</v>
      </c>
      <c r="AB3" s="307">
        <v>2</v>
      </c>
      <c r="AC3" s="307">
        <f t="shared" ref="AC3:AC66" si="0">SUM(Q3:AB3)</f>
        <v>598.56987382410034</v>
      </c>
    </row>
    <row r="4" spans="1:29" x14ac:dyDescent="0.15">
      <c r="A4" s="280" t="s">
        <v>15</v>
      </c>
      <c r="B4" s="276">
        <v>12.2</v>
      </c>
      <c r="C4" s="276">
        <v>7.8</v>
      </c>
      <c r="D4" s="276">
        <v>19.100000000000001</v>
      </c>
      <c r="E4" s="276">
        <v>89.8</v>
      </c>
      <c r="F4" s="276">
        <v>202.9</v>
      </c>
      <c r="G4" s="276">
        <v>208.4</v>
      </c>
      <c r="H4" s="276">
        <v>273.7</v>
      </c>
      <c r="I4" s="276">
        <v>305</v>
      </c>
      <c r="J4" s="276">
        <v>249.5</v>
      </c>
      <c r="K4" s="276">
        <v>142.4</v>
      </c>
      <c r="L4" s="276">
        <v>60.5</v>
      </c>
      <c r="M4" s="276">
        <v>24.6</v>
      </c>
      <c r="N4" s="335">
        <v>1595.9</v>
      </c>
      <c r="P4" s="276" t="s">
        <v>15</v>
      </c>
      <c r="Q4" s="309">
        <v>12.2</v>
      </c>
      <c r="R4" s="309">
        <v>7.8</v>
      </c>
      <c r="S4" s="309">
        <v>15.5</v>
      </c>
      <c r="T4" s="309">
        <v>56.8</v>
      </c>
      <c r="U4" s="309">
        <v>90.208243243243231</v>
      </c>
      <c r="V4" s="309">
        <v>92.653513513513502</v>
      </c>
      <c r="W4" s="309">
        <v>56.7</v>
      </c>
      <c r="X4" s="309">
        <v>102.8</v>
      </c>
      <c r="Y4" s="309">
        <v>92.1</v>
      </c>
      <c r="Z4" s="309">
        <v>52.8</v>
      </c>
      <c r="AA4" s="310">
        <v>41.781767955801101</v>
      </c>
      <c r="AB4" s="309">
        <v>24.6</v>
      </c>
      <c r="AC4" s="309">
        <f t="shared" si="0"/>
        <v>645.94352471255786</v>
      </c>
    </row>
    <row r="5" spans="1:29" x14ac:dyDescent="0.15">
      <c r="A5" s="280" t="s">
        <v>17</v>
      </c>
      <c r="B5" s="276">
        <v>6.9</v>
      </c>
      <c r="C5" s="276">
        <v>4.5999999999999996</v>
      </c>
      <c r="D5" s="276">
        <v>13</v>
      </c>
      <c r="E5" s="276">
        <v>50.1</v>
      </c>
      <c r="F5" s="276">
        <v>158.4</v>
      </c>
      <c r="G5" s="276">
        <v>131.6</v>
      </c>
      <c r="H5" s="276">
        <v>160.80000000000001</v>
      </c>
      <c r="I5" s="276">
        <v>227</v>
      </c>
      <c r="J5" s="276">
        <v>220.7</v>
      </c>
      <c r="K5" s="276">
        <v>121.9</v>
      </c>
      <c r="L5" s="276">
        <v>52.8</v>
      </c>
      <c r="M5" s="276">
        <v>19.8</v>
      </c>
      <c r="N5" s="335">
        <v>1167.5999999999999</v>
      </c>
      <c r="P5" s="276" t="s">
        <v>17</v>
      </c>
      <c r="Q5" s="309">
        <v>6.9</v>
      </c>
      <c r="R5" s="309">
        <v>4.5999999999999996</v>
      </c>
      <c r="S5" s="309">
        <v>13</v>
      </c>
      <c r="T5" s="309">
        <v>34.200000000000003</v>
      </c>
      <c r="U5" s="309">
        <v>70.423783783783776</v>
      </c>
      <c r="V5" s="309">
        <v>58.508648648648638</v>
      </c>
      <c r="W5" s="309">
        <v>75</v>
      </c>
      <c r="X5" s="309">
        <v>136</v>
      </c>
      <c r="Y5" s="309">
        <v>121.8</v>
      </c>
      <c r="Z5" s="309">
        <v>69.900000000000006</v>
      </c>
      <c r="AA5" s="310">
        <v>36.46408839779005</v>
      </c>
      <c r="AB5" s="309">
        <v>19.8</v>
      </c>
      <c r="AC5" s="309">
        <f t="shared" si="0"/>
        <v>646.5965208302224</v>
      </c>
    </row>
    <row r="6" spans="1:29" x14ac:dyDescent="0.15">
      <c r="A6" s="280" t="s">
        <v>25</v>
      </c>
      <c r="B6" s="276">
        <v>5.9</v>
      </c>
      <c r="C6" s="276">
        <v>4.7</v>
      </c>
      <c r="D6" s="276">
        <v>20.3</v>
      </c>
      <c r="E6" s="276">
        <v>35.6</v>
      </c>
      <c r="F6" s="276">
        <v>173.7</v>
      </c>
      <c r="G6" s="276">
        <v>113.8</v>
      </c>
      <c r="H6" s="276">
        <v>92.4</v>
      </c>
      <c r="I6" s="276">
        <v>115.8</v>
      </c>
      <c r="J6" s="276">
        <v>219.4</v>
      </c>
      <c r="K6" s="276">
        <v>206.7</v>
      </c>
      <c r="L6" s="276">
        <v>60.4</v>
      </c>
      <c r="M6" s="276">
        <v>5.8</v>
      </c>
      <c r="N6" s="335">
        <v>1054.5</v>
      </c>
      <c r="P6" s="276" t="s">
        <v>25</v>
      </c>
      <c r="Q6" s="309">
        <v>5.9</v>
      </c>
      <c r="R6" s="309">
        <v>4.7</v>
      </c>
      <c r="S6" s="309">
        <v>17.7</v>
      </c>
      <c r="T6" s="309">
        <v>24</v>
      </c>
      <c r="U6" s="309">
        <v>77.226081081081063</v>
      </c>
      <c r="V6" s="309">
        <v>50.59486486486486</v>
      </c>
      <c r="W6" s="309">
        <v>58.1</v>
      </c>
      <c r="X6" s="309">
        <v>80.599999999999994</v>
      </c>
      <c r="Y6" s="309">
        <v>130.69999999999999</v>
      </c>
      <c r="Z6" s="309">
        <v>75</v>
      </c>
      <c r="AA6" s="310">
        <v>41.712707182320436</v>
      </c>
      <c r="AB6" s="309">
        <v>5.8</v>
      </c>
      <c r="AC6" s="309">
        <f t="shared" si="0"/>
        <v>572.03365312826622</v>
      </c>
    </row>
    <row r="7" spans="1:29" x14ac:dyDescent="0.15">
      <c r="A7" s="280" t="s">
        <v>21</v>
      </c>
      <c r="B7" s="276">
        <v>8.1</v>
      </c>
      <c r="C7" s="276">
        <v>14.1</v>
      </c>
      <c r="D7" s="276">
        <v>27.5</v>
      </c>
      <c r="E7" s="276">
        <v>103.1</v>
      </c>
      <c r="F7" s="276">
        <v>175</v>
      </c>
      <c r="G7" s="276">
        <v>155.6</v>
      </c>
      <c r="H7" s="276">
        <v>205.4</v>
      </c>
      <c r="I7" s="276">
        <v>235.7</v>
      </c>
      <c r="J7" s="276">
        <v>204</v>
      </c>
      <c r="K7" s="276">
        <v>94.5</v>
      </c>
      <c r="L7" s="276">
        <v>19.100000000000001</v>
      </c>
      <c r="M7" s="276">
        <v>5.9</v>
      </c>
      <c r="N7" s="335">
        <v>1248</v>
      </c>
      <c r="P7" s="276" t="s">
        <v>610</v>
      </c>
      <c r="Q7" s="309">
        <v>8.1</v>
      </c>
      <c r="R7" s="309">
        <v>11</v>
      </c>
      <c r="S7" s="309">
        <v>17.2</v>
      </c>
      <c r="T7" s="309">
        <v>59.4</v>
      </c>
      <c r="U7" s="309">
        <v>77.804054054054049</v>
      </c>
      <c r="V7" s="309">
        <v>69.17891891891891</v>
      </c>
      <c r="W7" s="309">
        <v>58.5</v>
      </c>
      <c r="X7" s="309">
        <v>106.1</v>
      </c>
      <c r="Y7" s="309">
        <v>95</v>
      </c>
      <c r="Z7" s="309">
        <v>54.6</v>
      </c>
      <c r="AA7" s="310">
        <v>13.19060773480663</v>
      </c>
      <c r="AB7" s="309">
        <v>5.9</v>
      </c>
      <c r="AC7" s="309">
        <f t="shared" si="0"/>
        <v>575.97358070777955</v>
      </c>
    </row>
    <row r="8" spans="1:29" x14ac:dyDescent="0.15">
      <c r="A8" s="280" t="s">
        <v>16</v>
      </c>
      <c r="B8" s="276">
        <v>2.5</v>
      </c>
      <c r="C8" s="276">
        <v>6.2</v>
      </c>
      <c r="D8" s="276">
        <v>11.5</v>
      </c>
      <c r="E8" s="276">
        <v>104.9</v>
      </c>
      <c r="F8" s="276">
        <v>179.1</v>
      </c>
      <c r="G8" s="276">
        <v>99.1</v>
      </c>
      <c r="H8" s="276">
        <v>137.80000000000001</v>
      </c>
      <c r="I8" s="276">
        <v>163.6</v>
      </c>
      <c r="J8" s="276">
        <v>189.3</v>
      </c>
      <c r="K8" s="276">
        <v>116.5</v>
      </c>
      <c r="L8" s="276">
        <v>59.4</v>
      </c>
      <c r="M8" s="276">
        <v>4.3</v>
      </c>
      <c r="N8" s="335">
        <v>1074.2</v>
      </c>
      <c r="P8" s="276" t="s">
        <v>16</v>
      </c>
      <c r="Q8" s="309">
        <v>2.5</v>
      </c>
      <c r="R8" s="309">
        <v>6.2</v>
      </c>
      <c r="S8" s="309">
        <v>11.5</v>
      </c>
      <c r="T8" s="309">
        <v>64.400000000000006</v>
      </c>
      <c r="U8" s="309">
        <v>79.626891891891887</v>
      </c>
      <c r="V8" s="309">
        <v>44.059324324324315</v>
      </c>
      <c r="W8" s="309">
        <v>69.5</v>
      </c>
      <c r="X8" s="309">
        <v>107.3</v>
      </c>
      <c r="Y8" s="309">
        <v>112.9</v>
      </c>
      <c r="Z8" s="309">
        <v>64.8</v>
      </c>
      <c r="AA8" s="310">
        <v>41.022099447513803</v>
      </c>
      <c r="AB8" s="309">
        <v>4.3</v>
      </c>
      <c r="AC8" s="309">
        <f t="shared" si="0"/>
        <v>608.10831566372997</v>
      </c>
    </row>
    <row r="9" spans="1:29" x14ac:dyDescent="0.15">
      <c r="A9" s="280" t="s">
        <v>127</v>
      </c>
      <c r="B9" s="276">
        <v>6.8</v>
      </c>
      <c r="C9" s="276">
        <v>15.4</v>
      </c>
      <c r="D9" s="276">
        <v>22.3</v>
      </c>
      <c r="E9" s="276">
        <v>57</v>
      </c>
      <c r="F9" s="276">
        <v>151</v>
      </c>
      <c r="G9" s="276">
        <v>148.9</v>
      </c>
      <c r="H9" s="276">
        <v>167.5</v>
      </c>
      <c r="I9" s="276">
        <v>206.9</v>
      </c>
      <c r="J9" s="276">
        <v>247.3</v>
      </c>
      <c r="K9" s="276">
        <v>119.9</v>
      </c>
      <c r="L9" s="276">
        <v>24</v>
      </c>
      <c r="M9" s="276">
        <v>2.7</v>
      </c>
      <c r="N9" s="335">
        <v>1169.7</v>
      </c>
      <c r="P9" s="276" t="s">
        <v>127</v>
      </c>
      <c r="Q9" s="309">
        <v>6.8</v>
      </c>
      <c r="R9" s="309">
        <v>11.5</v>
      </c>
      <c r="S9" s="309">
        <v>16.2</v>
      </c>
      <c r="T9" s="309">
        <v>36.200000000000003</v>
      </c>
      <c r="U9" s="309">
        <v>67.133783783783784</v>
      </c>
      <c r="V9" s="309">
        <v>66.200135135135127</v>
      </c>
      <c r="W9" s="309">
        <v>71.3</v>
      </c>
      <c r="X9" s="309">
        <v>129.4</v>
      </c>
      <c r="Y9" s="309">
        <v>115.8</v>
      </c>
      <c r="Z9" s="309">
        <v>66.5</v>
      </c>
      <c r="AA9" s="310">
        <v>16.574585635359114</v>
      </c>
      <c r="AB9" s="309">
        <v>2.7</v>
      </c>
      <c r="AC9" s="309">
        <f t="shared" si="0"/>
        <v>606.30850455427799</v>
      </c>
    </row>
    <row r="10" spans="1:29" x14ac:dyDescent="0.15">
      <c r="A10" s="280" t="s">
        <v>29</v>
      </c>
      <c r="B10" s="276">
        <v>6.6</v>
      </c>
      <c r="C10" s="276">
        <v>11.9</v>
      </c>
      <c r="D10" s="276">
        <v>29.1</v>
      </c>
      <c r="E10" s="276">
        <v>51</v>
      </c>
      <c r="F10" s="276">
        <v>188.5</v>
      </c>
      <c r="G10" s="276">
        <v>183.3</v>
      </c>
      <c r="H10" s="276">
        <v>189.8</v>
      </c>
      <c r="I10" s="276">
        <v>242.1</v>
      </c>
      <c r="J10" s="276">
        <v>231</v>
      </c>
      <c r="K10" s="276">
        <v>157</v>
      </c>
      <c r="L10" s="276">
        <v>30.7</v>
      </c>
      <c r="M10" s="276">
        <v>5.5</v>
      </c>
      <c r="N10" s="335">
        <v>1326.5</v>
      </c>
      <c r="P10" s="276" t="s">
        <v>29</v>
      </c>
      <c r="Q10" s="309">
        <v>6.6</v>
      </c>
      <c r="R10" s="309">
        <v>11.9</v>
      </c>
      <c r="S10" s="309">
        <v>22.6</v>
      </c>
      <c r="T10" s="309">
        <v>34.299999999999997</v>
      </c>
      <c r="U10" s="309">
        <v>83.806081081081075</v>
      </c>
      <c r="V10" s="309">
        <v>81.494189189189186</v>
      </c>
      <c r="W10" s="309">
        <v>75</v>
      </c>
      <c r="X10" s="309">
        <v>136</v>
      </c>
      <c r="Y10" s="309">
        <v>121.8</v>
      </c>
      <c r="Z10" s="309">
        <v>69.900000000000006</v>
      </c>
      <c r="AA10" s="310">
        <v>21.201657458563531</v>
      </c>
      <c r="AB10" s="309">
        <v>5.5</v>
      </c>
      <c r="AC10" s="309">
        <f t="shared" si="0"/>
        <v>670.10192772883374</v>
      </c>
    </row>
    <row r="11" spans="1:29" x14ac:dyDescent="0.15">
      <c r="A11" s="280" t="s">
        <v>30</v>
      </c>
      <c r="B11" s="276">
        <v>7</v>
      </c>
      <c r="C11" s="276">
        <v>17.399999999999999</v>
      </c>
      <c r="D11" s="276">
        <v>34.5</v>
      </c>
      <c r="E11" s="276">
        <v>70.3</v>
      </c>
      <c r="F11" s="276">
        <v>157.4</v>
      </c>
      <c r="G11" s="276">
        <v>153.1</v>
      </c>
      <c r="H11" s="276">
        <v>168.5</v>
      </c>
      <c r="I11" s="276">
        <v>189.3</v>
      </c>
      <c r="J11" s="276">
        <v>208.9</v>
      </c>
      <c r="K11" s="276">
        <v>98.3</v>
      </c>
      <c r="L11" s="276">
        <v>13.2</v>
      </c>
      <c r="M11" s="276">
        <v>3.8</v>
      </c>
      <c r="N11" s="335">
        <v>1121.7</v>
      </c>
      <c r="P11" s="276" t="s">
        <v>611</v>
      </c>
      <c r="Q11" s="309">
        <v>7</v>
      </c>
      <c r="R11" s="309">
        <v>12.9</v>
      </c>
      <c r="S11" s="309">
        <v>25</v>
      </c>
      <c r="T11" s="309">
        <v>47.3</v>
      </c>
      <c r="U11" s="309">
        <v>69.979189189189185</v>
      </c>
      <c r="V11" s="309">
        <v>68.067432432432426</v>
      </c>
      <c r="W11" s="309">
        <v>73.2</v>
      </c>
      <c r="X11" s="309">
        <v>122.5</v>
      </c>
      <c r="Y11" s="309">
        <v>118.8</v>
      </c>
      <c r="Z11" s="309">
        <v>68.2</v>
      </c>
      <c r="AA11" s="310">
        <v>9.1160220994475125</v>
      </c>
      <c r="AB11" s="309">
        <v>3.8</v>
      </c>
      <c r="AC11" s="309">
        <f t="shared" si="0"/>
        <v>625.86264372106905</v>
      </c>
    </row>
    <row r="12" spans="1:29" x14ac:dyDescent="0.15">
      <c r="A12" s="280" t="s">
        <v>20</v>
      </c>
      <c r="B12" s="276">
        <v>7</v>
      </c>
      <c r="C12" s="276">
        <v>5.4</v>
      </c>
      <c r="D12" s="276">
        <v>20.8</v>
      </c>
      <c r="E12" s="276">
        <v>71.599999999999994</v>
      </c>
      <c r="F12" s="276">
        <v>179.2</v>
      </c>
      <c r="G12" s="276">
        <v>121.8</v>
      </c>
      <c r="H12" s="276">
        <v>144.19999999999999</v>
      </c>
      <c r="I12" s="276">
        <v>224.4</v>
      </c>
      <c r="J12" s="276">
        <v>191.3</v>
      </c>
      <c r="K12" s="276">
        <v>97.3</v>
      </c>
      <c r="L12" s="276">
        <v>21.1</v>
      </c>
      <c r="M12" s="276">
        <v>3.2</v>
      </c>
      <c r="N12" s="335">
        <v>1087.3</v>
      </c>
      <c r="P12" s="276" t="s">
        <v>20</v>
      </c>
      <c r="Q12" s="309">
        <v>7</v>
      </c>
      <c r="R12" s="309">
        <v>5.4</v>
      </c>
      <c r="S12" s="309">
        <v>16.3</v>
      </c>
      <c r="T12" s="309">
        <v>47.2</v>
      </c>
      <c r="U12" s="309">
        <v>79.671351351351333</v>
      </c>
      <c r="V12" s="309">
        <v>54.151621621621615</v>
      </c>
      <c r="W12" s="309">
        <v>84.1</v>
      </c>
      <c r="X12" s="309">
        <v>152.6</v>
      </c>
      <c r="Y12" s="309">
        <v>122.4</v>
      </c>
      <c r="Z12" s="309">
        <v>59.4</v>
      </c>
      <c r="AA12" s="310">
        <v>14.571823204419889</v>
      </c>
      <c r="AB12" s="309">
        <v>3.2</v>
      </c>
      <c r="AC12" s="309">
        <f t="shared" si="0"/>
        <v>645.9947961773928</v>
      </c>
    </row>
    <row r="13" spans="1:29" x14ac:dyDescent="0.15">
      <c r="A13" s="280" t="s">
        <v>13</v>
      </c>
      <c r="B13" s="276">
        <v>8.4</v>
      </c>
      <c r="C13" s="276">
        <v>2</v>
      </c>
      <c r="D13" s="276">
        <v>5.3</v>
      </c>
      <c r="E13" s="276">
        <v>50.4</v>
      </c>
      <c r="F13" s="276">
        <v>180.1</v>
      </c>
      <c r="G13" s="276">
        <v>185</v>
      </c>
      <c r="H13" s="276">
        <v>209.5</v>
      </c>
      <c r="I13" s="276">
        <v>238.9</v>
      </c>
      <c r="J13" s="276">
        <v>199.3</v>
      </c>
      <c r="K13" s="276">
        <v>114.7</v>
      </c>
      <c r="L13" s="276">
        <v>37.1</v>
      </c>
      <c r="M13" s="276">
        <v>15.2</v>
      </c>
      <c r="N13" s="335">
        <v>1245.9000000000001</v>
      </c>
      <c r="P13" s="276" t="s">
        <v>13</v>
      </c>
      <c r="Q13" s="309">
        <v>8.4</v>
      </c>
      <c r="R13" s="309">
        <v>2</v>
      </c>
      <c r="S13" s="309">
        <v>5.3</v>
      </c>
      <c r="T13" s="309">
        <v>34.200000000000003</v>
      </c>
      <c r="U13" s="309">
        <v>80.071486486486478</v>
      </c>
      <c r="V13" s="309">
        <v>82.25</v>
      </c>
      <c r="W13" s="309">
        <v>71.3</v>
      </c>
      <c r="X13" s="309">
        <v>129.4</v>
      </c>
      <c r="Y13" s="309">
        <v>115.8</v>
      </c>
      <c r="Z13" s="309">
        <v>66.5</v>
      </c>
      <c r="AA13" s="310">
        <v>25.621546961325965</v>
      </c>
      <c r="AB13" s="309">
        <v>15.2</v>
      </c>
      <c r="AC13" s="309">
        <f t="shared" si="0"/>
        <v>636.04303344781249</v>
      </c>
    </row>
    <row r="14" spans="1:29" x14ac:dyDescent="0.15">
      <c r="A14" s="280" t="s">
        <v>18</v>
      </c>
      <c r="B14" s="276">
        <v>6.2</v>
      </c>
      <c r="C14" s="276">
        <v>6.5</v>
      </c>
      <c r="D14" s="276">
        <v>18.8</v>
      </c>
      <c r="E14" s="276">
        <v>65.900000000000006</v>
      </c>
      <c r="F14" s="276">
        <v>158.69999999999999</v>
      </c>
      <c r="G14" s="276">
        <v>118.2</v>
      </c>
      <c r="H14" s="276">
        <v>132.4</v>
      </c>
      <c r="I14" s="276">
        <v>198.7</v>
      </c>
      <c r="J14" s="276">
        <v>208.8</v>
      </c>
      <c r="K14" s="276">
        <v>119.4</v>
      </c>
      <c r="L14" s="276">
        <v>34.9</v>
      </c>
      <c r="M14" s="276">
        <v>5.3</v>
      </c>
      <c r="N14" s="335">
        <v>1073.8</v>
      </c>
      <c r="P14" s="276" t="s">
        <v>18</v>
      </c>
      <c r="Q14" s="309">
        <v>6.2</v>
      </c>
      <c r="R14" s="309">
        <v>6.5</v>
      </c>
      <c r="S14" s="309">
        <v>12.1</v>
      </c>
      <c r="T14" s="309">
        <v>40.299999999999997</v>
      </c>
      <c r="U14" s="309">
        <v>70.557162162162143</v>
      </c>
      <c r="V14" s="309">
        <v>52.55108108108108</v>
      </c>
      <c r="W14" s="309">
        <v>67.7</v>
      </c>
      <c r="X14" s="309">
        <v>122.7</v>
      </c>
      <c r="Y14" s="309">
        <v>109.9</v>
      </c>
      <c r="Z14" s="309">
        <v>63.1</v>
      </c>
      <c r="AA14" s="310">
        <v>24.102209944751376</v>
      </c>
      <c r="AB14" s="309">
        <v>5.3</v>
      </c>
      <c r="AC14" s="309">
        <f t="shared" si="0"/>
        <v>581.01045318799459</v>
      </c>
    </row>
    <row r="15" spans="1:29" x14ac:dyDescent="0.15">
      <c r="A15" s="280" t="s">
        <v>19</v>
      </c>
      <c r="B15" s="276">
        <v>2.5</v>
      </c>
      <c r="C15" s="276">
        <v>2</v>
      </c>
      <c r="D15" s="276">
        <v>5.2</v>
      </c>
      <c r="E15" s="276">
        <v>41.1</v>
      </c>
      <c r="F15" s="276">
        <v>162.30000000000001</v>
      </c>
      <c r="G15" s="276">
        <v>135.80000000000001</v>
      </c>
      <c r="H15" s="276">
        <v>111.9</v>
      </c>
      <c r="I15" s="276">
        <v>140.30000000000001</v>
      </c>
      <c r="J15" s="276">
        <v>190.2</v>
      </c>
      <c r="K15" s="276">
        <v>121.1</v>
      </c>
      <c r="L15" s="276">
        <v>64.400000000000006</v>
      </c>
      <c r="M15" s="276">
        <v>3.9</v>
      </c>
      <c r="N15" s="335">
        <v>980.7</v>
      </c>
      <c r="P15" s="276" t="s">
        <v>19</v>
      </c>
      <c r="Q15" s="309">
        <v>2.5</v>
      </c>
      <c r="R15" s="309">
        <v>2</v>
      </c>
      <c r="S15" s="309">
        <v>5.2</v>
      </c>
      <c r="T15" s="309">
        <v>28.1</v>
      </c>
      <c r="U15" s="309">
        <v>72.157702702702707</v>
      </c>
      <c r="V15" s="309">
        <v>60.375945945945944</v>
      </c>
      <c r="W15" s="309">
        <v>68.7</v>
      </c>
      <c r="X15" s="309">
        <v>97.3</v>
      </c>
      <c r="Y15" s="309">
        <v>121</v>
      </c>
      <c r="Z15" s="309">
        <v>71.599999999999994</v>
      </c>
      <c r="AA15" s="310">
        <v>44.475138121546962</v>
      </c>
      <c r="AB15" s="309">
        <v>3.9</v>
      </c>
      <c r="AC15" s="309">
        <f t="shared" si="0"/>
        <v>577.30878677019552</v>
      </c>
    </row>
    <row r="16" spans="1:29" x14ac:dyDescent="0.15">
      <c r="A16" s="280" t="s">
        <v>24</v>
      </c>
      <c r="B16" s="276">
        <v>6.2</v>
      </c>
      <c r="C16" s="276">
        <v>8.6</v>
      </c>
      <c r="D16" s="276">
        <v>19.3</v>
      </c>
      <c r="E16" s="276">
        <v>49.8</v>
      </c>
      <c r="F16" s="276">
        <v>162</v>
      </c>
      <c r="G16" s="276">
        <v>139.1</v>
      </c>
      <c r="H16" s="276">
        <v>137.9</v>
      </c>
      <c r="I16" s="276">
        <v>180.5</v>
      </c>
      <c r="J16" s="276">
        <v>238.5</v>
      </c>
      <c r="K16" s="276">
        <v>141.19999999999999</v>
      </c>
      <c r="L16" s="276">
        <v>25</v>
      </c>
      <c r="M16" s="276">
        <v>4.9000000000000004</v>
      </c>
      <c r="N16" s="335">
        <v>1113</v>
      </c>
      <c r="P16" s="276" t="s">
        <v>24</v>
      </c>
      <c r="Q16" s="309">
        <v>6.2</v>
      </c>
      <c r="R16" s="309">
        <v>8.6</v>
      </c>
      <c r="S16" s="309">
        <v>16.399999999999999</v>
      </c>
      <c r="T16" s="309">
        <v>34.4</v>
      </c>
      <c r="U16" s="309">
        <v>72.024324324324311</v>
      </c>
      <c r="V16" s="309">
        <v>61.843108108108098</v>
      </c>
      <c r="W16" s="309">
        <v>76.8</v>
      </c>
      <c r="X16" s="309">
        <v>118.9</v>
      </c>
      <c r="Y16" s="309">
        <v>124.7</v>
      </c>
      <c r="Z16" s="309">
        <v>71.599999999999994</v>
      </c>
      <c r="AA16" s="310">
        <v>17.265193370165743</v>
      </c>
      <c r="AB16" s="309">
        <v>4.9000000000000004</v>
      </c>
      <c r="AC16" s="309">
        <f t="shared" si="0"/>
        <v>613.63262580259823</v>
      </c>
    </row>
    <row r="17" spans="1:29" x14ac:dyDescent="0.15">
      <c r="A17" s="280" t="s">
        <v>23</v>
      </c>
      <c r="B17" s="276">
        <v>11</v>
      </c>
      <c r="C17" s="276">
        <v>12.6</v>
      </c>
      <c r="D17" s="276">
        <v>29.2</v>
      </c>
      <c r="E17" s="276">
        <v>108</v>
      </c>
      <c r="F17" s="276">
        <v>204.7</v>
      </c>
      <c r="G17" s="276">
        <v>201.8</v>
      </c>
      <c r="H17" s="276">
        <v>233.1</v>
      </c>
      <c r="I17" s="276">
        <v>271</v>
      </c>
      <c r="J17" s="276">
        <v>175.6</v>
      </c>
      <c r="K17" s="276">
        <v>80.400000000000006</v>
      </c>
      <c r="L17" s="276">
        <v>22.7</v>
      </c>
      <c r="M17" s="276">
        <v>5.9</v>
      </c>
      <c r="N17" s="335">
        <v>1356</v>
      </c>
      <c r="P17" s="276" t="s">
        <v>23</v>
      </c>
      <c r="Q17" s="309">
        <v>11</v>
      </c>
      <c r="R17" s="309">
        <v>12.6</v>
      </c>
      <c r="S17" s="309">
        <v>22.9</v>
      </c>
      <c r="T17" s="309">
        <v>65.3</v>
      </c>
      <c r="U17" s="309">
        <v>91.008513513513506</v>
      </c>
      <c r="V17" s="309">
        <v>89.71918918918918</v>
      </c>
      <c r="W17" s="309">
        <v>73.2</v>
      </c>
      <c r="X17" s="309">
        <v>132.69999999999999</v>
      </c>
      <c r="Y17" s="309">
        <v>118.8</v>
      </c>
      <c r="Z17" s="309">
        <v>49.4</v>
      </c>
      <c r="AA17" s="310">
        <v>15.676795580110495</v>
      </c>
      <c r="AB17" s="309">
        <v>5.9</v>
      </c>
      <c r="AC17" s="309">
        <f t="shared" si="0"/>
        <v>688.20449828281312</v>
      </c>
    </row>
    <row r="18" spans="1:29" x14ac:dyDescent="0.15">
      <c r="A18" s="280" t="s">
        <v>109</v>
      </c>
      <c r="B18" s="276">
        <v>9.1</v>
      </c>
      <c r="C18" s="276">
        <v>29.9</v>
      </c>
      <c r="D18" s="276">
        <v>28.6</v>
      </c>
      <c r="E18" s="276">
        <v>64.7</v>
      </c>
      <c r="F18" s="276">
        <v>215.3</v>
      </c>
      <c r="G18" s="276">
        <v>149.30000000000001</v>
      </c>
      <c r="H18" s="276">
        <v>154.5</v>
      </c>
      <c r="I18" s="276">
        <v>196.7</v>
      </c>
      <c r="J18" s="276">
        <v>289.2</v>
      </c>
      <c r="K18" s="276">
        <v>231.2</v>
      </c>
      <c r="L18" s="276">
        <v>48.1</v>
      </c>
      <c r="M18" s="276">
        <v>9.6999999999999993</v>
      </c>
      <c r="N18" s="335">
        <v>1426.3</v>
      </c>
      <c r="P18" s="276" t="s">
        <v>612</v>
      </c>
      <c r="Q18" s="309">
        <v>5.9</v>
      </c>
      <c r="R18" s="309">
        <v>12.7</v>
      </c>
      <c r="S18" s="309">
        <v>14.1</v>
      </c>
      <c r="T18" s="309">
        <v>35.1</v>
      </c>
      <c r="U18" s="309">
        <v>95.721216216216206</v>
      </c>
      <c r="V18" s="309">
        <v>66.37797297297297</v>
      </c>
      <c r="W18" s="309">
        <v>82.3</v>
      </c>
      <c r="X18" s="309">
        <v>116</v>
      </c>
      <c r="Y18" s="309">
        <v>133.6</v>
      </c>
      <c r="Z18" s="309">
        <v>76.7</v>
      </c>
      <c r="AA18" s="310">
        <v>33.218232044198892</v>
      </c>
      <c r="AB18" s="309">
        <v>9.6999999999999993</v>
      </c>
      <c r="AC18" s="309">
        <f t="shared" si="0"/>
        <v>681.41742123338815</v>
      </c>
    </row>
    <row r="19" spans="1:29" x14ac:dyDescent="0.15">
      <c r="A19" s="280" t="s">
        <v>112</v>
      </c>
      <c r="B19" s="276">
        <v>5.7</v>
      </c>
      <c r="C19" s="276">
        <v>10.8</v>
      </c>
      <c r="D19" s="276">
        <v>28.5</v>
      </c>
      <c r="E19" s="276">
        <v>50.3</v>
      </c>
      <c r="F19" s="276">
        <v>117.4</v>
      </c>
      <c r="G19" s="276">
        <v>90.3</v>
      </c>
      <c r="H19" s="276">
        <v>123.1</v>
      </c>
      <c r="I19" s="276">
        <v>146.9</v>
      </c>
      <c r="J19" s="276">
        <v>247.7</v>
      </c>
      <c r="K19" s="276">
        <v>145.80000000000001</v>
      </c>
      <c r="L19" s="276">
        <v>31.3</v>
      </c>
      <c r="M19" s="276">
        <v>5</v>
      </c>
      <c r="N19" s="335">
        <v>1002.8</v>
      </c>
      <c r="P19" s="276" t="s">
        <v>112</v>
      </c>
      <c r="Q19" s="309">
        <v>5.7</v>
      </c>
      <c r="R19" s="309">
        <v>10.8</v>
      </c>
      <c r="S19" s="309">
        <v>19</v>
      </c>
      <c r="T19" s="309">
        <v>34.299999999999997</v>
      </c>
      <c r="U19" s="309">
        <v>52.195405405405403</v>
      </c>
      <c r="V19" s="309">
        <v>40.146891891891883</v>
      </c>
      <c r="W19" s="309">
        <v>73.599999999999994</v>
      </c>
      <c r="X19" s="309">
        <v>97.5</v>
      </c>
      <c r="Y19" s="309">
        <v>127.7</v>
      </c>
      <c r="Z19" s="309">
        <v>73.3</v>
      </c>
      <c r="AA19" s="310">
        <v>21.616022099447513</v>
      </c>
      <c r="AB19" s="309">
        <v>5</v>
      </c>
      <c r="AC19" s="309">
        <f t="shared" si="0"/>
        <v>560.85831939674472</v>
      </c>
    </row>
    <row r="20" spans="1:29" x14ac:dyDescent="0.15">
      <c r="A20" s="280" t="s">
        <v>50</v>
      </c>
      <c r="B20" s="276">
        <v>9.8000000000000007</v>
      </c>
      <c r="C20" s="276">
        <v>14.9</v>
      </c>
      <c r="D20" s="276">
        <v>30</v>
      </c>
      <c r="E20" s="276">
        <v>60.9</v>
      </c>
      <c r="F20" s="276">
        <v>138.69999999999999</v>
      </c>
      <c r="G20" s="276">
        <v>117.1</v>
      </c>
      <c r="H20" s="276">
        <v>134.1</v>
      </c>
      <c r="I20" s="276">
        <v>194.9</v>
      </c>
      <c r="J20" s="276">
        <v>223.7</v>
      </c>
      <c r="K20" s="276">
        <v>144.4</v>
      </c>
      <c r="L20" s="276">
        <v>35.299999999999997</v>
      </c>
      <c r="M20" s="276">
        <v>7.3</v>
      </c>
      <c r="N20" s="335">
        <v>1111.0999999999999</v>
      </c>
      <c r="P20" s="276" t="s">
        <v>50</v>
      </c>
      <c r="Q20" s="309">
        <v>9.8000000000000007</v>
      </c>
      <c r="R20" s="309">
        <v>12.7</v>
      </c>
      <c r="S20" s="309">
        <v>25.7</v>
      </c>
      <c r="T20" s="309">
        <v>42.2</v>
      </c>
      <c r="U20" s="309">
        <v>61.665270270270256</v>
      </c>
      <c r="V20" s="309">
        <v>52.062027027027021</v>
      </c>
      <c r="W20" s="309">
        <v>85.5</v>
      </c>
      <c r="X20" s="309">
        <v>130</v>
      </c>
      <c r="Y20" s="309">
        <v>148.5</v>
      </c>
      <c r="Z20" s="309">
        <v>85.2</v>
      </c>
      <c r="AA20" s="310">
        <v>24.378453038674028</v>
      </c>
      <c r="AB20" s="309">
        <v>7.3</v>
      </c>
      <c r="AC20" s="309">
        <f t="shared" si="0"/>
        <v>685.00575033597136</v>
      </c>
    </row>
    <row r="21" spans="1:29" x14ac:dyDescent="0.15">
      <c r="A21" s="280" t="s">
        <v>113</v>
      </c>
      <c r="B21" s="276">
        <v>5.9</v>
      </c>
      <c r="C21" s="276">
        <v>16.7</v>
      </c>
      <c r="D21" s="276">
        <v>19.7</v>
      </c>
      <c r="E21" s="276">
        <v>53.2</v>
      </c>
      <c r="F21" s="276">
        <v>140</v>
      </c>
      <c r="G21" s="276">
        <v>131.4</v>
      </c>
      <c r="H21" s="276">
        <v>147.19999999999999</v>
      </c>
      <c r="I21" s="276">
        <v>169.5</v>
      </c>
      <c r="J21" s="276">
        <v>251.5</v>
      </c>
      <c r="K21" s="276">
        <v>188.8</v>
      </c>
      <c r="L21" s="276">
        <v>45.5</v>
      </c>
      <c r="M21" s="276">
        <v>8.1999999999999993</v>
      </c>
      <c r="N21" s="335">
        <v>1177.5999999999999</v>
      </c>
      <c r="P21" s="276" t="s">
        <v>113</v>
      </c>
      <c r="Q21" s="309">
        <v>5.9</v>
      </c>
      <c r="R21" s="309">
        <v>12.7</v>
      </c>
      <c r="S21" s="309">
        <v>14.1</v>
      </c>
      <c r="T21" s="309">
        <v>35.1</v>
      </c>
      <c r="U21" s="309">
        <v>62.243243243243235</v>
      </c>
      <c r="V21" s="309">
        <v>58.419729729729724</v>
      </c>
      <c r="W21" s="309">
        <v>82.3</v>
      </c>
      <c r="X21" s="309">
        <v>116</v>
      </c>
      <c r="Y21" s="309">
        <v>133.6</v>
      </c>
      <c r="Z21" s="309">
        <v>76.7</v>
      </c>
      <c r="AA21" s="310">
        <v>31.422651933701651</v>
      </c>
      <c r="AB21" s="309">
        <v>8.1999999999999993</v>
      </c>
      <c r="AC21" s="309">
        <f t="shared" si="0"/>
        <v>636.68562490667478</v>
      </c>
    </row>
    <row r="22" spans="1:29" x14ac:dyDescent="0.15">
      <c r="A22" s="280" t="s">
        <v>114</v>
      </c>
      <c r="B22" s="276">
        <v>5.5</v>
      </c>
      <c r="C22" s="276">
        <v>17</v>
      </c>
      <c r="D22" s="276">
        <v>21.2</v>
      </c>
      <c r="E22" s="276">
        <v>65.900000000000006</v>
      </c>
      <c r="F22" s="276">
        <v>147.69999999999999</v>
      </c>
      <c r="G22" s="276">
        <v>156.6</v>
      </c>
      <c r="H22" s="276">
        <v>178.9</v>
      </c>
      <c r="I22" s="276">
        <v>200.5</v>
      </c>
      <c r="J22" s="276">
        <v>270.2</v>
      </c>
      <c r="K22" s="276">
        <v>190.5</v>
      </c>
      <c r="L22" s="276">
        <v>41.5</v>
      </c>
      <c r="M22" s="276">
        <v>8</v>
      </c>
      <c r="N22" s="335">
        <v>1303.5</v>
      </c>
      <c r="P22" s="276" t="s">
        <v>114</v>
      </c>
      <c r="Q22" s="309">
        <v>5.5</v>
      </c>
      <c r="R22" s="309">
        <v>13.6</v>
      </c>
      <c r="S22" s="309">
        <v>16.600000000000001</v>
      </c>
      <c r="T22" s="309">
        <v>42.2</v>
      </c>
      <c r="U22" s="309">
        <v>65.666621621621616</v>
      </c>
      <c r="V22" s="309">
        <v>69.623513513513501</v>
      </c>
      <c r="W22" s="309">
        <v>82.3</v>
      </c>
      <c r="X22" s="309">
        <v>132</v>
      </c>
      <c r="Y22" s="309">
        <v>133.6</v>
      </c>
      <c r="Z22" s="309">
        <v>76.7</v>
      </c>
      <c r="AA22" s="310">
        <v>28.660220994475132</v>
      </c>
      <c r="AB22" s="309">
        <v>8</v>
      </c>
      <c r="AC22" s="309">
        <f t="shared" si="0"/>
        <v>674.45035612961033</v>
      </c>
    </row>
    <row r="23" spans="1:29" x14ac:dyDescent="0.15">
      <c r="A23" s="281" t="s">
        <v>52</v>
      </c>
      <c r="B23" s="276">
        <v>8.6999999999999993</v>
      </c>
      <c r="C23" s="276">
        <v>16</v>
      </c>
      <c r="D23" s="276">
        <v>25.8</v>
      </c>
      <c r="E23" s="276">
        <v>72.3</v>
      </c>
      <c r="F23" s="276">
        <v>163.30000000000001</v>
      </c>
      <c r="G23" s="276">
        <v>136.1</v>
      </c>
      <c r="H23" s="276">
        <v>147.5</v>
      </c>
      <c r="I23" s="276">
        <v>172.2</v>
      </c>
      <c r="J23" s="276">
        <v>248.8</v>
      </c>
      <c r="K23" s="276">
        <v>157</v>
      </c>
      <c r="L23" s="276">
        <v>37.5</v>
      </c>
      <c r="M23" s="276">
        <v>8.1</v>
      </c>
      <c r="N23" s="335">
        <v>1193.3</v>
      </c>
      <c r="P23" s="276" t="s">
        <v>52</v>
      </c>
      <c r="Q23" s="309">
        <v>8.6999999999999993</v>
      </c>
      <c r="R23" s="309">
        <v>12.8</v>
      </c>
      <c r="S23" s="309">
        <v>19.100000000000001</v>
      </c>
      <c r="T23" s="309">
        <v>47.9</v>
      </c>
      <c r="U23" s="309">
        <v>72.602297297297298</v>
      </c>
      <c r="V23" s="309">
        <v>60.509324324324318</v>
      </c>
      <c r="W23" s="309">
        <v>87.8</v>
      </c>
      <c r="X23" s="309">
        <v>117.8</v>
      </c>
      <c r="Y23" s="309">
        <v>142.6</v>
      </c>
      <c r="Z23" s="309">
        <v>81.8</v>
      </c>
      <c r="AA23" s="310">
        <v>25.897790055248613</v>
      </c>
      <c r="AB23" s="309">
        <v>8.1</v>
      </c>
      <c r="AC23" s="309">
        <f t="shared" si="0"/>
        <v>685.6094116768702</v>
      </c>
    </row>
    <row r="24" spans="1:29" x14ac:dyDescent="0.15">
      <c r="A24" s="280" t="s">
        <v>122</v>
      </c>
      <c r="B24" s="276">
        <v>10.1</v>
      </c>
      <c r="C24" s="276">
        <v>23.5</v>
      </c>
      <c r="D24" s="276">
        <v>20.6</v>
      </c>
      <c r="E24" s="276">
        <v>58.8</v>
      </c>
      <c r="F24" s="276">
        <v>165.9</v>
      </c>
      <c r="G24" s="276">
        <v>132.1</v>
      </c>
      <c r="H24" s="276">
        <v>131.4</v>
      </c>
      <c r="I24" s="276">
        <v>166.4</v>
      </c>
      <c r="J24" s="276">
        <v>261.39999999999998</v>
      </c>
      <c r="K24" s="276">
        <v>200.9</v>
      </c>
      <c r="L24" s="276">
        <v>44.1</v>
      </c>
      <c r="M24" s="276">
        <v>7.9</v>
      </c>
      <c r="N24" s="335">
        <v>1223.0999999999999</v>
      </c>
      <c r="P24" s="276" t="s">
        <v>122</v>
      </c>
      <c r="Q24" s="309">
        <v>5.5</v>
      </c>
      <c r="R24" s="309">
        <v>13.6</v>
      </c>
      <c r="S24" s="309">
        <v>16.600000000000001</v>
      </c>
      <c r="T24" s="309">
        <v>42.2</v>
      </c>
      <c r="U24" s="309">
        <v>73.758243243243243</v>
      </c>
      <c r="V24" s="309">
        <v>58.73094594594594</v>
      </c>
      <c r="W24" s="309">
        <v>82.3</v>
      </c>
      <c r="X24" s="309">
        <v>132</v>
      </c>
      <c r="Y24" s="309">
        <v>133.6</v>
      </c>
      <c r="Z24" s="309">
        <v>76.7</v>
      </c>
      <c r="AA24" s="310">
        <v>30.455801104972373</v>
      </c>
      <c r="AB24" s="309">
        <v>7.9</v>
      </c>
      <c r="AC24" s="309">
        <f t="shared" si="0"/>
        <v>673.34499029416156</v>
      </c>
    </row>
    <row r="25" spans="1:29" x14ac:dyDescent="0.15">
      <c r="A25" s="280" t="s">
        <v>125</v>
      </c>
      <c r="B25" s="276">
        <v>5.3</v>
      </c>
      <c r="C25" s="276">
        <v>8.9</v>
      </c>
      <c r="D25" s="276">
        <v>13.5</v>
      </c>
      <c r="E25" s="276">
        <v>22.7</v>
      </c>
      <c r="F25" s="276">
        <v>119.9</v>
      </c>
      <c r="G25" s="276">
        <v>110.4</v>
      </c>
      <c r="H25" s="276">
        <v>110.7</v>
      </c>
      <c r="I25" s="276">
        <v>133.4</v>
      </c>
      <c r="J25" s="276">
        <v>210.6</v>
      </c>
      <c r="K25" s="276">
        <v>225.4</v>
      </c>
      <c r="L25" s="276">
        <v>92.9</v>
      </c>
      <c r="M25" s="276">
        <v>6.1</v>
      </c>
      <c r="N25" s="335">
        <v>1059.8</v>
      </c>
      <c r="P25" s="276" t="s">
        <v>125</v>
      </c>
      <c r="Q25" s="309">
        <v>5.5</v>
      </c>
      <c r="R25" s="309">
        <v>13.6</v>
      </c>
      <c r="S25" s="309">
        <v>16.600000000000001</v>
      </c>
      <c r="T25" s="309">
        <v>42.2</v>
      </c>
      <c r="U25" s="309">
        <v>53.306891891891887</v>
      </c>
      <c r="V25" s="309">
        <v>49.083243243243238</v>
      </c>
      <c r="W25" s="309">
        <v>82.3</v>
      </c>
      <c r="X25" s="309">
        <v>132</v>
      </c>
      <c r="Y25" s="309">
        <v>133.6</v>
      </c>
      <c r="Z25" s="309">
        <v>76.7</v>
      </c>
      <c r="AA25" s="310">
        <v>64.157458563535911</v>
      </c>
      <c r="AB25" s="309">
        <v>6.1</v>
      </c>
      <c r="AC25" s="309">
        <f t="shared" si="0"/>
        <v>675.14759369867113</v>
      </c>
    </row>
    <row r="26" spans="1:29" x14ac:dyDescent="0.15">
      <c r="A26" s="280" t="s">
        <v>126</v>
      </c>
      <c r="B26" s="276">
        <v>5.4</v>
      </c>
      <c r="C26" s="276">
        <v>18.399999999999999</v>
      </c>
      <c r="D26" s="276">
        <v>18.399999999999999</v>
      </c>
      <c r="E26" s="276">
        <v>47.1</v>
      </c>
      <c r="F26" s="276">
        <v>142</v>
      </c>
      <c r="G26" s="276">
        <v>121.6</v>
      </c>
      <c r="H26" s="276">
        <v>135.4</v>
      </c>
      <c r="I26" s="276">
        <v>149</v>
      </c>
      <c r="J26" s="276">
        <v>233.2</v>
      </c>
      <c r="K26" s="276">
        <v>216</v>
      </c>
      <c r="L26" s="276">
        <v>74</v>
      </c>
      <c r="M26" s="276">
        <v>10.4</v>
      </c>
      <c r="N26" s="335">
        <v>1170.9000000000001</v>
      </c>
      <c r="P26" s="276" t="s">
        <v>126</v>
      </c>
      <c r="Q26" s="309">
        <v>5.5</v>
      </c>
      <c r="R26" s="309">
        <v>13.6</v>
      </c>
      <c r="S26" s="309">
        <v>16.600000000000001</v>
      </c>
      <c r="T26" s="309">
        <v>42.2</v>
      </c>
      <c r="U26" s="309">
        <v>63.132432432432424</v>
      </c>
      <c r="V26" s="309">
        <v>54.062702702702694</v>
      </c>
      <c r="W26" s="309">
        <v>82.3</v>
      </c>
      <c r="X26" s="309">
        <v>132</v>
      </c>
      <c r="Y26" s="309">
        <v>133.6</v>
      </c>
      <c r="Z26" s="309">
        <v>76.7</v>
      </c>
      <c r="AA26" s="310">
        <v>51.1049723756906</v>
      </c>
      <c r="AB26" s="309">
        <v>10.4</v>
      </c>
      <c r="AC26" s="309">
        <f t="shared" si="0"/>
        <v>681.20010751082577</v>
      </c>
    </row>
    <row r="27" spans="1:29" x14ac:dyDescent="0.15">
      <c r="A27" s="280" t="s">
        <v>116</v>
      </c>
      <c r="B27" s="276">
        <v>4.5999999999999996</v>
      </c>
      <c r="C27" s="276">
        <v>19.899999999999999</v>
      </c>
      <c r="D27" s="276">
        <v>28.4</v>
      </c>
      <c r="E27" s="276">
        <v>65.3</v>
      </c>
      <c r="F27" s="276">
        <v>153.5</v>
      </c>
      <c r="G27" s="276">
        <v>180.9</v>
      </c>
      <c r="H27" s="276">
        <v>197.4</v>
      </c>
      <c r="I27" s="276">
        <v>214</v>
      </c>
      <c r="J27" s="276">
        <v>268.3</v>
      </c>
      <c r="K27" s="276">
        <v>153.69999999999999</v>
      </c>
      <c r="L27" s="276">
        <v>40.700000000000003</v>
      </c>
      <c r="M27" s="276">
        <v>7.9</v>
      </c>
      <c r="N27" s="335">
        <v>1334.6</v>
      </c>
      <c r="P27" s="276" t="s">
        <v>116</v>
      </c>
      <c r="Q27" s="309">
        <v>4.5999999999999996</v>
      </c>
      <c r="R27" s="309">
        <v>16.3</v>
      </c>
      <c r="S27" s="309">
        <v>19.5</v>
      </c>
      <c r="T27" s="309">
        <v>41.9</v>
      </c>
      <c r="U27" s="309">
        <v>68.245270270270268</v>
      </c>
      <c r="V27" s="309">
        <v>80.427162162162162</v>
      </c>
      <c r="W27" s="309">
        <v>76.8</v>
      </c>
      <c r="X27" s="309">
        <v>139.30000000000001</v>
      </c>
      <c r="Y27" s="309">
        <v>124.7</v>
      </c>
      <c r="Z27" s="309">
        <v>71.599999999999994</v>
      </c>
      <c r="AA27" s="310">
        <v>28.107734806629832</v>
      </c>
      <c r="AB27" s="309">
        <v>7.9</v>
      </c>
      <c r="AC27" s="309">
        <f t="shared" si="0"/>
        <v>679.3801672390623</v>
      </c>
    </row>
    <row r="28" spans="1:29" x14ac:dyDescent="0.15">
      <c r="A28" s="280" t="s">
        <v>117</v>
      </c>
      <c r="B28" s="276">
        <v>7</v>
      </c>
      <c r="C28" s="276">
        <v>12.5</v>
      </c>
      <c r="D28" s="276">
        <v>26.6</v>
      </c>
      <c r="E28" s="276">
        <v>45.7</v>
      </c>
      <c r="F28" s="276">
        <v>118.2</v>
      </c>
      <c r="G28" s="276">
        <v>105.7</v>
      </c>
      <c r="H28" s="276">
        <v>127.2</v>
      </c>
      <c r="I28" s="276">
        <v>151.6</v>
      </c>
      <c r="J28" s="276">
        <v>245.4</v>
      </c>
      <c r="K28" s="276">
        <v>141.69999999999999</v>
      </c>
      <c r="L28" s="276">
        <v>26.7</v>
      </c>
      <c r="M28" s="276">
        <v>4</v>
      </c>
      <c r="N28" s="335">
        <v>1012.3</v>
      </c>
      <c r="P28" s="276" t="s">
        <v>613</v>
      </c>
      <c r="Q28" s="309">
        <v>7</v>
      </c>
      <c r="R28" s="309">
        <v>12.5</v>
      </c>
      <c r="S28" s="309">
        <v>18.600000000000001</v>
      </c>
      <c r="T28" s="309">
        <v>29.5</v>
      </c>
      <c r="U28" s="309">
        <v>52.55108108108108</v>
      </c>
      <c r="V28" s="309">
        <v>46.993648648648644</v>
      </c>
      <c r="W28" s="309">
        <v>74.599999999999994</v>
      </c>
      <c r="X28" s="309">
        <v>105</v>
      </c>
      <c r="Y28" s="309">
        <v>133.6</v>
      </c>
      <c r="Z28" s="309">
        <v>76.7</v>
      </c>
      <c r="AA28" s="310">
        <v>18.439226519337012</v>
      </c>
      <c r="AB28" s="309">
        <v>4</v>
      </c>
      <c r="AC28" s="309">
        <f t="shared" si="0"/>
        <v>579.48395624906675</v>
      </c>
    </row>
    <row r="29" spans="1:29" x14ac:dyDescent="0.15">
      <c r="A29" s="280" t="s">
        <v>115</v>
      </c>
      <c r="B29" s="276">
        <v>5.6</v>
      </c>
      <c r="C29" s="276">
        <v>14.7</v>
      </c>
      <c r="D29" s="276">
        <v>21.6</v>
      </c>
      <c r="E29" s="276">
        <v>58.1</v>
      </c>
      <c r="F29" s="276">
        <v>148.4</v>
      </c>
      <c r="G29" s="276">
        <v>146.69999999999999</v>
      </c>
      <c r="H29" s="276">
        <v>160.4</v>
      </c>
      <c r="I29" s="276">
        <v>165.2</v>
      </c>
      <c r="J29" s="276">
        <v>253.5</v>
      </c>
      <c r="K29" s="276">
        <v>169.7</v>
      </c>
      <c r="L29" s="276">
        <v>37.299999999999997</v>
      </c>
      <c r="M29" s="276">
        <v>7.1</v>
      </c>
      <c r="N29" s="335">
        <v>1188.3</v>
      </c>
      <c r="P29" s="276" t="s">
        <v>614</v>
      </c>
      <c r="Q29" s="309">
        <v>5.6</v>
      </c>
      <c r="R29" s="309">
        <v>12</v>
      </c>
      <c r="S29" s="309">
        <v>16.399999999999999</v>
      </c>
      <c r="T29" s="309">
        <v>36.6</v>
      </c>
      <c r="U29" s="309">
        <v>65.977837837837839</v>
      </c>
      <c r="V29" s="309">
        <v>65.222027027027011</v>
      </c>
      <c r="W29" s="309">
        <v>80.5</v>
      </c>
      <c r="X29" s="309">
        <v>108.9</v>
      </c>
      <c r="Y29" s="309">
        <v>130.69999999999999</v>
      </c>
      <c r="Z29" s="309">
        <v>75</v>
      </c>
      <c r="AA29" s="310">
        <v>25.759668508287287</v>
      </c>
      <c r="AB29" s="309">
        <v>7.1</v>
      </c>
      <c r="AC29" s="309">
        <f t="shared" si="0"/>
        <v>629.75953337315218</v>
      </c>
    </row>
    <row r="30" spans="1:29" x14ac:dyDescent="0.15">
      <c r="A30" s="280" t="s">
        <v>118</v>
      </c>
      <c r="B30" s="276">
        <v>5.2</v>
      </c>
      <c r="C30" s="276">
        <v>12.1</v>
      </c>
      <c r="D30" s="276">
        <v>21.4</v>
      </c>
      <c r="E30" s="276">
        <v>62.7</v>
      </c>
      <c r="F30" s="276">
        <v>131.6</v>
      </c>
      <c r="G30" s="276">
        <v>123</v>
      </c>
      <c r="H30" s="276">
        <v>134.69999999999999</v>
      </c>
      <c r="I30" s="276">
        <v>146.4</v>
      </c>
      <c r="J30" s="276">
        <v>252.2</v>
      </c>
      <c r="K30" s="276">
        <v>162.30000000000001</v>
      </c>
      <c r="L30" s="276">
        <v>35.1</v>
      </c>
      <c r="M30" s="276">
        <v>5.2</v>
      </c>
      <c r="N30" s="335">
        <v>1091.9000000000001</v>
      </c>
      <c r="P30" s="276" t="s">
        <v>118</v>
      </c>
      <c r="Q30" s="309">
        <v>5.2</v>
      </c>
      <c r="R30" s="309">
        <v>12.1</v>
      </c>
      <c r="S30" s="309">
        <v>16.7</v>
      </c>
      <c r="T30" s="309">
        <v>41.3</v>
      </c>
      <c r="U30" s="309">
        <v>58.508648648648638</v>
      </c>
      <c r="V30" s="309">
        <v>54.685135135135127</v>
      </c>
      <c r="W30" s="309">
        <v>77.900000000000006</v>
      </c>
      <c r="X30" s="309">
        <v>101.2</v>
      </c>
      <c r="Y30" s="309">
        <v>136.6</v>
      </c>
      <c r="Z30" s="309">
        <v>78.400000000000006</v>
      </c>
      <c r="AA30" s="310">
        <v>24.240331491712706</v>
      </c>
      <c r="AB30" s="309">
        <v>5.2</v>
      </c>
      <c r="AC30" s="309">
        <f t="shared" si="0"/>
        <v>612.03411527549645</v>
      </c>
    </row>
    <row r="31" spans="1:29" x14ac:dyDescent="0.15">
      <c r="A31" s="280" t="s">
        <v>128</v>
      </c>
      <c r="B31" s="276">
        <v>8.6999999999999993</v>
      </c>
      <c r="C31" s="276">
        <v>17.899999999999999</v>
      </c>
      <c r="D31" s="276">
        <v>36.5</v>
      </c>
      <c r="E31" s="276">
        <v>68.400000000000006</v>
      </c>
      <c r="F31" s="276">
        <v>155.5</v>
      </c>
      <c r="G31" s="276">
        <v>127.1</v>
      </c>
      <c r="H31" s="276">
        <v>142.19999999999999</v>
      </c>
      <c r="I31" s="276">
        <v>167.4</v>
      </c>
      <c r="J31" s="276">
        <v>263.7</v>
      </c>
      <c r="K31" s="276">
        <v>173.6</v>
      </c>
      <c r="L31" s="276">
        <v>46.2</v>
      </c>
      <c r="M31" s="276">
        <v>4.2</v>
      </c>
      <c r="N31" s="335">
        <v>1211.4000000000001</v>
      </c>
      <c r="P31" s="276" t="s">
        <v>615</v>
      </c>
      <c r="Q31" s="309">
        <v>8.6999999999999993</v>
      </c>
      <c r="R31" s="309">
        <v>12.5</v>
      </c>
      <c r="S31" s="309">
        <v>25</v>
      </c>
      <c r="T31" s="309">
        <v>42.8</v>
      </c>
      <c r="U31" s="309">
        <v>69.13445945945945</v>
      </c>
      <c r="V31" s="309">
        <v>56.507972972972965</v>
      </c>
      <c r="W31" s="309">
        <v>67.7</v>
      </c>
      <c r="X31" s="309">
        <v>102.5</v>
      </c>
      <c r="Y31" s="309">
        <v>109.9</v>
      </c>
      <c r="Z31" s="309">
        <v>63.1</v>
      </c>
      <c r="AA31" s="310">
        <v>31.906077348066297</v>
      </c>
      <c r="AB31" s="309">
        <v>4.2</v>
      </c>
      <c r="AC31" s="309">
        <f t="shared" si="0"/>
        <v>593.94850978049885</v>
      </c>
    </row>
    <row r="32" spans="1:29" x14ac:dyDescent="0.15">
      <c r="A32" s="280" t="s">
        <v>55</v>
      </c>
      <c r="B32" s="276">
        <v>5.0999999999999996</v>
      </c>
      <c r="C32" s="276">
        <v>14.4</v>
      </c>
      <c r="D32" s="276">
        <v>28.3</v>
      </c>
      <c r="E32" s="276">
        <v>75.400000000000006</v>
      </c>
      <c r="F32" s="276">
        <v>152.9</v>
      </c>
      <c r="G32" s="276">
        <v>82.2</v>
      </c>
      <c r="H32" s="276">
        <v>95.3</v>
      </c>
      <c r="I32" s="276">
        <v>102.3</v>
      </c>
      <c r="J32" s="276">
        <v>214.2</v>
      </c>
      <c r="K32" s="276">
        <v>198.2</v>
      </c>
      <c r="L32" s="276">
        <v>70.2</v>
      </c>
      <c r="M32" s="276">
        <v>8.6</v>
      </c>
      <c r="N32" s="335">
        <v>1047.0999999999999</v>
      </c>
      <c r="P32" s="276" t="s">
        <v>616</v>
      </c>
      <c r="Q32" s="309">
        <v>5.0999999999999996</v>
      </c>
      <c r="R32" s="309">
        <v>12</v>
      </c>
      <c r="S32" s="309">
        <v>20</v>
      </c>
      <c r="T32" s="309">
        <v>48.8</v>
      </c>
      <c r="U32" s="309">
        <v>67.978513513513505</v>
      </c>
      <c r="V32" s="309">
        <v>36.545675675675675</v>
      </c>
      <c r="W32" s="309">
        <v>59.6</v>
      </c>
      <c r="X32" s="309">
        <v>75.400000000000006</v>
      </c>
      <c r="Y32" s="309">
        <v>142.6</v>
      </c>
      <c r="Z32" s="309">
        <v>81.8</v>
      </c>
      <c r="AA32" s="310">
        <v>48.480662983425411</v>
      </c>
      <c r="AB32" s="309">
        <v>8.6</v>
      </c>
      <c r="AC32" s="309">
        <f t="shared" si="0"/>
        <v>606.9048521726146</v>
      </c>
    </row>
    <row r="33" spans="1:29" x14ac:dyDescent="0.15">
      <c r="A33" s="280" t="s">
        <v>123</v>
      </c>
      <c r="B33" s="276">
        <v>3</v>
      </c>
      <c r="C33" s="276">
        <v>8.9</v>
      </c>
      <c r="D33" s="276">
        <v>14.6</v>
      </c>
      <c r="E33" s="276">
        <v>44.6</v>
      </c>
      <c r="F33" s="276">
        <v>123.2</v>
      </c>
      <c r="G33" s="276">
        <v>119.2</v>
      </c>
      <c r="H33" s="276">
        <v>126.2</v>
      </c>
      <c r="I33" s="276">
        <v>138.80000000000001</v>
      </c>
      <c r="J33" s="276">
        <v>234.4</v>
      </c>
      <c r="K33" s="276">
        <v>205.3</v>
      </c>
      <c r="L33" s="276">
        <v>52.2</v>
      </c>
      <c r="M33" s="276">
        <v>6.3</v>
      </c>
      <c r="N33" s="335">
        <v>1076.7</v>
      </c>
      <c r="P33" s="276" t="s">
        <v>617</v>
      </c>
      <c r="Q33" s="309">
        <v>3</v>
      </c>
      <c r="R33" s="309">
        <v>8.9</v>
      </c>
      <c r="S33" s="309">
        <v>12</v>
      </c>
      <c r="T33" s="309">
        <v>29.1</v>
      </c>
      <c r="U33" s="309">
        <v>54.774054054054048</v>
      </c>
      <c r="V33" s="309">
        <v>52.99567567567567</v>
      </c>
      <c r="W33" s="309">
        <v>74.099999999999994</v>
      </c>
      <c r="X33" s="309">
        <v>92.7</v>
      </c>
      <c r="Y33" s="309">
        <v>127.7</v>
      </c>
      <c r="Z33" s="309">
        <v>73.3</v>
      </c>
      <c r="AA33" s="310">
        <v>36.049723756906076</v>
      </c>
      <c r="AB33" s="309">
        <v>6.3</v>
      </c>
      <c r="AC33" s="309">
        <f t="shared" si="0"/>
        <v>570.9194534866358</v>
      </c>
    </row>
    <row r="34" spans="1:29" x14ac:dyDescent="0.15">
      <c r="A34" s="280" t="s">
        <v>124</v>
      </c>
      <c r="B34" s="276">
        <v>4.3</v>
      </c>
      <c r="C34" s="276">
        <v>8.1</v>
      </c>
      <c r="D34" s="276">
        <v>13.3</v>
      </c>
      <c r="E34" s="276">
        <v>40</v>
      </c>
      <c r="F34" s="276">
        <v>143.5</v>
      </c>
      <c r="G34" s="276">
        <v>110</v>
      </c>
      <c r="H34" s="276">
        <v>122.3</v>
      </c>
      <c r="I34" s="276">
        <v>132.9</v>
      </c>
      <c r="J34" s="276">
        <v>210.4</v>
      </c>
      <c r="K34" s="276">
        <v>209.2</v>
      </c>
      <c r="L34" s="276">
        <v>76.8</v>
      </c>
      <c r="M34" s="276">
        <v>5.9</v>
      </c>
      <c r="N34" s="335">
        <v>1076.7</v>
      </c>
      <c r="P34" s="276" t="s">
        <v>618</v>
      </c>
      <c r="Q34" s="309">
        <v>4.3</v>
      </c>
      <c r="R34" s="309">
        <v>8.1</v>
      </c>
      <c r="S34" s="309">
        <v>12</v>
      </c>
      <c r="T34" s="309">
        <v>27.7</v>
      </c>
      <c r="U34" s="309">
        <v>63.799324324324317</v>
      </c>
      <c r="V34" s="309">
        <v>48.905405405405403</v>
      </c>
      <c r="W34" s="309">
        <v>71.3</v>
      </c>
      <c r="X34" s="309">
        <v>90.1</v>
      </c>
      <c r="Y34" s="309">
        <v>115.8</v>
      </c>
      <c r="Z34" s="309">
        <v>66.5</v>
      </c>
      <c r="AA34" s="310">
        <v>53.038674033149164</v>
      </c>
      <c r="AB34" s="309">
        <v>5.9</v>
      </c>
      <c r="AC34" s="309">
        <f t="shared" si="0"/>
        <v>567.4434037628788</v>
      </c>
    </row>
    <row r="35" spans="1:29" x14ac:dyDescent="0.15">
      <c r="A35" s="280" t="s">
        <v>51</v>
      </c>
      <c r="B35" s="276">
        <v>6.7</v>
      </c>
      <c r="C35" s="276">
        <v>8.9</v>
      </c>
      <c r="D35" s="276">
        <v>18</v>
      </c>
      <c r="E35" s="276">
        <v>65.099999999999994</v>
      </c>
      <c r="F35" s="276">
        <v>143.4</v>
      </c>
      <c r="G35" s="276">
        <v>101.4</v>
      </c>
      <c r="H35" s="276">
        <v>113.9</v>
      </c>
      <c r="I35" s="276">
        <v>136.1</v>
      </c>
      <c r="J35" s="276">
        <v>254.1</v>
      </c>
      <c r="K35" s="276">
        <v>192.8</v>
      </c>
      <c r="L35" s="276">
        <v>39.799999999999997</v>
      </c>
      <c r="M35" s="276">
        <v>11.2</v>
      </c>
      <c r="N35" s="335">
        <v>1091.4000000000001</v>
      </c>
      <c r="P35" s="276" t="s">
        <v>619</v>
      </c>
      <c r="Q35" s="309">
        <v>6.7</v>
      </c>
      <c r="R35" s="309">
        <v>8.9</v>
      </c>
      <c r="S35" s="309">
        <v>13.2</v>
      </c>
      <c r="T35" s="309">
        <v>42</v>
      </c>
      <c r="U35" s="309">
        <v>63.754864864864864</v>
      </c>
      <c r="V35" s="309">
        <v>45.081891891891892</v>
      </c>
      <c r="W35" s="309">
        <v>70.2</v>
      </c>
      <c r="X35" s="309">
        <v>95.2</v>
      </c>
      <c r="Y35" s="309">
        <v>142.6</v>
      </c>
      <c r="Z35" s="309">
        <v>81.8</v>
      </c>
      <c r="AA35" s="310">
        <v>27.48618784530386</v>
      </c>
      <c r="AB35" s="309">
        <v>11.2</v>
      </c>
      <c r="AC35" s="309">
        <f t="shared" si="0"/>
        <v>608.12294460206067</v>
      </c>
    </row>
    <row r="36" spans="1:29" x14ac:dyDescent="0.15">
      <c r="A36" s="280" t="s">
        <v>69</v>
      </c>
      <c r="B36" s="276">
        <v>12.3</v>
      </c>
      <c r="C36" s="276">
        <v>45</v>
      </c>
      <c r="D36" s="276">
        <v>55.1</v>
      </c>
      <c r="E36" s="276">
        <v>111.1</v>
      </c>
      <c r="F36" s="276">
        <v>294.5</v>
      </c>
      <c r="G36" s="276">
        <v>326.3</v>
      </c>
      <c r="H36" s="276">
        <v>317.89999999999998</v>
      </c>
      <c r="I36" s="276">
        <v>326.39999999999998</v>
      </c>
      <c r="J36" s="276">
        <v>322.5</v>
      </c>
      <c r="K36" s="276">
        <v>256.7</v>
      </c>
      <c r="L36" s="276">
        <v>61.2</v>
      </c>
      <c r="M36" s="276">
        <v>12.4</v>
      </c>
      <c r="N36" s="335">
        <v>2141.4</v>
      </c>
      <c r="P36" s="276" t="s">
        <v>620</v>
      </c>
      <c r="Q36" s="309">
        <v>12.3</v>
      </c>
      <c r="R36" s="309">
        <v>31.8</v>
      </c>
      <c r="S36" s="309">
        <v>38.5</v>
      </c>
      <c r="T36" s="309">
        <v>68.5</v>
      </c>
      <c r="U36" s="309">
        <v>130.93310810810809</v>
      </c>
      <c r="V36" s="309">
        <v>145.07121621621621</v>
      </c>
      <c r="W36" s="309">
        <v>65.8</v>
      </c>
      <c r="X36" s="309">
        <v>119.4</v>
      </c>
      <c r="Y36" s="309">
        <v>106.9</v>
      </c>
      <c r="Z36" s="309">
        <v>61.4</v>
      </c>
      <c r="AA36" s="310">
        <v>42.26519337016574</v>
      </c>
      <c r="AB36" s="309">
        <v>12.4</v>
      </c>
      <c r="AC36" s="309">
        <f t="shared" si="0"/>
        <v>835.26951769448999</v>
      </c>
    </row>
    <row r="37" spans="1:29" x14ac:dyDescent="0.15">
      <c r="A37" s="280" t="s">
        <v>119</v>
      </c>
      <c r="B37" s="276">
        <v>6.8</v>
      </c>
      <c r="C37" s="276">
        <v>16.7</v>
      </c>
      <c r="D37" s="276">
        <v>28.7</v>
      </c>
      <c r="E37" s="276">
        <v>71.2</v>
      </c>
      <c r="F37" s="276">
        <v>146.6</v>
      </c>
      <c r="G37" s="276">
        <v>143.5</v>
      </c>
      <c r="H37" s="276">
        <v>158.6</v>
      </c>
      <c r="I37" s="276">
        <v>196</v>
      </c>
      <c r="J37" s="276">
        <v>253.2</v>
      </c>
      <c r="K37" s="276">
        <v>176.9</v>
      </c>
      <c r="L37" s="276">
        <v>39</v>
      </c>
      <c r="M37" s="276">
        <v>7.2</v>
      </c>
      <c r="N37" s="335">
        <v>1244.4000000000001</v>
      </c>
      <c r="P37" s="276" t="s">
        <v>119</v>
      </c>
      <c r="Q37" s="309">
        <v>6.8</v>
      </c>
      <c r="R37" s="309">
        <v>12</v>
      </c>
      <c r="S37" s="309">
        <v>18.5</v>
      </c>
      <c r="T37" s="309">
        <v>46.6</v>
      </c>
      <c r="U37" s="309">
        <v>65.177567567567564</v>
      </c>
      <c r="V37" s="309">
        <v>63.799324324324317</v>
      </c>
      <c r="W37" s="309">
        <v>73.2</v>
      </c>
      <c r="X37" s="309">
        <v>122.9</v>
      </c>
      <c r="Y37" s="309">
        <v>118.8</v>
      </c>
      <c r="Z37" s="309">
        <v>68.2</v>
      </c>
      <c r="AA37" s="310">
        <v>26.93370165745856</v>
      </c>
      <c r="AB37" s="309">
        <v>7.2</v>
      </c>
      <c r="AC37" s="309">
        <f t="shared" si="0"/>
        <v>630.11059354935048</v>
      </c>
    </row>
    <row r="38" spans="1:29" x14ac:dyDescent="0.15">
      <c r="A38" s="280" t="s">
        <v>63</v>
      </c>
      <c r="B38" s="276">
        <v>10.6</v>
      </c>
      <c r="C38" s="276">
        <v>18.899999999999999</v>
      </c>
      <c r="D38" s="276">
        <v>31.4</v>
      </c>
      <c r="E38" s="276">
        <v>78.5</v>
      </c>
      <c r="F38" s="276">
        <v>166.6</v>
      </c>
      <c r="G38" s="276">
        <v>133.19999999999999</v>
      </c>
      <c r="H38" s="276">
        <v>133.9</v>
      </c>
      <c r="I38" s="276">
        <v>168.8</v>
      </c>
      <c r="J38" s="276">
        <v>261.5</v>
      </c>
      <c r="K38" s="276">
        <v>208.8</v>
      </c>
      <c r="L38" s="276">
        <v>65.099999999999994</v>
      </c>
      <c r="M38" s="276">
        <v>8.9</v>
      </c>
      <c r="N38" s="335">
        <v>1286.2</v>
      </c>
      <c r="P38" s="276" t="s">
        <v>621</v>
      </c>
      <c r="Q38" s="309">
        <v>10.6</v>
      </c>
      <c r="R38" s="309">
        <v>13</v>
      </c>
      <c r="S38" s="309">
        <v>23.5</v>
      </c>
      <c r="T38" s="309">
        <v>48.9</v>
      </c>
      <c r="U38" s="309">
        <v>74.069459459459452</v>
      </c>
      <c r="V38" s="309">
        <v>59.22</v>
      </c>
      <c r="W38" s="309">
        <v>84.1</v>
      </c>
      <c r="X38" s="309">
        <v>113</v>
      </c>
      <c r="Y38" s="309">
        <v>136.6</v>
      </c>
      <c r="Z38" s="309">
        <v>78.400000000000006</v>
      </c>
      <c r="AA38" s="310">
        <v>44.958563535911594</v>
      </c>
      <c r="AB38" s="309">
        <v>8.9</v>
      </c>
      <c r="AC38" s="309">
        <f t="shared" si="0"/>
        <v>695.248022995371</v>
      </c>
    </row>
    <row r="39" spans="1:29" x14ac:dyDescent="0.15">
      <c r="A39" s="280" t="s">
        <v>120</v>
      </c>
      <c r="B39" s="276">
        <v>22.8</v>
      </c>
      <c r="C39" s="276">
        <v>44.9</v>
      </c>
      <c r="D39" s="276">
        <v>76.400000000000006</v>
      </c>
      <c r="E39" s="276">
        <v>137.6</v>
      </c>
      <c r="F39" s="276">
        <v>283</v>
      </c>
      <c r="G39" s="276">
        <v>338</v>
      </c>
      <c r="H39" s="276">
        <v>334.9</v>
      </c>
      <c r="I39" s="276">
        <v>344.1</v>
      </c>
      <c r="J39" s="276">
        <v>331.8</v>
      </c>
      <c r="K39" s="276">
        <v>269.60000000000002</v>
      </c>
      <c r="L39" s="276">
        <v>72.900000000000006</v>
      </c>
      <c r="M39" s="276">
        <v>13.5</v>
      </c>
      <c r="N39" s="335">
        <v>2269.5</v>
      </c>
      <c r="P39" s="276" t="s">
        <v>622</v>
      </c>
      <c r="Q39" s="309">
        <v>16</v>
      </c>
      <c r="R39" s="309">
        <v>34.4</v>
      </c>
      <c r="S39" s="309">
        <v>55.4</v>
      </c>
      <c r="T39" s="309">
        <v>82.5</v>
      </c>
      <c r="U39" s="309">
        <v>125.82027027027026</v>
      </c>
      <c r="V39" s="309">
        <v>150.27297297297295</v>
      </c>
      <c r="W39" s="309">
        <v>73.2</v>
      </c>
      <c r="X39" s="309">
        <v>132.69999999999999</v>
      </c>
      <c r="Y39" s="309">
        <v>118.8</v>
      </c>
      <c r="Z39" s="309">
        <v>68.2</v>
      </c>
      <c r="AA39" s="310">
        <v>50.34530386740331</v>
      </c>
      <c r="AB39" s="309">
        <v>13.5</v>
      </c>
      <c r="AC39" s="309">
        <f t="shared" si="0"/>
        <v>921.13854711064664</v>
      </c>
    </row>
    <row r="40" spans="1:29" x14ac:dyDescent="0.15">
      <c r="A40" s="280" t="s">
        <v>121</v>
      </c>
      <c r="B40" s="276">
        <v>6.1</v>
      </c>
      <c r="C40" s="276">
        <v>20.3</v>
      </c>
      <c r="D40" s="276">
        <v>25.7</v>
      </c>
      <c r="E40" s="276">
        <v>77.7</v>
      </c>
      <c r="F40" s="276">
        <v>177.1</v>
      </c>
      <c r="G40" s="276">
        <v>213.8</v>
      </c>
      <c r="H40" s="276">
        <v>246.9</v>
      </c>
      <c r="I40" s="276">
        <v>271.8</v>
      </c>
      <c r="J40" s="276">
        <v>290.7</v>
      </c>
      <c r="K40" s="276">
        <v>174.7</v>
      </c>
      <c r="L40" s="276">
        <v>39.299999999999997</v>
      </c>
      <c r="M40" s="276">
        <v>7.1</v>
      </c>
      <c r="N40" s="335">
        <v>1551.2</v>
      </c>
      <c r="P40" s="276" t="s">
        <v>623</v>
      </c>
      <c r="Q40" s="309">
        <v>6.1</v>
      </c>
      <c r="R40" s="309">
        <v>15.4</v>
      </c>
      <c r="S40" s="309">
        <v>17.2</v>
      </c>
      <c r="T40" s="309">
        <v>48.3</v>
      </c>
      <c r="U40" s="309">
        <v>78.737702702702691</v>
      </c>
      <c r="V40" s="309">
        <v>95.054324324324327</v>
      </c>
      <c r="W40" s="309">
        <v>67.7</v>
      </c>
      <c r="X40" s="309">
        <v>122.7</v>
      </c>
      <c r="Y40" s="309">
        <v>109.9</v>
      </c>
      <c r="Z40" s="309">
        <v>63.1</v>
      </c>
      <c r="AA40" s="310">
        <v>27.140883977900547</v>
      </c>
      <c r="AB40" s="309">
        <v>7.1</v>
      </c>
      <c r="AC40" s="309">
        <f t="shared" si="0"/>
        <v>658.43291100492763</v>
      </c>
    </row>
    <row r="41" spans="1:29" x14ac:dyDescent="0.15">
      <c r="A41" s="280" t="s">
        <v>59</v>
      </c>
      <c r="B41" s="276">
        <v>8.9</v>
      </c>
      <c r="C41" s="276">
        <v>25.1</v>
      </c>
      <c r="D41" s="276">
        <v>55.2</v>
      </c>
      <c r="E41" s="276">
        <v>128.1</v>
      </c>
      <c r="F41" s="276">
        <v>221.2</v>
      </c>
      <c r="G41" s="276">
        <v>258</v>
      </c>
      <c r="H41" s="276">
        <v>275.2</v>
      </c>
      <c r="I41" s="276">
        <v>303.89999999999998</v>
      </c>
      <c r="J41" s="276">
        <v>297.3</v>
      </c>
      <c r="K41" s="276">
        <v>181.1</v>
      </c>
      <c r="L41" s="276">
        <v>35.799999999999997</v>
      </c>
      <c r="M41" s="276">
        <v>8.1</v>
      </c>
      <c r="N41" s="335">
        <v>1797.9</v>
      </c>
      <c r="P41" s="276" t="s">
        <v>624</v>
      </c>
      <c r="Q41" s="309">
        <v>8.9</v>
      </c>
      <c r="R41" s="309">
        <v>17.2</v>
      </c>
      <c r="S41" s="309">
        <v>39.799999999999997</v>
      </c>
      <c r="T41" s="309">
        <v>74.400000000000006</v>
      </c>
      <c r="U41" s="309">
        <v>98.344324324324305</v>
      </c>
      <c r="V41" s="309">
        <v>114.7054054054054</v>
      </c>
      <c r="W41" s="309">
        <v>78.599999999999994</v>
      </c>
      <c r="X41" s="309">
        <v>142.6</v>
      </c>
      <c r="Y41" s="309">
        <v>127.7</v>
      </c>
      <c r="Z41" s="309">
        <v>73.3</v>
      </c>
      <c r="AA41" s="310">
        <v>24.723756906077341</v>
      </c>
      <c r="AB41" s="309">
        <v>8.1</v>
      </c>
      <c r="AC41" s="309">
        <f t="shared" si="0"/>
        <v>808.37348663580713</v>
      </c>
    </row>
    <row r="42" spans="1:29" x14ac:dyDescent="0.15">
      <c r="A42" s="280" t="s">
        <v>68</v>
      </c>
      <c r="B42" s="276">
        <v>17.3</v>
      </c>
      <c r="C42" s="276">
        <v>40.200000000000003</v>
      </c>
      <c r="D42" s="276">
        <v>65.099999999999994</v>
      </c>
      <c r="E42" s="276">
        <v>65.5</v>
      </c>
      <c r="F42" s="276">
        <v>189.8</v>
      </c>
      <c r="G42" s="276">
        <v>149.30000000000001</v>
      </c>
      <c r="H42" s="276">
        <v>132.5</v>
      </c>
      <c r="I42" s="276">
        <v>128.4</v>
      </c>
      <c r="J42" s="276">
        <v>235.6</v>
      </c>
      <c r="K42" s="276">
        <v>212.3</v>
      </c>
      <c r="L42" s="276">
        <v>83.6</v>
      </c>
      <c r="M42" s="276">
        <v>3.8</v>
      </c>
      <c r="N42" s="335">
        <v>1323.4</v>
      </c>
      <c r="P42" s="276" t="s">
        <v>625</v>
      </c>
      <c r="Q42" s="309">
        <v>11.3</v>
      </c>
      <c r="R42" s="309">
        <v>31.3</v>
      </c>
      <c r="S42" s="309">
        <v>47.5</v>
      </c>
      <c r="T42" s="309">
        <v>42.1</v>
      </c>
      <c r="U42" s="309">
        <v>84.384054054054047</v>
      </c>
      <c r="V42" s="309">
        <v>66.37797297297297</v>
      </c>
      <c r="W42" s="309">
        <v>86</v>
      </c>
      <c r="X42" s="309">
        <v>89.1</v>
      </c>
      <c r="Y42" s="309">
        <v>139.6</v>
      </c>
      <c r="Z42" s="309">
        <v>80.099999999999994</v>
      </c>
      <c r="AA42" s="310">
        <v>57.734806629834239</v>
      </c>
      <c r="AB42" s="309">
        <v>3.8</v>
      </c>
      <c r="AC42" s="309">
        <f t="shared" si="0"/>
        <v>739.29683365686128</v>
      </c>
    </row>
    <row r="43" spans="1:29" x14ac:dyDescent="0.15">
      <c r="A43" s="280" t="s">
        <v>62</v>
      </c>
      <c r="B43" s="276">
        <v>7</v>
      </c>
      <c r="C43" s="276">
        <v>22.6</v>
      </c>
      <c r="D43" s="276">
        <v>43.6</v>
      </c>
      <c r="E43" s="276">
        <v>87.9</v>
      </c>
      <c r="F43" s="276">
        <v>194.1</v>
      </c>
      <c r="G43" s="276">
        <v>215.2</v>
      </c>
      <c r="H43" s="276">
        <v>218.9</v>
      </c>
      <c r="I43" s="276">
        <v>247.6</v>
      </c>
      <c r="J43" s="276">
        <v>263.60000000000002</v>
      </c>
      <c r="K43" s="276">
        <v>169</v>
      </c>
      <c r="L43" s="276">
        <v>43.8</v>
      </c>
      <c r="M43" s="276">
        <v>7.2</v>
      </c>
      <c r="N43" s="335">
        <v>1520.5</v>
      </c>
      <c r="P43" s="276" t="s">
        <v>626</v>
      </c>
      <c r="Q43" s="309">
        <v>8.9</v>
      </c>
      <c r="R43" s="309">
        <v>17.2</v>
      </c>
      <c r="S43" s="309">
        <v>39.799999999999997</v>
      </c>
      <c r="T43" s="309">
        <v>74.400000000000006</v>
      </c>
      <c r="U43" s="309">
        <v>86.295810810810806</v>
      </c>
      <c r="V43" s="309">
        <v>95.676756756756745</v>
      </c>
      <c r="W43" s="309">
        <v>78.599999999999994</v>
      </c>
      <c r="X43" s="309">
        <v>142.6</v>
      </c>
      <c r="Y43" s="309">
        <v>127.7</v>
      </c>
      <c r="Z43" s="309">
        <v>73.3</v>
      </c>
      <c r="AA43" s="310">
        <v>30.248618784530379</v>
      </c>
      <c r="AB43" s="309">
        <v>7.2</v>
      </c>
      <c r="AC43" s="309">
        <f t="shared" si="0"/>
        <v>781.92118635209795</v>
      </c>
    </row>
    <row r="44" spans="1:29" x14ac:dyDescent="0.15">
      <c r="A44" s="280" t="s">
        <v>129</v>
      </c>
      <c r="B44" s="276">
        <v>3.8</v>
      </c>
      <c r="C44" s="276">
        <v>15</v>
      </c>
      <c r="D44" s="276">
        <v>27.5</v>
      </c>
      <c r="E44" s="276">
        <v>64.599999999999994</v>
      </c>
      <c r="F44" s="276">
        <v>175.7</v>
      </c>
      <c r="G44" s="276">
        <v>208.2</v>
      </c>
      <c r="H44" s="276">
        <v>210.4</v>
      </c>
      <c r="I44" s="276">
        <v>242.5</v>
      </c>
      <c r="J44" s="276">
        <v>247.4</v>
      </c>
      <c r="K44" s="276">
        <v>69.7</v>
      </c>
      <c r="L44" s="276">
        <v>6.9</v>
      </c>
      <c r="M44" s="276">
        <v>2.4</v>
      </c>
      <c r="N44" s="335">
        <v>1274.0999999999999</v>
      </c>
      <c r="P44" s="276" t="s">
        <v>627</v>
      </c>
      <c r="Q44" s="309">
        <v>3.8</v>
      </c>
      <c r="R44" s="309">
        <v>12</v>
      </c>
      <c r="S44" s="309">
        <v>18.899999999999999</v>
      </c>
      <c r="T44" s="309">
        <v>41.9</v>
      </c>
      <c r="U44" s="309">
        <v>78.115270270270258</v>
      </c>
      <c r="V44" s="309">
        <v>92.564594594594581</v>
      </c>
      <c r="W44" s="309">
        <v>82.3</v>
      </c>
      <c r="X44" s="309">
        <v>149.30000000000001</v>
      </c>
      <c r="Y44" s="309">
        <v>133.6</v>
      </c>
      <c r="Z44" s="309">
        <v>42.9</v>
      </c>
      <c r="AA44" s="310">
        <v>4.7651933701657452</v>
      </c>
      <c r="AB44" s="309">
        <v>2.4</v>
      </c>
      <c r="AC44" s="309">
        <f t="shared" si="0"/>
        <v>662.54505823503052</v>
      </c>
    </row>
    <row r="45" spans="1:29" x14ac:dyDescent="0.15">
      <c r="A45" s="280" t="s">
        <v>39</v>
      </c>
      <c r="B45" s="276">
        <v>4.4000000000000004</v>
      </c>
      <c r="C45" s="276">
        <v>14.7</v>
      </c>
      <c r="D45" s="276">
        <v>34.700000000000003</v>
      </c>
      <c r="E45" s="276">
        <v>66.400000000000006</v>
      </c>
      <c r="F45" s="276">
        <v>173.6</v>
      </c>
      <c r="G45" s="276">
        <v>179.5</v>
      </c>
      <c r="H45" s="276">
        <v>165.8</v>
      </c>
      <c r="I45" s="276">
        <v>196</v>
      </c>
      <c r="J45" s="276">
        <v>234.6</v>
      </c>
      <c r="K45" s="276">
        <v>107.3</v>
      </c>
      <c r="L45" s="276">
        <v>15.8</v>
      </c>
      <c r="M45" s="276">
        <v>3.3</v>
      </c>
      <c r="N45" s="335">
        <v>1196.0999999999999</v>
      </c>
      <c r="P45" s="276" t="s">
        <v>628</v>
      </c>
      <c r="Q45" s="309">
        <v>4.4000000000000004</v>
      </c>
      <c r="R45" s="309">
        <v>12</v>
      </c>
      <c r="S45" s="309">
        <v>26.1</v>
      </c>
      <c r="T45" s="309">
        <v>42.8</v>
      </c>
      <c r="U45" s="309">
        <v>77.181621621621616</v>
      </c>
      <c r="V45" s="309">
        <v>79.804729729729715</v>
      </c>
      <c r="W45" s="309">
        <v>91.4</v>
      </c>
      <c r="X45" s="309">
        <v>137</v>
      </c>
      <c r="Y45" s="309">
        <v>148.5</v>
      </c>
      <c r="Z45" s="309">
        <v>65.599999999999994</v>
      </c>
      <c r="AA45" s="310">
        <v>10.91160220994475</v>
      </c>
      <c r="AB45" s="309">
        <v>3.3</v>
      </c>
      <c r="AC45" s="309">
        <f t="shared" si="0"/>
        <v>698.99795356129607</v>
      </c>
    </row>
    <row r="46" spans="1:29" x14ac:dyDescent="0.15">
      <c r="A46" s="280" t="s">
        <v>42</v>
      </c>
      <c r="B46" s="276">
        <v>3.3</v>
      </c>
      <c r="C46" s="276">
        <v>20.3</v>
      </c>
      <c r="D46" s="276">
        <v>41.8</v>
      </c>
      <c r="E46" s="276">
        <v>87.5</v>
      </c>
      <c r="F46" s="276">
        <v>153.9</v>
      </c>
      <c r="G46" s="276">
        <v>142.30000000000001</v>
      </c>
      <c r="H46" s="276">
        <v>133.69999999999999</v>
      </c>
      <c r="I46" s="276">
        <v>130.30000000000001</v>
      </c>
      <c r="J46" s="276">
        <v>250.8</v>
      </c>
      <c r="K46" s="276">
        <v>146.19999999999999</v>
      </c>
      <c r="L46" s="276">
        <v>19.5</v>
      </c>
      <c r="M46" s="276">
        <v>4.2</v>
      </c>
      <c r="N46" s="335">
        <v>1133.8</v>
      </c>
      <c r="P46" s="276" t="s">
        <v>629</v>
      </c>
      <c r="Q46" s="309">
        <v>3.3</v>
      </c>
      <c r="R46" s="309">
        <v>17.2</v>
      </c>
      <c r="S46" s="309">
        <v>33.200000000000003</v>
      </c>
      <c r="T46" s="309">
        <v>60.2</v>
      </c>
      <c r="U46" s="309">
        <v>68.42310810810811</v>
      </c>
      <c r="V46" s="309">
        <v>63.265810810810812</v>
      </c>
      <c r="W46" s="309">
        <v>82.7</v>
      </c>
      <c r="X46" s="309">
        <v>95.8</v>
      </c>
      <c r="Y46" s="309">
        <v>148.5</v>
      </c>
      <c r="Z46" s="309">
        <v>85.2</v>
      </c>
      <c r="AA46" s="310">
        <v>13.46685082872928</v>
      </c>
      <c r="AB46" s="309">
        <v>4.2</v>
      </c>
      <c r="AC46" s="309">
        <f t="shared" si="0"/>
        <v>675.45576974764833</v>
      </c>
    </row>
    <row r="47" spans="1:29" x14ac:dyDescent="0.15">
      <c r="A47" s="280" t="s">
        <v>38</v>
      </c>
      <c r="B47" s="276">
        <v>2.7</v>
      </c>
      <c r="C47" s="276">
        <v>21.3</v>
      </c>
      <c r="D47" s="276">
        <v>46.8</v>
      </c>
      <c r="E47" s="276">
        <v>106.5</v>
      </c>
      <c r="F47" s="276">
        <v>229.9</v>
      </c>
      <c r="G47" s="276">
        <v>322.5</v>
      </c>
      <c r="H47" s="276">
        <v>320.60000000000002</v>
      </c>
      <c r="I47" s="276">
        <v>335.9</v>
      </c>
      <c r="J47" s="276">
        <v>256.39999999999998</v>
      </c>
      <c r="K47" s="276">
        <v>77.599999999999994</v>
      </c>
      <c r="L47" s="276">
        <v>8.4</v>
      </c>
      <c r="M47" s="276">
        <v>1.3</v>
      </c>
      <c r="N47" s="335">
        <v>1729.9</v>
      </c>
      <c r="P47" s="276" t="s">
        <v>38</v>
      </c>
      <c r="Q47" s="309">
        <v>2.7</v>
      </c>
      <c r="R47" s="309">
        <v>15.6</v>
      </c>
      <c r="S47" s="309">
        <v>32.200000000000003</v>
      </c>
      <c r="T47" s="309">
        <v>68</v>
      </c>
      <c r="U47" s="309">
        <v>102.21229729729728</v>
      </c>
      <c r="V47" s="309">
        <v>143.38175675675674</v>
      </c>
      <c r="W47" s="309">
        <v>67.7</v>
      </c>
      <c r="X47" s="309">
        <v>122.7</v>
      </c>
      <c r="Y47" s="309">
        <v>109.9</v>
      </c>
      <c r="Z47" s="309">
        <v>45.7</v>
      </c>
      <c r="AA47" s="310">
        <v>5.8011049723756898</v>
      </c>
      <c r="AB47" s="309">
        <v>1.3</v>
      </c>
      <c r="AC47" s="309">
        <f t="shared" si="0"/>
        <v>717.19515902642968</v>
      </c>
    </row>
    <row r="48" spans="1:29" x14ac:dyDescent="0.15">
      <c r="A48" s="280" t="s">
        <v>45</v>
      </c>
      <c r="B48" s="276">
        <v>4.5999999999999996</v>
      </c>
      <c r="C48" s="276">
        <v>20.5</v>
      </c>
      <c r="D48" s="276">
        <v>41.6</v>
      </c>
      <c r="E48" s="276">
        <v>65.8</v>
      </c>
      <c r="F48" s="276">
        <v>152.1</v>
      </c>
      <c r="G48" s="276">
        <v>104.5</v>
      </c>
      <c r="H48" s="276">
        <v>122.5</v>
      </c>
      <c r="I48" s="276">
        <v>128</v>
      </c>
      <c r="J48" s="276">
        <v>233.2</v>
      </c>
      <c r="K48" s="276">
        <v>152.1</v>
      </c>
      <c r="L48" s="276">
        <v>31</v>
      </c>
      <c r="M48" s="276">
        <v>3.6</v>
      </c>
      <c r="N48" s="335">
        <v>1059.5</v>
      </c>
      <c r="P48" s="276" t="s">
        <v>45</v>
      </c>
      <c r="Q48" s="309">
        <v>4.5999999999999996</v>
      </c>
      <c r="R48" s="309">
        <v>16.5</v>
      </c>
      <c r="S48" s="309">
        <v>31.3</v>
      </c>
      <c r="T48" s="309">
        <v>42.3</v>
      </c>
      <c r="U48" s="309">
        <v>67.622837837837835</v>
      </c>
      <c r="V48" s="309">
        <v>46.460135135135133</v>
      </c>
      <c r="W48" s="309">
        <v>74.5</v>
      </c>
      <c r="X48" s="309">
        <v>89.3</v>
      </c>
      <c r="Y48" s="309">
        <v>142.6</v>
      </c>
      <c r="Z48" s="309">
        <v>81.8</v>
      </c>
      <c r="AA48" s="310">
        <v>21.408839779005522</v>
      </c>
      <c r="AB48" s="309">
        <v>3.6</v>
      </c>
      <c r="AC48" s="309">
        <f t="shared" si="0"/>
        <v>621.9918127519785</v>
      </c>
    </row>
    <row r="49" spans="1:29" x14ac:dyDescent="0.15">
      <c r="A49" s="280" t="s">
        <v>131</v>
      </c>
      <c r="B49" s="276">
        <v>3</v>
      </c>
      <c r="C49" s="276">
        <v>13.6</v>
      </c>
      <c r="D49" s="276">
        <v>33.700000000000003</v>
      </c>
      <c r="E49" s="276">
        <v>77.5</v>
      </c>
      <c r="F49" s="276">
        <v>163.69999999999999</v>
      </c>
      <c r="G49" s="276">
        <v>163.80000000000001</v>
      </c>
      <c r="H49" s="276">
        <v>164.5</v>
      </c>
      <c r="I49" s="276">
        <v>182</v>
      </c>
      <c r="J49" s="276">
        <v>268</v>
      </c>
      <c r="K49" s="276">
        <v>139.9</v>
      </c>
      <c r="L49" s="276">
        <v>26.1</v>
      </c>
      <c r="M49" s="276">
        <v>1.3</v>
      </c>
      <c r="N49" s="335">
        <v>1237.0999999999999</v>
      </c>
      <c r="P49" s="276" t="s">
        <v>630</v>
      </c>
      <c r="Q49" s="309">
        <v>3</v>
      </c>
      <c r="R49" s="309">
        <v>13.6</v>
      </c>
      <c r="S49" s="309">
        <v>25.6</v>
      </c>
      <c r="T49" s="309">
        <v>49.5</v>
      </c>
      <c r="U49" s="309">
        <v>72.780135135135126</v>
      </c>
      <c r="V49" s="309">
        <v>72.824594594594586</v>
      </c>
      <c r="W49" s="309">
        <v>87.8</v>
      </c>
      <c r="X49" s="309">
        <v>122.9</v>
      </c>
      <c r="Y49" s="309">
        <v>142.6</v>
      </c>
      <c r="Z49" s="309">
        <v>81.8</v>
      </c>
      <c r="AA49" s="310">
        <v>18.024861878453038</v>
      </c>
      <c r="AB49" s="309">
        <v>1.3</v>
      </c>
      <c r="AC49" s="309">
        <f t="shared" si="0"/>
        <v>691.72959160818277</v>
      </c>
    </row>
    <row r="50" spans="1:29" x14ac:dyDescent="0.15">
      <c r="A50" s="280" t="s">
        <v>132</v>
      </c>
      <c r="B50" s="276">
        <v>4</v>
      </c>
      <c r="C50" s="276">
        <v>13.8</v>
      </c>
      <c r="D50" s="276">
        <v>28.6</v>
      </c>
      <c r="E50" s="276">
        <v>65.599999999999994</v>
      </c>
      <c r="F50" s="276">
        <v>163.1</v>
      </c>
      <c r="G50" s="276">
        <v>165</v>
      </c>
      <c r="H50" s="276">
        <v>163</v>
      </c>
      <c r="I50" s="276">
        <v>194.3</v>
      </c>
      <c r="J50" s="276">
        <v>251.5</v>
      </c>
      <c r="K50" s="276">
        <v>80.599999999999994</v>
      </c>
      <c r="L50" s="276">
        <v>9.8000000000000007</v>
      </c>
      <c r="M50" s="276">
        <v>1.3</v>
      </c>
      <c r="N50" s="335">
        <v>1140.5999999999999</v>
      </c>
      <c r="P50" s="276" t="s">
        <v>631</v>
      </c>
      <c r="Q50" s="309">
        <v>4</v>
      </c>
      <c r="R50" s="309">
        <v>12</v>
      </c>
      <c r="S50" s="309">
        <v>19.399999999999999</v>
      </c>
      <c r="T50" s="309">
        <v>42.4</v>
      </c>
      <c r="U50" s="309">
        <v>72.513378378378363</v>
      </c>
      <c r="V50" s="309">
        <v>73.358108108108098</v>
      </c>
      <c r="W50" s="309">
        <v>84.1</v>
      </c>
      <c r="X50" s="309">
        <v>127.7</v>
      </c>
      <c r="Y50" s="309">
        <v>136.6</v>
      </c>
      <c r="Z50" s="309">
        <v>52.4</v>
      </c>
      <c r="AA50" s="310">
        <v>6.7679558011049723</v>
      </c>
      <c r="AB50" s="309">
        <v>1.3</v>
      </c>
      <c r="AC50" s="309">
        <f t="shared" si="0"/>
        <v>632.53944228759133</v>
      </c>
    </row>
    <row r="51" spans="1:29" x14ac:dyDescent="0.15">
      <c r="A51" s="280" t="s">
        <v>40</v>
      </c>
      <c r="B51" s="276">
        <v>3.2</v>
      </c>
      <c r="C51" s="276">
        <v>15.3</v>
      </c>
      <c r="D51" s="276">
        <v>30.1</v>
      </c>
      <c r="E51" s="276">
        <v>87.4</v>
      </c>
      <c r="F51" s="276">
        <v>181.6</v>
      </c>
      <c r="G51" s="276">
        <v>263.5</v>
      </c>
      <c r="H51" s="276">
        <v>219.4</v>
      </c>
      <c r="I51" s="276">
        <v>289.60000000000002</v>
      </c>
      <c r="J51" s="276">
        <v>240.9</v>
      </c>
      <c r="K51" s="276">
        <v>93.3</v>
      </c>
      <c r="L51" s="276">
        <v>8.8000000000000007</v>
      </c>
      <c r="M51" s="276">
        <v>1.2</v>
      </c>
      <c r="N51" s="335">
        <v>1434.3</v>
      </c>
      <c r="P51" s="276" t="s">
        <v>632</v>
      </c>
      <c r="Q51" s="309">
        <v>3.2</v>
      </c>
      <c r="R51" s="309">
        <v>12</v>
      </c>
      <c r="S51" s="309">
        <v>23</v>
      </c>
      <c r="T51" s="309">
        <v>54.2</v>
      </c>
      <c r="U51" s="309">
        <v>80.738378378378371</v>
      </c>
      <c r="V51" s="309">
        <v>117.15067567567566</v>
      </c>
      <c r="W51" s="309">
        <v>75</v>
      </c>
      <c r="X51" s="309">
        <v>136</v>
      </c>
      <c r="Y51" s="309">
        <v>121.8</v>
      </c>
      <c r="Z51" s="309">
        <v>57</v>
      </c>
      <c r="AA51" s="310">
        <v>6.0773480662983426</v>
      </c>
      <c r="AB51" s="309">
        <v>1.2</v>
      </c>
      <c r="AC51" s="309">
        <f t="shared" si="0"/>
        <v>687.3664021203524</v>
      </c>
    </row>
    <row r="52" spans="1:29" x14ac:dyDescent="0.15">
      <c r="A52" s="280" t="s">
        <v>130</v>
      </c>
      <c r="B52" s="276">
        <v>3.4</v>
      </c>
      <c r="C52" s="276">
        <v>9.8000000000000007</v>
      </c>
      <c r="D52" s="276">
        <v>25.6</v>
      </c>
      <c r="E52" s="276">
        <v>71.2</v>
      </c>
      <c r="F52" s="276">
        <v>197.7</v>
      </c>
      <c r="G52" s="276">
        <v>209.4</v>
      </c>
      <c r="H52" s="276">
        <v>227.2</v>
      </c>
      <c r="I52" s="276">
        <v>265.8</v>
      </c>
      <c r="J52" s="276">
        <v>266.60000000000002</v>
      </c>
      <c r="K52" s="276">
        <v>87.2</v>
      </c>
      <c r="L52" s="276">
        <v>9.8000000000000007</v>
      </c>
      <c r="M52" s="276">
        <v>0.2</v>
      </c>
      <c r="N52" s="335">
        <v>1373.9</v>
      </c>
      <c r="P52" s="276" t="s">
        <v>633</v>
      </c>
      <c r="Q52" s="309">
        <v>3.4</v>
      </c>
      <c r="R52" s="309">
        <v>9.8000000000000007</v>
      </c>
      <c r="S52" s="309">
        <v>17.3</v>
      </c>
      <c r="T52" s="309">
        <v>46.5</v>
      </c>
      <c r="U52" s="309">
        <v>87.896351351351342</v>
      </c>
      <c r="V52" s="309">
        <v>93.098108108108107</v>
      </c>
      <c r="W52" s="309">
        <v>73.2</v>
      </c>
      <c r="X52" s="309">
        <v>132.69999999999999</v>
      </c>
      <c r="Y52" s="309">
        <v>118.8</v>
      </c>
      <c r="Z52" s="309">
        <v>50.1</v>
      </c>
      <c r="AA52" s="310">
        <v>6.7679558011049723</v>
      </c>
      <c r="AB52" s="309">
        <v>0.2</v>
      </c>
      <c r="AC52" s="309">
        <f t="shared" si="0"/>
        <v>639.76241526056447</v>
      </c>
    </row>
    <row r="53" spans="1:29" x14ac:dyDescent="0.15">
      <c r="A53" s="280" t="s">
        <v>43</v>
      </c>
      <c r="B53" s="276">
        <v>3</v>
      </c>
      <c r="C53" s="276">
        <v>21</v>
      </c>
      <c r="D53" s="276">
        <v>31</v>
      </c>
      <c r="E53" s="276">
        <v>87.7</v>
      </c>
      <c r="F53" s="276">
        <v>200.1</v>
      </c>
      <c r="G53" s="276">
        <v>206.2</v>
      </c>
      <c r="H53" s="276">
        <v>195.9</v>
      </c>
      <c r="I53" s="276">
        <v>244.6</v>
      </c>
      <c r="J53" s="276">
        <v>265.10000000000002</v>
      </c>
      <c r="K53" s="276">
        <v>101.6</v>
      </c>
      <c r="L53" s="276">
        <v>11.7</v>
      </c>
      <c r="M53" s="276">
        <v>1.2</v>
      </c>
      <c r="N53" s="335">
        <v>1369.1</v>
      </c>
      <c r="P53" s="276" t="s">
        <v>634</v>
      </c>
      <c r="Q53" s="309">
        <v>3</v>
      </c>
      <c r="R53" s="309">
        <v>16.600000000000001</v>
      </c>
      <c r="S53" s="309">
        <v>23.7</v>
      </c>
      <c r="T53" s="309">
        <v>54.8</v>
      </c>
      <c r="U53" s="309">
        <v>88.963378378378366</v>
      </c>
      <c r="V53" s="309">
        <v>91.675405405405385</v>
      </c>
      <c r="W53" s="309">
        <v>76.8</v>
      </c>
      <c r="X53" s="309">
        <v>139.30000000000001</v>
      </c>
      <c r="Y53" s="309">
        <v>124.7</v>
      </c>
      <c r="Z53" s="309">
        <v>71.599999999999994</v>
      </c>
      <c r="AA53" s="310">
        <v>8.0801104972375679</v>
      </c>
      <c r="AB53" s="309">
        <v>1.2</v>
      </c>
      <c r="AC53" s="309">
        <f t="shared" si="0"/>
        <v>700.41889428102138</v>
      </c>
    </row>
    <row r="54" spans="1:29" x14ac:dyDescent="0.15">
      <c r="A54" s="280" t="s">
        <v>35</v>
      </c>
      <c r="B54" s="276">
        <v>6.4</v>
      </c>
      <c r="C54" s="276">
        <v>17.600000000000001</v>
      </c>
      <c r="D54" s="276">
        <v>37.6</v>
      </c>
      <c r="E54" s="276">
        <v>95.9</v>
      </c>
      <c r="F54" s="276">
        <v>209.8</v>
      </c>
      <c r="G54" s="276">
        <v>164.8</v>
      </c>
      <c r="H54" s="276">
        <v>159.5</v>
      </c>
      <c r="I54" s="276">
        <v>177.5</v>
      </c>
      <c r="J54" s="276">
        <v>220.1</v>
      </c>
      <c r="K54" s="276">
        <v>117.4</v>
      </c>
      <c r="L54" s="276">
        <v>17.600000000000001</v>
      </c>
      <c r="M54" s="276">
        <v>3.9</v>
      </c>
      <c r="N54" s="335">
        <v>1228.0999999999999</v>
      </c>
      <c r="P54" s="276" t="s">
        <v>635</v>
      </c>
      <c r="Q54" s="309">
        <v>6.4</v>
      </c>
      <c r="R54" s="309">
        <v>12.3</v>
      </c>
      <c r="S54" s="309">
        <v>25.3</v>
      </c>
      <c r="T54" s="309">
        <v>60.5</v>
      </c>
      <c r="U54" s="309">
        <v>93.275945945945935</v>
      </c>
      <c r="V54" s="309">
        <v>73.269189189189191</v>
      </c>
      <c r="W54" s="309">
        <v>73.2</v>
      </c>
      <c r="X54" s="309">
        <v>113.6</v>
      </c>
      <c r="Y54" s="309">
        <v>118.8</v>
      </c>
      <c r="Z54" s="309">
        <v>68.2</v>
      </c>
      <c r="AA54" s="310">
        <v>12.154696132596685</v>
      </c>
      <c r="AB54" s="309">
        <v>3.9</v>
      </c>
      <c r="AC54" s="309">
        <f t="shared" si="0"/>
        <v>660.89983126773177</v>
      </c>
    </row>
    <row r="55" spans="1:29" x14ac:dyDescent="0.15">
      <c r="A55" s="280" t="s">
        <v>133</v>
      </c>
      <c r="B55" s="276">
        <v>1.3</v>
      </c>
      <c r="C55" s="276">
        <v>7.2</v>
      </c>
      <c r="D55" s="276">
        <v>26.6</v>
      </c>
      <c r="E55" s="276">
        <v>74</v>
      </c>
      <c r="F55" s="276">
        <v>171.9</v>
      </c>
      <c r="G55" s="276">
        <v>182.8</v>
      </c>
      <c r="H55" s="276">
        <v>186.6</v>
      </c>
      <c r="I55" s="276">
        <v>225.6</v>
      </c>
      <c r="J55" s="276">
        <v>247.4</v>
      </c>
      <c r="K55" s="276">
        <v>127</v>
      </c>
      <c r="L55" s="276">
        <v>22.4</v>
      </c>
      <c r="M55" s="276">
        <v>1.3</v>
      </c>
      <c r="N55" s="335">
        <v>1274.0999999999999</v>
      </c>
      <c r="P55" s="276" t="s">
        <v>636</v>
      </c>
      <c r="Q55" s="309">
        <v>1.3</v>
      </c>
      <c r="R55" s="309">
        <v>7.2</v>
      </c>
      <c r="S55" s="309">
        <v>17.5</v>
      </c>
      <c r="T55" s="309">
        <v>48.4</v>
      </c>
      <c r="U55" s="309">
        <v>76.425810810810802</v>
      </c>
      <c r="V55" s="309">
        <v>81.271891891891883</v>
      </c>
      <c r="W55" s="309">
        <v>80.5</v>
      </c>
      <c r="X55" s="309">
        <v>145.9</v>
      </c>
      <c r="Y55" s="309">
        <v>130.69999999999999</v>
      </c>
      <c r="Z55" s="309">
        <v>75</v>
      </c>
      <c r="AA55" s="310">
        <v>15.469613259668504</v>
      </c>
      <c r="AB55" s="309">
        <v>1.3</v>
      </c>
      <c r="AC55" s="309">
        <f t="shared" si="0"/>
        <v>680.967315962371</v>
      </c>
    </row>
    <row r="56" spans="1:29" x14ac:dyDescent="0.15">
      <c r="A56" s="280" t="s">
        <v>37</v>
      </c>
      <c r="B56" s="276">
        <v>4.4000000000000004</v>
      </c>
      <c r="C56" s="276">
        <v>18.600000000000001</v>
      </c>
      <c r="D56" s="276">
        <v>44.9</v>
      </c>
      <c r="E56" s="276">
        <v>93.7</v>
      </c>
      <c r="F56" s="276">
        <v>226.8</v>
      </c>
      <c r="G56" s="276">
        <v>252.9</v>
      </c>
      <c r="H56" s="276">
        <v>223.3</v>
      </c>
      <c r="I56" s="276">
        <v>297.89999999999998</v>
      </c>
      <c r="J56" s="276">
        <v>224.5</v>
      </c>
      <c r="K56" s="276">
        <v>80.3</v>
      </c>
      <c r="L56" s="276">
        <v>7.1</v>
      </c>
      <c r="M56" s="276">
        <v>2.7</v>
      </c>
      <c r="N56" s="335">
        <v>1477.1</v>
      </c>
      <c r="P56" s="276" t="s">
        <v>637</v>
      </c>
      <c r="Q56" s="309">
        <v>4.4000000000000004</v>
      </c>
      <c r="R56" s="309">
        <v>13.4</v>
      </c>
      <c r="S56" s="309">
        <v>34.700000000000003</v>
      </c>
      <c r="T56" s="309">
        <v>63.2</v>
      </c>
      <c r="U56" s="309">
        <v>100.83405405405405</v>
      </c>
      <c r="V56" s="309">
        <v>112.43797297297296</v>
      </c>
      <c r="W56" s="309">
        <v>87.8</v>
      </c>
      <c r="X56" s="309">
        <v>159.19999999999999</v>
      </c>
      <c r="Y56" s="309">
        <v>142.6</v>
      </c>
      <c r="Z56" s="309">
        <v>52.8</v>
      </c>
      <c r="AA56" s="310">
        <v>4.9033149171270711</v>
      </c>
      <c r="AB56" s="309">
        <v>2.7</v>
      </c>
      <c r="AC56" s="309">
        <f t="shared" si="0"/>
        <v>778.97534194415414</v>
      </c>
    </row>
    <row r="57" spans="1:29" x14ac:dyDescent="0.15">
      <c r="A57" s="280" t="s">
        <v>47</v>
      </c>
      <c r="B57" s="276">
        <v>2.7</v>
      </c>
      <c r="C57" s="276">
        <v>11</v>
      </c>
      <c r="D57" s="276">
        <v>20.8</v>
      </c>
      <c r="E57" s="276">
        <v>92.3</v>
      </c>
      <c r="F57" s="276">
        <v>176</v>
      </c>
      <c r="G57" s="276">
        <v>178.3</v>
      </c>
      <c r="H57" s="276">
        <v>201.1</v>
      </c>
      <c r="I57" s="276">
        <v>209.2</v>
      </c>
      <c r="J57" s="276">
        <v>254.9</v>
      </c>
      <c r="K57" s="276">
        <v>124.9</v>
      </c>
      <c r="L57" s="276">
        <v>22.5</v>
      </c>
      <c r="M57" s="276">
        <v>1.7</v>
      </c>
      <c r="N57" s="335">
        <v>1295.4000000000001</v>
      </c>
      <c r="P57" s="276" t="s">
        <v>638</v>
      </c>
      <c r="Q57" s="309">
        <v>2.7</v>
      </c>
      <c r="R57" s="309">
        <v>11</v>
      </c>
      <c r="S57" s="309">
        <v>17.7</v>
      </c>
      <c r="T57" s="309">
        <v>61.9</v>
      </c>
      <c r="U57" s="309">
        <v>78.24864864864864</v>
      </c>
      <c r="V57" s="309">
        <v>79.271216216216217</v>
      </c>
      <c r="W57" s="309">
        <v>95.1</v>
      </c>
      <c r="X57" s="309">
        <v>168</v>
      </c>
      <c r="Y57" s="309">
        <v>154.4</v>
      </c>
      <c r="Z57" s="309">
        <v>74.8</v>
      </c>
      <c r="AA57" s="310">
        <v>15.538674033149169</v>
      </c>
      <c r="AB57" s="309">
        <v>1.7</v>
      </c>
      <c r="AC57" s="309">
        <f t="shared" si="0"/>
        <v>760.35853889801399</v>
      </c>
    </row>
    <row r="58" spans="1:29" x14ac:dyDescent="0.15">
      <c r="A58" s="280" t="s">
        <v>34</v>
      </c>
      <c r="B58" s="276">
        <v>7</v>
      </c>
      <c r="C58" s="276">
        <v>10.5</v>
      </c>
      <c r="D58" s="276">
        <v>30.7</v>
      </c>
      <c r="E58" s="276">
        <v>89.5</v>
      </c>
      <c r="F58" s="276">
        <v>230.2</v>
      </c>
      <c r="G58" s="276">
        <v>256</v>
      </c>
      <c r="H58" s="276">
        <v>237</v>
      </c>
      <c r="I58" s="276">
        <v>286.5</v>
      </c>
      <c r="J58" s="276">
        <v>254.1</v>
      </c>
      <c r="K58" s="276">
        <v>76.599999999999994</v>
      </c>
      <c r="L58" s="276">
        <v>12.2</v>
      </c>
      <c r="M58" s="276">
        <v>3.3</v>
      </c>
      <c r="N58" s="335">
        <v>1493.6</v>
      </c>
      <c r="P58" s="276" t="s">
        <v>639</v>
      </c>
      <c r="Q58" s="309">
        <v>7</v>
      </c>
      <c r="R58" s="309">
        <v>10.5</v>
      </c>
      <c r="S58" s="309">
        <v>22.5</v>
      </c>
      <c r="T58" s="309">
        <v>57</v>
      </c>
      <c r="U58" s="309">
        <v>102.34567567567566</v>
      </c>
      <c r="V58" s="309">
        <v>113.8162162162162</v>
      </c>
      <c r="W58" s="309">
        <v>71.3</v>
      </c>
      <c r="X58" s="309">
        <v>129.4</v>
      </c>
      <c r="Y58" s="309">
        <v>115.8</v>
      </c>
      <c r="Z58" s="309">
        <v>45.6</v>
      </c>
      <c r="AA58" s="310">
        <v>8.4254143646408828</v>
      </c>
      <c r="AB58" s="309">
        <v>3.3</v>
      </c>
      <c r="AC58" s="309">
        <f t="shared" si="0"/>
        <v>686.98730625653275</v>
      </c>
    </row>
    <row r="59" spans="1:29" x14ac:dyDescent="0.15">
      <c r="A59" s="280" t="s">
        <v>134</v>
      </c>
      <c r="B59" s="276">
        <v>5.5</v>
      </c>
      <c r="C59" s="276">
        <v>19.399999999999999</v>
      </c>
      <c r="D59" s="276">
        <v>36.5</v>
      </c>
      <c r="E59" s="276">
        <v>82.7</v>
      </c>
      <c r="F59" s="276">
        <v>214.8</v>
      </c>
      <c r="G59" s="276">
        <v>223.2</v>
      </c>
      <c r="H59" s="276">
        <v>216.3</v>
      </c>
      <c r="I59" s="276">
        <v>254.5</v>
      </c>
      <c r="J59" s="276">
        <v>239.8</v>
      </c>
      <c r="K59" s="276">
        <v>84.2</v>
      </c>
      <c r="L59" s="276">
        <v>8.8000000000000007</v>
      </c>
      <c r="M59" s="276">
        <v>3.3</v>
      </c>
      <c r="N59" s="335">
        <v>1389</v>
      </c>
      <c r="P59" s="276" t="s">
        <v>640</v>
      </c>
      <c r="Q59" s="309">
        <v>7</v>
      </c>
      <c r="R59" s="309">
        <v>10.5</v>
      </c>
      <c r="S59" s="309">
        <v>22.5</v>
      </c>
      <c r="T59" s="309">
        <v>57</v>
      </c>
      <c r="U59" s="309">
        <v>95.498918918918918</v>
      </c>
      <c r="V59" s="309">
        <v>99.2335135135135</v>
      </c>
      <c r="W59" s="309">
        <v>71.3</v>
      </c>
      <c r="X59" s="309">
        <v>129.4</v>
      </c>
      <c r="Y59" s="309">
        <v>115.8</v>
      </c>
      <c r="Z59" s="309">
        <v>45.6</v>
      </c>
      <c r="AA59" s="310">
        <v>6.0773480662983426</v>
      </c>
      <c r="AB59" s="309">
        <v>3.3</v>
      </c>
      <c r="AC59" s="309">
        <f t="shared" si="0"/>
        <v>663.20978049873065</v>
      </c>
    </row>
    <row r="60" spans="1:29" x14ac:dyDescent="0.15">
      <c r="A60" s="280" t="s">
        <v>135</v>
      </c>
      <c r="B60" s="276">
        <v>3.3</v>
      </c>
      <c r="C60" s="276">
        <v>15.1</v>
      </c>
      <c r="D60" s="276">
        <v>32.5</v>
      </c>
      <c r="E60" s="276">
        <v>82</v>
      </c>
      <c r="F60" s="276">
        <v>177.7</v>
      </c>
      <c r="G60" s="276">
        <v>211.2</v>
      </c>
      <c r="H60" s="276">
        <v>198.6</v>
      </c>
      <c r="I60" s="276">
        <v>241.3</v>
      </c>
      <c r="J60" s="276">
        <v>252.8</v>
      </c>
      <c r="K60" s="276">
        <v>108.9</v>
      </c>
      <c r="L60" s="276">
        <v>12.7</v>
      </c>
      <c r="M60" s="276">
        <v>1.9</v>
      </c>
      <c r="N60" s="335">
        <v>1338</v>
      </c>
      <c r="P60" s="276" t="s">
        <v>641</v>
      </c>
      <c r="Q60" s="309">
        <v>0.7</v>
      </c>
      <c r="R60" s="309">
        <v>11.4</v>
      </c>
      <c r="S60" s="309">
        <v>25.2</v>
      </c>
      <c r="T60" s="309">
        <v>57.1</v>
      </c>
      <c r="U60" s="309">
        <v>79.00445945945944</v>
      </c>
      <c r="V60" s="309">
        <v>93.898378378378368</v>
      </c>
      <c r="W60" s="309">
        <v>93.3</v>
      </c>
      <c r="X60" s="309">
        <v>169.2</v>
      </c>
      <c r="Y60" s="309">
        <v>151.5</v>
      </c>
      <c r="Z60" s="309">
        <v>60.5</v>
      </c>
      <c r="AA60" s="310">
        <v>8.7707182320441976</v>
      </c>
      <c r="AB60" s="309">
        <v>1.9</v>
      </c>
      <c r="AC60" s="309">
        <f t="shared" si="0"/>
        <v>752.47355606988197</v>
      </c>
    </row>
    <row r="61" spans="1:29" x14ac:dyDescent="0.15">
      <c r="A61" s="280" t="s">
        <v>36</v>
      </c>
      <c r="B61" s="276">
        <v>5.5</v>
      </c>
      <c r="C61" s="276">
        <v>19.399999999999999</v>
      </c>
      <c r="D61" s="276">
        <v>36.5</v>
      </c>
      <c r="E61" s="276">
        <v>82.7</v>
      </c>
      <c r="F61" s="276">
        <v>214.8</v>
      </c>
      <c r="G61" s="276">
        <v>223.2</v>
      </c>
      <c r="H61" s="276">
        <v>216.3</v>
      </c>
      <c r="I61" s="276">
        <v>254.5</v>
      </c>
      <c r="J61" s="276">
        <v>239.8</v>
      </c>
      <c r="K61" s="276">
        <v>84.2</v>
      </c>
      <c r="L61" s="276">
        <v>8.8000000000000007</v>
      </c>
      <c r="M61" s="276">
        <v>3.3</v>
      </c>
      <c r="N61" s="335">
        <v>1389</v>
      </c>
      <c r="P61" s="276" t="s">
        <v>642</v>
      </c>
      <c r="Q61" s="309">
        <v>5.5</v>
      </c>
      <c r="R61" s="309">
        <v>16.399999999999999</v>
      </c>
      <c r="S61" s="309">
        <v>25.8</v>
      </c>
      <c r="T61" s="309">
        <v>53.3</v>
      </c>
      <c r="U61" s="309">
        <v>95.498918918918918</v>
      </c>
      <c r="V61" s="309">
        <v>99.2335135135135</v>
      </c>
      <c r="W61" s="309">
        <v>80.599999999999994</v>
      </c>
      <c r="X61" s="309">
        <v>145.69999999999999</v>
      </c>
      <c r="Y61" s="309">
        <v>129</v>
      </c>
      <c r="Z61" s="309">
        <v>53</v>
      </c>
      <c r="AA61" s="310">
        <v>6.0773480662983426</v>
      </c>
      <c r="AB61" s="309">
        <v>3.3</v>
      </c>
      <c r="AC61" s="309">
        <f t="shared" si="0"/>
        <v>713.4097804987307</v>
      </c>
    </row>
    <row r="62" spans="1:29" x14ac:dyDescent="0.15">
      <c r="A62" s="280" t="s">
        <v>44</v>
      </c>
      <c r="B62" s="276">
        <v>0.7</v>
      </c>
      <c r="C62" s="276">
        <v>11.4</v>
      </c>
      <c r="D62" s="276">
        <v>30.6</v>
      </c>
      <c r="E62" s="276">
        <v>86.6</v>
      </c>
      <c r="F62" s="276">
        <v>211</v>
      </c>
      <c r="G62" s="276">
        <v>248.6</v>
      </c>
      <c r="H62" s="276">
        <v>252.6</v>
      </c>
      <c r="I62" s="276">
        <v>282.60000000000002</v>
      </c>
      <c r="J62" s="276">
        <v>268.60000000000002</v>
      </c>
      <c r="K62" s="276">
        <v>98.5</v>
      </c>
      <c r="L62" s="276">
        <v>24</v>
      </c>
      <c r="M62" s="276">
        <v>1.9</v>
      </c>
      <c r="N62" s="335">
        <v>1517.1</v>
      </c>
      <c r="P62" s="276" t="s">
        <v>643</v>
      </c>
      <c r="Q62" s="309">
        <v>0.7</v>
      </c>
      <c r="R62" s="309">
        <v>11.4</v>
      </c>
      <c r="S62" s="309">
        <v>25.2</v>
      </c>
      <c r="T62" s="309">
        <v>57.1</v>
      </c>
      <c r="U62" s="309">
        <v>93.809459459459447</v>
      </c>
      <c r="V62" s="309">
        <v>110.5262162162162</v>
      </c>
      <c r="W62" s="309">
        <v>93.3</v>
      </c>
      <c r="X62" s="309">
        <v>169.2</v>
      </c>
      <c r="Y62" s="309">
        <v>151.5</v>
      </c>
      <c r="Z62" s="309">
        <v>60.5</v>
      </c>
      <c r="AA62" s="310">
        <v>16.574585635359114</v>
      </c>
      <c r="AB62" s="309">
        <v>1.9</v>
      </c>
      <c r="AC62" s="309">
        <f t="shared" si="0"/>
        <v>791.71026131103474</v>
      </c>
    </row>
    <row r="63" spans="1:29" x14ac:dyDescent="0.15">
      <c r="A63" s="280" t="s">
        <v>92</v>
      </c>
      <c r="B63" s="276">
        <v>31.3</v>
      </c>
      <c r="C63" s="276">
        <v>25.7</v>
      </c>
      <c r="D63" s="276">
        <v>56.3</v>
      </c>
      <c r="E63" s="276">
        <v>127</v>
      </c>
      <c r="F63" s="276">
        <v>241.3</v>
      </c>
      <c r="G63" s="276">
        <v>238.1</v>
      </c>
      <c r="H63" s="276">
        <v>247.1</v>
      </c>
      <c r="I63" s="276">
        <v>254.7</v>
      </c>
      <c r="J63" s="276">
        <v>282.10000000000002</v>
      </c>
      <c r="K63" s="276">
        <v>253.5</v>
      </c>
      <c r="L63" s="276">
        <v>175.2</v>
      </c>
      <c r="M63" s="276">
        <v>59</v>
      </c>
      <c r="N63" s="335">
        <v>1991.3</v>
      </c>
      <c r="P63" s="276" t="s">
        <v>644</v>
      </c>
      <c r="Q63" s="309">
        <v>16</v>
      </c>
      <c r="R63" s="309">
        <v>40.799999999999997</v>
      </c>
      <c r="S63" s="309">
        <v>86.7</v>
      </c>
      <c r="T63" s="309">
        <v>85.2</v>
      </c>
      <c r="U63" s="309">
        <v>107.28067567567567</v>
      </c>
      <c r="V63" s="309">
        <v>105.85797297297296</v>
      </c>
      <c r="W63" s="309">
        <v>69.5</v>
      </c>
      <c r="X63" s="309">
        <v>122</v>
      </c>
      <c r="Y63" s="309">
        <v>116.6</v>
      </c>
      <c r="Z63" s="309">
        <v>62.7</v>
      </c>
      <c r="AA63" s="310">
        <v>120.99447513812152</v>
      </c>
      <c r="AB63" s="309">
        <v>59</v>
      </c>
      <c r="AC63" s="309">
        <f t="shared" si="0"/>
        <v>992.63312378677017</v>
      </c>
    </row>
    <row r="64" spans="1:29" x14ac:dyDescent="0.15">
      <c r="A64" s="280" t="s">
        <v>74</v>
      </c>
      <c r="B64" s="276">
        <v>93.9</v>
      </c>
      <c r="C64" s="276">
        <v>62.8</v>
      </c>
      <c r="D64" s="276">
        <v>56.5</v>
      </c>
      <c r="E64" s="276">
        <v>74.400000000000006</v>
      </c>
      <c r="F64" s="276">
        <v>188.8</v>
      </c>
      <c r="G64" s="276">
        <v>173.5</v>
      </c>
      <c r="H64" s="276">
        <v>174.2</v>
      </c>
      <c r="I64" s="276">
        <v>204.5</v>
      </c>
      <c r="J64" s="276">
        <v>157.69999999999999</v>
      </c>
      <c r="K64" s="276">
        <v>254.1</v>
      </c>
      <c r="L64" s="276">
        <v>301.39999999999998</v>
      </c>
      <c r="M64" s="276">
        <v>118.1</v>
      </c>
      <c r="N64" s="335">
        <v>1859.9</v>
      </c>
      <c r="P64" s="276" t="s">
        <v>645</v>
      </c>
      <c r="Q64" s="309">
        <v>39.4</v>
      </c>
      <c r="R64" s="309">
        <v>37.5</v>
      </c>
      <c r="S64" s="309">
        <v>54.1</v>
      </c>
      <c r="T64" s="309">
        <v>71.599999999999994</v>
      </c>
      <c r="U64" s="309">
        <v>83.939459459459457</v>
      </c>
      <c r="V64" s="309">
        <v>77.137162162162156</v>
      </c>
      <c r="W64" s="309">
        <v>64</v>
      </c>
      <c r="X64" s="309">
        <v>97.6</v>
      </c>
      <c r="Y64" s="309">
        <v>107.4</v>
      </c>
      <c r="Z64" s="309">
        <v>57.7</v>
      </c>
      <c r="AA64" s="310">
        <v>208.1491712707182</v>
      </c>
      <c r="AB64" s="309">
        <v>118.1</v>
      </c>
      <c r="AC64" s="309">
        <f t="shared" si="0"/>
        <v>1016.6257928923399</v>
      </c>
    </row>
    <row r="65" spans="1:29" x14ac:dyDescent="0.15">
      <c r="A65" s="280" t="s">
        <v>136</v>
      </c>
      <c r="B65" s="276">
        <v>51.8</v>
      </c>
      <c r="C65" s="276">
        <v>23.5</v>
      </c>
      <c r="D65" s="276">
        <v>42.7</v>
      </c>
      <c r="E65" s="276">
        <v>177.4</v>
      </c>
      <c r="F65" s="276">
        <v>227.7</v>
      </c>
      <c r="G65" s="276">
        <v>217.7</v>
      </c>
      <c r="H65" s="276">
        <v>241.9</v>
      </c>
      <c r="I65" s="276">
        <v>237.5</v>
      </c>
      <c r="J65" s="276">
        <v>273.10000000000002</v>
      </c>
      <c r="K65" s="276">
        <v>263.8</v>
      </c>
      <c r="L65" s="276">
        <v>228.6</v>
      </c>
      <c r="M65" s="276">
        <v>130.19999999999999</v>
      </c>
      <c r="N65" s="335">
        <v>2115.9</v>
      </c>
      <c r="P65" s="276" t="s">
        <v>646</v>
      </c>
      <c r="Q65" s="309">
        <v>15.2</v>
      </c>
      <c r="R65" s="309">
        <v>32.299999999999997</v>
      </c>
      <c r="S65" s="309">
        <v>82.3</v>
      </c>
      <c r="T65" s="309">
        <v>86.9</v>
      </c>
      <c r="U65" s="309">
        <v>101.23418918918918</v>
      </c>
      <c r="V65" s="309">
        <v>96.78824324324323</v>
      </c>
      <c r="W65" s="309">
        <v>67.7</v>
      </c>
      <c r="X65" s="309">
        <v>118.8</v>
      </c>
      <c r="Y65" s="309">
        <v>113.5</v>
      </c>
      <c r="Z65" s="309">
        <v>61</v>
      </c>
      <c r="AA65" s="310">
        <v>157.87292817679554</v>
      </c>
      <c r="AB65" s="309">
        <v>130.19999999999999</v>
      </c>
      <c r="AC65" s="309">
        <f t="shared" si="0"/>
        <v>1063.7953606092278</v>
      </c>
    </row>
    <row r="66" spans="1:29" x14ac:dyDescent="0.15">
      <c r="A66" s="280" t="s">
        <v>79</v>
      </c>
      <c r="B66" s="276">
        <v>173.5</v>
      </c>
      <c r="C66" s="276">
        <v>42.5</v>
      </c>
      <c r="D66" s="276">
        <v>44.6</v>
      </c>
      <c r="E66" s="276">
        <v>94.4</v>
      </c>
      <c r="F66" s="276">
        <v>169.6</v>
      </c>
      <c r="G66" s="276">
        <v>95.1</v>
      </c>
      <c r="H66" s="276">
        <v>108.1</v>
      </c>
      <c r="I66" s="276">
        <v>97.3</v>
      </c>
      <c r="J66" s="276">
        <v>160.80000000000001</v>
      </c>
      <c r="K66" s="276">
        <v>287.2</v>
      </c>
      <c r="L66" s="276">
        <v>339.3</v>
      </c>
      <c r="M66" s="276">
        <v>312.8</v>
      </c>
      <c r="N66" s="335">
        <v>1925.2</v>
      </c>
      <c r="P66" s="276" t="s">
        <v>647</v>
      </c>
      <c r="Q66" s="309">
        <v>26.4</v>
      </c>
      <c r="R66" s="309">
        <v>31.5</v>
      </c>
      <c r="S66" s="309">
        <v>63.5</v>
      </c>
      <c r="T66" s="309">
        <v>66.5</v>
      </c>
      <c r="U66" s="309">
        <v>75.403243243243239</v>
      </c>
      <c r="V66" s="309">
        <v>42.280945945945938</v>
      </c>
      <c r="W66" s="309">
        <v>63</v>
      </c>
      <c r="X66" s="309">
        <v>105.2</v>
      </c>
      <c r="Y66" s="309">
        <v>116.6</v>
      </c>
      <c r="Z66" s="309">
        <v>62.7</v>
      </c>
      <c r="AA66" s="310">
        <v>234.32320441988946</v>
      </c>
      <c r="AB66" s="309">
        <v>312.8</v>
      </c>
      <c r="AC66" s="309">
        <f t="shared" si="0"/>
        <v>1200.2073936090785</v>
      </c>
    </row>
    <row r="67" spans="1:29" x14ac:dyDescent="0.15">
      <c r="A67" s="280" t="s">
        <v>86</v>
      </c>
      <c r="B67" s="276">
        <v>134.1</v>
      </c>
      <c r="C67" s="276">
        <v>45.3</v>
      </c>
      <c r="D67" s="276">
        <v>71.7</v>
      </c>
      <c r="E67" s="276">
        <v>68.8</v>
      </c>
      <c r="F67" s="276">
        <v>145.5</v>
      </c>
      <c r="G67" s="276">
        <v>116.7</v>
      </c>
      <c r="H67" s="276">
        <v>150.6</v>
      </c>
      <c r="I67" s="276">
        <v>146.5</v>
      </c>
      <c r="J67" s="276">
        <v>188.8</v>
      </c>
      <c r="K67" s="276">
        <v>250.4</v>
      </c>
      <c r="L67" s="276">
        <v>335.4</v>
      </c>
      <c r="M67" s="276">
        <v>327.3</v>
      </c>
      <c r="N67" s="335">
        <v>1981.1</v>
      </c>
      <c r="P67" s="276" t="s">
        <v>648</v>
      </c>
      <c r="Q67" s="309">
        <v>27.5</v>
      </c>
      <c r="R67" s="309">
        <v>52</v>
      </c>
      <c r="S67" s="309">
        <v>45.5</v>
      </c>
      <c r="T67" s="309">
        <v>69.900000000000006</v>
      </c>
      <c r="U67" s="309">
        <v>64.688513513513513</v>
      </c>
      <c r="V67" s="309">
        <v>51.884189189189186</v>
      </c>
      <c r="W67" s="309">
        <v>71.3</v>
      </c>
      <c r="X67" s="309">
        <v>120.4</v>
      </c>
      <c r="Y67" s="309">
        <v>119.7</v>
      </c>
      <c r="Z67" s="309">
        <v>64.3</v>
      </c>
      <c r="AA67" s="310">
        <v>231.62983425414359</v>
      </c>
      <c r="AB67" s="309">
        <v>327.3</v>
      </c>
      <c r="AC67" s="309">
        <f t="shared" ref="AC67:AC78" si="1">SUM(Q67:AB67)</f>
        <v>1246.1025369568463</v>
      </c>
    </row>
    <row r="68" spans="1:29" x14ac:dyDescent="0.15">
      <c r="A68" s="280" t="s">
        <v>72</v>
      </c>
      <c r="B68" s="276">
        <v>41.7</v>
      </c>
      <c r="C68" s="276">
        <v>54.7</v>
      </c>
      <c r="D68" s="276">
        <v>42.1</v>
      </c>
      <c r="E68" s="276">
        <v>41</v>
      </c>
      <c r="F68" s="276">
        <v>123.6</v>
      </c>
      <c r="G68" s="276">
        <v>94.9</v>
      </c>
      <c r="H68" s="276">
        <v>89</v>
      </c>
      <c r="I68" s="276">
        <v>102.7</v>
      </c>
      <c r="J68" s="276">
        <v>95.8</v>
      </c>
      <c r="K68" s="276">
        <v>204</v>
      </c>
      <c r="L68" s="276">
        <v>220</v>
      </c>
      <c r="M68" s="276">
        <v>35.4</v>
      </c>
      <c r="N68" s="335">
        <v>1144.9000000000001</v>
      </c>
      <c r="P68" s="276" t="s">
        <v>649</v>
      </c>
      <c r="Q68" s="309">
        <v>35.6</v>
      </c>
      <c r="R68" s="309">
        <v>32.1</v>
      </c>
      <c r="S68" s="309">
        <v>31.4</v>
      </c>
      <c r="T68" s="309">
        <v>74.5</v>
      </c>
      <c r="U68" s="309">
        <v>54.951891891891883</v>
      </c>
      <c r="V68" s="309">
        <v>42.192027027027024</v>
      </c>
      <c r="W68" s="309">
        <v>64</v>
      </c>
      <c r="X68" s="309">
        <v>67</v>
      </c>
      <c r="Y68" s="309">
        <v>127.8</v>
      </c>
      <c r="Z68" s="309">
        <v>72.599999999999994</v>
      </c>
      <c r="AA68" s="310">
        <v>151.93370165745853</v>
      </c>
      <c r="AB68" s="309">
        <v>35.4</v>
      </c>
      <c r="AC68" s="309">
        <f t="shared" si="1"/>
        <v>789.47762057637738</v>
      </c>
    </row>
    <row r="69" spans="1:29" x14ac:dyDescent="0.15">
      <c r="A69" s="280" t="s">
        <v>137</v>
      </c>
      <c r="B69" s="276">
        <v>85</v>
      </c>
      <c r="C69" s="276">
        <v>13.8</v>
      </c>
      <c r="D69" s="276">
        <v>26.9</v>
      </c>
      <c r="E69" s="276">
        <v>44.2</v>
      </c>
      <c r="F69" s="276">
        <v>108.3</v>
      </c>
      <c r="G69" s="276">
        <v>94.5</v>
      </c>
      <c r="H69" s="276">
        <v>102</v>
      </c>
      <c r="I69" s="276">
        <v>104.2</v>
      </c>
      <c r="J69" s="276">
        <v>129.80000000000001</v>
      </c>
      <c r="K69" s="276">
        <v>208.6</v>
      </c>
      <c r="L69" s="276">
        <v>316.7</v>
      </c>
      <c r="M69" s="276">
        <v>282.7</v>
      </c>
      <c r="N69" s="335">
        <v>1516.7</v>
      </c>
      <c r="P69" s="276" t="s">
        <v>650</v>
      </c>
      <c r="Q69" s="309">
        <v>10.3</v>
      </c>
      <c r="R69" s="309">
        <v>18.7</v>
      </c>
      <c r="S69" s="309">
        <v>33.9</v>
      </c>
      <c r="T69" s="309">
        <v>65.8</v>
      </c>
      <c r="U69" s="309">
        <v>48.149594594594589</v>
      </c>
      <c r="V69" s="309">
        <v>42.014189189189182</v>
      </c>
      <c r="W69" s="309">
        <v>64.7</v>
      </c>
      <c r="X69" s="309">
        <v>87.3</v>
      </c>
      <c r="Y69" s="309">
        <v>141.19999999999999</v>
      </c>
      <c r="Z69" s="309">
        <v>75.900000000000006</v>
      </c>
      <c r="AA69" s="310">
        <v>218.71546961325964</v>
      </c>
      <c r="AB69" s="309">
        <v>282.7</v>
      </c>
      <c r="AC69" s="309">
        <f t="shared" si="1"/>
        <v>1089.3792533970434</v>
      </c>
    </row>
    <row r="70" spans="1:29" x14ac:dyDescent="0.15">
      <c r="A70" s="280" t="s">
        <v>138</v>
      </c>
      <c r="B70" s="276">
        <v>40.299999999999997</v>
      </c>
      <c r="C70" s="276">
        <v>39.700000000000003</v>
      </c>
      <c r="D70" s="276">
        <v>76.900000000000006</v>
      </c>
      <c r="E70" s="276">
        <v>180</v>
      </c>
      <c r="F70" s="276">
        <v>303.5</v>
      </c>
      <c r="G70" s="276">
        <v>317.7</v>
      </c>
      <c r="H70" s="276">
        <v>313</v>
      </c>
      <c r="I70" s="276">
        <v>320.39999999999998</v>
      </c>
      <c r="J70" s="276">
        <v>325.39999999999998</v>
      </c>
      <c r="K70" s="276">
        <v>296.2</v>
      </c>
      <c r="L70" s="276">
        <v>180</v>
      </c>
      <c r="M70" s="276">
        <v>52</v>
      </c>
      <c r="N70" s="335">
        <v>2445.1</v>
      </c>
      <c r="P70" s="276" t="s">
        <v>651</v>
      </c>
      <c r="Q70" s="309">
        <v>27.6</v>
      </c>
      <c r="R70" s="309">
        <v>56</v>
      </c>
      <c r="S70" s="309">
        <v>120.7</v>
      </c>
      <c r="T70" s="309">
        <v>85.2</v>
      </c>
      <c r="U70" s="309">
        <v>134.93445945945945</v>
      </c>
      <c r="V70" s="309">
        <v>141.2477027027027</v>
      </c>
      <c r="W70" s="309">
        <v>69.5</v>
      </c>
      <c r="X70" s="309">
        <v>122</v>
      </c>
      <c r="Y70" s="309">
        <v>116.6</v>
      </c>
      <c r="Z70" s="309">
        <v>62.7</v>
      </c>
      <c r="AA70" s="310">
        <v>124.30939226519335</v>
      </c>
      <c r="AB70" s="309">
        <v>52</v>
      </c>
      <c r="AC70" s="309">
        <f t="shared" si="1"/>
        <v>1112.7915544273555</v>
      </c>
    </row>
    <row r="71" spans="1:29" x14ac:dyDescent="0.15">
      <c r="A71" s="280" t="s">
        <v>139</v>
      </c>
      <c r="B71" s="276">
        <v>139.69999999999999</v>
      </c>
      <c r="C71" s="276">
        <v>37.4</v>
      </c>
      <c r="D71" s="276">
        <v>51.6</v>
      </c>
      <c r="E71" s="276">
        <v>97.5</v>
      </c>
      <c r="F71" s="276">
        <v>139.69999999999999</v>
      </c>
      <c r="G71" s="276">
        <v>79.099999999999994</v>
      </c>
      <c r="H71" s="276">
        <v>90.6</v>
      </c>
      <c r="I71" s="276">
        <v>91.6</v>
      </c>
      <c r="J71" s="276">
        <v>116</v>
      </c>
      <c r="K71" s="276">
        <v>257.7</v>
      </c>
      <c r="L71" s="276">
        <v>330.9</v>
      </c>
      <c r="M71" s="276">
        <v>314.89999999999998</v>
      </c>
      <c r="N71" s="335">
        <v>1746.7</v>
      </c>
      <c r="P71" s="276" t="s">
        <v>139</v>
      </c>
      <c r="Q71" s="309">
        <v>23.2</v>
      </c>
      <c r="R71" s="309">
        <v>38.799999999999997</v>
      </c>
      <c r="S71" s="309">
        <v>68</v>
      </c>
      <c r="T71" s="309">
        <v>80.099999999999994</v>
      </c>
      <c r="U71" s="309">
        <v>62.109864864864853</v>
      </c>
      <c r="V71" s="309">
        <v>35.167432432432427</v>
      </c>
      <c r="W71" s="309">
        <v>57.5</v>
      </c>
      <c r="X71" s="309">
        <v>79.7</v>
      </c>
      <c r="Y71" s="309">
        <v>132</v>
      </c>
      <c r="Z71" s="309">
        <v>70.900000000000006</v>
      </c>
      <c r="AA71" s="310">
        <v>228.52209944751377</v>
      </c>
      <c r="AB71" s="309">
        <v>314.89999999999998</v>
      </c>
      <c r="AC71" s="309">
        <f t="shared" si="1"/>
        <v>1190.8993967448109</v>
      </c>
    </row>
    <row r="72" spans="1:29" x14ac:dyDescent="0.15">
      <c r="A72" s="280" t="s">
        <v>71</v>
      </c>
      <c r="B72" s="276">
        <v>12.1</v>
      </c>
      <c r="C72" s="276">
        <v>2.8</v>
      </c>
      <c r="D72" s="276">
        <v>12.5</v>
      </c>
      <c r="E72" s="276">
        <v>43.5</v>
      </c>
      <c r="F72" s="276">
        <v>94.4</v>
      </c>
      <c r="G72" s="276">
        <v>84</v>
      </c>
      <c r="H72" s="276">
        <v>80.099999999999994</v>
      </c>
      <c r="I72" s="276">
        <v>106.5</v>
      </c>
      <c r="J72" s="276">
        <v>130.30000000000001</v>
      </c>
      <c r="K72" s="276">
        <v>246.5</v>
      </c>
      <c r="L72" s="276">
        <v>198.4</v>
      </c>
      <c r="M72" s="276">
        <v>15.7</v>
      </c>
      <c r="N72" s="335">
        <v>1026.8</v>
      </c>
      <c r="P72" s="276" t="s">
        <v>652</v>
      </c>
      <c r="Q72" s="309">
        <v>10.6</v>
      </c>
      <c r="R72" s="309">
        <v>2.8</v>
      </c>
      <c r="S72" s="309">
        <v>12</v>
      </c>
      <c r="T72" s="309">
        <v>28.4</v>
      </c>
      <c r="U72" s="309">
        <v>41.969729729729728</v>
      </c>
      <c r="V72" s="309">
        <v>37.345945945945942</v>
      </c>
      <c r="W72" s="309">
        <v>52</v>
      </c>
      <c r="X72" s="309">
        <v>73.900000000000006</v>
      </c>
      <c r="Y72" s="309">
        <v>88.2</v>
      </c>
      <c r="Z72" s="309">
        <v>69.900000000000006</v>
      </c>
      <c r="AA72" s="310">
        <v>137.01657458563534</v>
      </c>
      <c r="AB72" s="309">
        <v>15.7</v>
      </c>
      <c r="AC72" s="309">
        <f t="shared" si="1"/>
        <v>569.83225026131106</v>
      </c>
    </row>
    <row r="73" spans="1:29" x14ac:dyDescent="0.15">
      <c r="A73" s="280" t="s">
        <v>89</v>
      </c>
      <c r="B73" s="276">
        <v>29.8</v>
      </c>
      <c r="C73" s="276">
        <v>20.9</v>
      </c>
      <c r="D73" s="276">
        <v>49.1</v>
      </c>
      <c r="E73" s="276">
        <v>121.9</v>
      </c>
      <c r="F73" s="276">
        <v>278.7</v>
      </c>
      <c r="G73" s="276">
        <v>249.8</v>
      </c>
      <c r="H73" s="276">
        <v>263.8</v>
      </c>
      <c r="I73" s="276">
        <v>252.2</v>
      </c>
      <c r="J73" s="276">
        <v>309.8</v>
      </c>
      <c r="K73" s="276">
        <v>274.3</v>
      </c>
      <c r="L73" s="276">
        <v>175.7</v>
      </c>
      <c r="M73" s="276">
        <v>59.4</v>
      </c>
      <c r="N73" s="335">
        <v>2085.4</v>
      </c>
      <c r="P73" s="276" t="s">
        <v>653</v>
      </c>
      <c r="Q73" s="309">
        <v>14</v>
      </c>
      <c r="R73" s="309">
        <v>39.299999999999997</v>
      </c>
      <c r="S73" s="309">
        <v>85.3</v>
      </c>
      <c r="T73" s="309">
        <v>85.2</v>
      </c>
      <c r="U73" s="309">
        <v>123.9085135135135</v>
      </c>
      <c r="V73" s="309">
        <v>111.05972972972972</v>
      </c>
      <c r="W73" s="309">
        <v>69.5</v>
      </c>
      <c r="X73" s="309">
        <v>122</v>
      </c>
      <c r="Y73" s="309">
        <v>116.6</v>
      </c>
      <c r="Z73" s="309">
        <v>62.7</v>
      </c>
      <c r="AA73" s="310">
        <v>121.33977900552483</v>
      </c>
      <c r="AB73" s="309">
        <v>59.4</v>
      </c>
      <c r="AC73" s="309">
        <f t="shared" si="1"/>
        <v>1010.3080222487681</v>
      </c>
    </row>
    <row r="74" spans="1:29" x14ac:dyDescent="0.15">
      <c r="A74" s="280" t="s">
        <v>140</v>
      </c>
      <c r="B74" s="276">
        <v>89</v>
      </c>
      <c r="C74" s="276">
        <v>35.700000000000003</v>
      </c>
      <c r="D74" s="276">
        <v>58</v>
      </c>
      <c r="E74" s="276">
        <v>96.9</v>
      </c>
      <c r="F74" s="276">
        <v>168.1</v>
      </c>
      <c r="G74" s="276">
        <v>109.8</v>
      </c>
      <c r="H74" s="276">
        <v>125.5</v>
      </c>
      <c r="I74" s="276">
        <v>136.5</v>
      </c>
      <c r="J74" s="276">
        <v>170.5</v>
      </c>
      <c r="K74" s="276">
        <v>234.8</v>
      </c>
      <c r="L74" s="276">
        <v>267.3</v>
      </c>
      <c r="M74" s="276">
        <v>250.2</v>
      </c>
      <c r="N74" s="335">
        <v>1742.3</v>
      </c>
      <c r="P74" s="276" t="s">
        <v>140</v>
      </c>
      <c r="Q74" s="309">
        <v>22.6</v>
      </c>
      <c r="R74" s="309">
        <v>45.6</v>
      </c>
      <c r="S74" s="309">
        <v>69.8</v>
      </c>
      <c r="T74" s="309">
        <v>90.4</v>
      </c>
      <c r="U74" s="309">
        <v>74.736351351351345</v>
      </c>
      <c r="V74" s="309">
        <v>48.816486486486482</v>
      </c>
      <c r="W74" s="309">
        <v>84.1</v>
      </c>
      <c r="X74" s="309">
        <v>113.3</v>
      </c>
      <c r="Y74" s="309">
        <v>141.19999999999999</v>
      </c>
      <c r="Z74" s="309">
        <v>75.900000000000006</v>
      </c>
      <c r="AA74" s="310">
        <v>184.59944751381212</v>
      </c>
      <c r="AB74" s="309">
        <v>250.2</v>
      </c>
      <c r="AC74" s="309">
        <f t="shared" si="1"/>
        <v>1201.25228535165</v>
      </c>
    </row>
    <row r="75" spans="1:29" x14ac:dyDescent="0.15">
      <c r="A75" s="280" t="s">
        <v>87</v>
      </c>
      <c r="B75" s="276">
        <v>18.600000000000001</v>
      </c>
      <c r="C75" s="276">
        <v>12.6</v>
      </c>
      <c r="D75" s="276">
        <v>33.799999999999997</v>
      </c>
      <c r="E75" s="276">
        <v>139.69999999999999</v>
      </c>
      <c r="F75" s="276">
        <v>326.2</v>
      </c>
      <c r="G75" s="276">
        <v>348.4</v>
      </c>
      <c r="H75" s="276">
        <v>340.4</v>
      </c>
      <c r="I75" s="276">
        <v>355.8</v>
      </c>
      <c r="J75" s="276">
        <v>342.5</v>
      </c>
      <c r="K75" s="276">
        <v>307.5</v>
      </c>
      <c r="L75" s="276">
        <v>164.8</v>
      </c>
      <c r="M75" s="276">
        <v>37.9</v>
      </c>
      <c r="N75" s="335">
        <v>2428.1999999999998</v>
      </c>
      <c r="P75" s="276" t="s">
        <v>87</v>
      </c>
      <c r="Q75" s="309">
        <v>10</v>
      </c>
      <c r="R75" s="309">
        <v>23.7</v>
      </c>
      <c r="S75" s="309">
        <v>94.2</v>
      </c>
      <c r="T75" s="309">
        <v>69.900000000000006</v>
      </c>
      <c r="U75" s="309">
        <v>145.02675675675673</v>
      </c>
      <c r="V75" s="309">
        <v>154.89675675675673</v>
      </c>
      <c r="W75" s="309">
        <v>54.9</v>
      </c>
      <c r="X75" s="309">
        <v>96.3</v>
      </c>
      <c r="Y75" s="309">
        <v>92.1</v>
      </c>
      <c r="Z75" s="309">
        <v>49.5</v>
      </c>
      <c r="AA75" s="310">
        <v>113.81215469613259</v>
      </c>
      <c r="AB75" s="309">
        <v>37.9</v>
      </c>
      <c r="AC75" s="309">
        <f t="shared" si="1"/>
        <v>942.23566820964595</v>
      </c>
    </row>
    <row r="76" spans="1:29" x14ac:dyDescent="0.15">
      <c r="A76" s="280" t="s">
        <v>83</v>
      </c>
      <c r="B76" s="276">
        <v>81.900000000000006</v>
      </c>
      <c r="C76" s="276">
        <v>25.5</v>
      </c>
      <c r="D76" s="276">
        <v>36.700000000000003</v>
      </c>
      <c r="E76" s="276">
        <v>70.2</v>
      </c>
      <c r="F76" s="276">
        <v>120.4</v>
      </c>
      <c r="G76" s="276">
        <v>101</v>
      </c>
      <c r="H76" s="276">
        <v>94.9</v>
      </c>
      <c r="I76" s="276">
        <v>99.8</v>
      </c>
      <c r="J76" s="276">
        <v>129.6</v>
      </c>
      <c r="K76" s="276">
        <v>259.3</v>
      </c>
      <c r="L76" s="276">
        <v>333.8</v>
      </c>
      <c r="M76" s="276">
        <v>310.8</v>
      </c>
      <c r="N76" s="335">
        <v>1663.9</v>
      </c>
      <c r="P76" s="276" t="s">
        <v>83</v>
      </c>
      <c r="Q76" s="309">
        <v>17.8</v>
      </c>
      <c r="R76" s="309">
        <v>26.8</v>
      </c>
      <c r="S76" s="309">
        <v>53.8</v>
      </c>
      <c r="T76" s="309">
        <v>76.400000000000006</v>
      </c>
      <c r="U76" s="309">
        <v>53.529189189189189</v>
      </c>
      <c r="V76" s="309">
        <v>44.90405405405405</v>
      </c>
      <c r="W76" s="309">
        <v>64.2</v>
      </c>
      <c r="X76" s="309">
        <v>91.3</v>
      </c>
      <c r="Y76" s="309">
        <v>138.1</v>
      </c>
      <c r="Z76" s="309">
        <v>74.2</v>
      </c>
      <c r="AA76" s="310">
        <v>230.52486187845301</v>
      </c>
      <c r="AB76" s="309">
        <v>310.8</v>
      </c>
      <c r="AC76" s="309">
        <f t="shared" si="1"/>
        <v>1182.3581051216963</v>
      </c>
    </row>
    <row r="77" spans="1:29" x14ac:dyDescent="0.15">
      <c r="A77" s="280" t="s">
        <v>94</v>
      </c>
      <c r="B77" s="276">
        <v>10.4</v>
      </c>
      <c r="C77" s="276">
        <v>32.6</v>
      </c>
      <c r="D77" s="276">
        <v>79.599999999999994</v>
      </c>
      <c r="E77" s="276">
        <v>202.6</v>
      </c>
      <c r="F77" s="276">
        <v>243.5</v>
      </c>
      <c r="G77" s="276">
        <v>183.4</v>
      </c>
      <c r="H77" s="276">
        <v>239.8</v>
      </c>
      <c r="I77" s="276">
        <v>223.8</v>
      </c>
      <c r="J77" s="276">
        <v>290.8</v>
      </c>
      <c r="K77" s="276">
        <v>273.2</v>
      </c>
      <c r="L77" s="276">
        <v>226</v>
      </c>
      <c r="M77" s="276">
        <v>62.9</v>
      </c>
      <c r="N77" s="335">
        <v>2068.6</v>
      </c>
      <c r="P77" s="276" t="s">
        <v>654</v>
      </c>
      <c r="Q77" s="309">
        <v>22.2</v>
      </c>
      <c r="R77" s="309">
        <v>66.3</v>
      </c>
      <c r="S77" s="309">
        <v>140</v>
      </c>
      <c r="T77" s="309">
        <v>100.6</v>
      </c>
      <c r="U77" s="309">
        <v>108.25878378378377</v>
      </c>
      <c r="V77" s="309">
        <v>81.538648648648646</v>
      </c>
      <c r="W77" s="309">
        <v>76.8</v>
      </c>
      <c r="X77" s="309">
        <v>134.80000000000001</v>
      </c>
      <c r="Y77" s="309">
        <v>128.9</v>
      </c>
      <c r="Z77" s="309">
        <v>69.3</v>
      </c>
      <c r="AA77" s="310">
        <v>156.07734806629833</v>
      </c>
      <c r="AB77" s="309">
        <v>62.9</v>
      </c>
      <c r="AC77" s="309">
        <f t="shared" si="1"/>
        <v>1147.6747804987308</v>
      </c>
    </row>
    <row r="78" spans="1:29" x14ac:dyDescent="0.15">
      <c r="A78" s="279" t="s">
        <v>75</v>
      </c>
      <c r="B78" s="277">
        <v>50.2</v>
      </c>
      <c r="C78" s="277">
        <v>10</v>
      </c>
      <c r="D78" s="277">
        <v>19.600000000000001</v>
      </c>
      <c r="E78" s="277">
        <v>55.6</v>
      </c>
      <c r="F78" s="277">
        <v>174.7</v>
      </c>
      <c r="G78" s="277">
        <v>135</v>
      </c>
      <c r="H78" s="277">
        <v>145.19999999999999</v>
      </c>
      <c r="I78" s="277">
        <v>141.30000000000001</v>
      </c>
      <c r="J78" s="277">
        <v>193</v>
      </c>
      <c r="K78" s="277">
        <v>236.8</v>
      </c>
      <c r="L78" s="277">
        <v>284</v>
      </c>
      <c r="M78" s="277">
        <v>130.69999999999999</v>
      </c>
      <c r="N78" s="336">
        <v>1576.1</v>
      </c>
      <c r="P78" s="277" t="s">
        <v>75</v>
      </c>
      <c r="Q78" s="311">
        <v>10</v>
      </c>
      <c r="R78" s="311">
        <v>16.2</v>
      </c>
      <c r="S78" s="311">
        <v>38.5</v>
      </c>
      <c r="T78" s="311">
        <v>80.099999999999994</v>
      </c>
      <c r="U78" s="311">
        <v>77.670675675675668</v>
      </c>
      <c r="V78" s="311">
        <v>60.020270270270267</v>
      </c>
      <c r="W78" s="311">
        <v>76.8</v>
      </c>
      <c r="X78" s="311">
        <v>122.6</v>
      </c>
      <c r="Y78" s="311">
        <v>128.9</v>
      </c>
      <c r="Z78" s="311">
        <v>69.3</v>
      </c>
      <c r="AA78" s="312">
        <v>196.13259668508283</v>
      </c>
      <c r="AB78" s="311">
        <v>130.69999999999999</v>
      </c>
      <c r="AC78" s="311">
        <f t="shared" si="1"/>
        <v>1006.9235426310288</v>
      </c>
    </row>
  </sheetData>
  <sheetProtection password="DD72" sheet="1" objects="1" scenarios="1"/>
  <mergeCells count="4">
    <mergeCell ref="A1:A2"/>
    <mergeCell ref="B1:N1"/>
    <mergeCell ref="P1:P2"/>
    <mergeCell ref="Q1:AC1"/>
  </mergeCells>
  <phoneticPr fontId="29" type="noConversion"/>
  <pageMargins left="0.19" right="0.17" top="0.68" bottom="0.7" header="0.5" footer="0.5"/>
  <pageSetup paperSize="9" scale="75" orientation="portrait"/>
  <headerFooter alignWithMargins="0">
    <oddFooter>&amp;L&amp;Z&amp;F&amp;A&amp;C&amp;P/&amp;N&amp;R&amp;D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60A2-7BFD-6E42-99D0-71E514E2973D}">
  <sheetPr codeName="Sheet11"/>
  <dimension ref="A3:J3104"/>
  <sheetViews>
    <sheetView topLeftCell="G1" workbookViewId="0">
      <selection activeCell="H74" sqref="H74"/>
    </sheetView>
  </sheetViews>
  <sheetFormatPr baseColWidth="10" defaultColWidth="9.1640625" defaultRowHeight="13" x14ac:dyDescent="0.15"/>
  <cols>
    <col min="1" max="1" width="9.33203125" style="177" hidden="1" customWidth="1"/>
    <col min="2" max="2" width="9.5" style="177" hidden="1" customWidth="1"/>
    <col min="3" max="6" width="0" style="177" hidden="1" customWidth="1"/>
    <col min="7" max="9" width="9.1640625" style="177"/>
    <col min="10" max="10" width="10.1640625" style="177" customWidth="1"/>
    <col min="11" max="16384" width="9.1640625" style="177"/>
  </cols>
  <sheetData>
    <row r="3" spans="1:9" x14ac:dyDescent="0.15">
      <c r="G3" s="177" t="str">
        <f>+fill_data!C5</f>
        <v>นครราชสีมา</v>
      </c>
    </row>
    <row r="4" spans="1:9" x14ac:dyDescent="0.15">
      <c r="A4" s="178"/>
      <c r="B4" s="179"/>
      <c r="C4" s="179"/>
      <c r="D4" s="179"/>
      <c r="G4" s="291" t="s">
        <v>397</v>
      </c>
      <c r="H4" s="291" t="s">
        <v>398</v>
      </c>
      <c r="I4" s="291" t="s">
        <v>577</v>
      </c>
    </row>
    <row r="5" spans="1:9" x14ac:dyDescent="0.15">
      <c r="A5" s="178"/>
      <c r="B5" s="179"/>
      <c r="G5" s="290">
        <v>1</v>
      </c>
      <c r="H5" s="290">
        <f>VLOOKUP($G$3,evap!$B$4:$P$88,G5+2,FALSE)</f>
        <v>139.4</v>
      </c>
      <c r="I5" s="290">
        <f>+H5/31</f>
        <v>4.4967741935483874</v>
      </c>
    </row>
    <row r="6" spans="1:9" x14ac:dyDescent="0.15">
      <c r="A6" s="178"/>
      <c r="B6" s="179"/>
      <c r="G6" s="184">
        <v>2</v>
      </c>
      <c r="H6" s="184">
        <f>VLOOKUP($G$3,evap!$B$4:$P$88,G6+2,FALSE)</f>
        <v>147.9</v>
      </c>
      <c r="I6" s="184">
        <f>+H6/28</f>
        <v>5.2821428571428575</v>
      </c>
    </row>
    <row r="7" spans="1:9" x14ac:dyDescent="0.15">
      <c r="A7" s="178"/>
      <c r="B7" s="179"/>
      <c r="G7" s="184">
        <v>3</v>
      </c>
      <c r="H7" s="184">
        <f>VLOOKUP($G$3,evap!$B$4:$P$88,G7+2,FALSE)</f>
        <v>171.1</v>
      </c>
      <c r="I7" s="184">
        <f>+H7/31</f>
        <v>5.5193548387096776</v>
      </c>
    </row>
    <row r="8" spans="1:9" x14ac:dyDescent="0.15">
      <c r="A8" s="178"/>
      <c r="B8" s="179"/>
      <c r="G8" s="184">
        <v>4</v>
      </c>
      <c r="H8" s="184">
        <f>VLOOKUP($G$3,evap!$B$4:$P$88,G8+2,FALSE)</f>
        <v>177.7</v>
      </c>
      <c r="I8" s="184">
        <f>+H8/30</f>
        <v>5.9233333333333329</v>
      </c>
    </row>
    <row r="9" spans="1:9" x14ac:dyDescent="0.15">
      <c r="A9" s="178"/>
      <c r="B9" s="179"/>
      <c r="G9" s="184">
        <v>5</v>
      </c>
      <c r="H9" s="184">
        <f>VLOOKUP($G$3,evap!$B$4:$P$88,G9+2,FALSE)</f>
        <v>155.69999999999999</v>
      </c>
      <c r="I9" s="184">
        <f>+H9/30</f>
        <v>5.1899999999999995</v>
      </c>
    </row>
    <row r="10" spans="1:9" x14ac:dyDescent="0.15">
      <c r="A10" s="178"/>
      <c r="B10" s="179"/>
      <c r="G10" s="184">
        <v>6</v>
      </c>
      <c r="H10" s="184">
        <f>VLOOKUP($G$3,evap!$B$4:$P$88,G10+2,FALSE)</f>
        <v>154.4</v>
      </c>
      <c r="I10" s="184">
        <f>+H10/30</f>
        <v>5.1466666666666665</v>
      </c>
    </row>
    <row r="11" spans="1:9" x14ac:dyDescent="0.15">
      <c r="A11" s="178"/>
      <c r="B11" s="179"/>
      <c r="G11" s="184">
        <v>7</v>
      </c>
      <c r="H11" s="184">
        <f>VLOOKUP($G$3,evap!$B$4:$P$88,G11+2,FALSE)</f>
        <v>152.80000000000001</v>
      </c>
      <c r="I11" s="184">
        <f>+H11/31</f>
        <v>4.9290322580645167</v>
      </c>
    </row>
    <row r="12" spans="1:9" x14ac:dyDescent="0.15">
      <c r="A12" s="178"/>
      <c r="B12" s="179"/>
      <c r="G12" s="184">
        <v>8</v>
      </c>
      <c r="H12" s="184">
        <f>VLOOKUP($G$3,evap!$B$4:$P$88,G12+2,FALSE)</f>
        <v>138</v>
      </c>
      <c r="I12" s="184">
        <f>+H12/31</f>
        <v>4.4516129032258061</v>
      </c>
    </row>
    <row r="13" spans="1:9" x14ac:dyDescent="0.15">
      <c r="A13" s="178"/>
      <c r="B13" s="179"/>
      <c r="G13" s="184">
        <v>9</v>
      </c>
      <c r="H13" s="184">
        <f>VLOOKUP($G$3,evap!$B$4:$P$88,G13+2,FALSE)</f>
        <v>117.8</v>
      </c>
      <c r="I13" s="184">
        <f>+H13/30</f>
        <v>3.9266666666666667</v>
      </c>
    </row>
    <row r="14" spans="1:9" x14ac:dyDescent="0.15">
      <c r="A14" s="178"/>
      <c r="B14" s="179"/>
      <c r="G14" s="184">
        <v>10</v>
      </c>
      <c r="H14" s="184">
        <f>VLOOKUP($G$3,evap!$B$4:$P$88,G14+2,FALSE)</f>
        <v>114</v>
      </c>
      <c r="I14" s="184">
        <f>+H14/31</f>
        <v>3.6774193548387095</v>
      </c>
    </row>
    <row r="15" spans="1:9" x14ac:dyDescent="0.15">
      <c r="A15" s="178"/>
      <c r="B15" s="179"/>
      <c r="G15" s="184">
        <v>11</v>
      </c>
      <c r="H15" s="184">
        <f>VLOOKUP($G$3,evap!$B$4:$P$88,G15+2,FALSE)</f>
        <v>133</v>
      </c>
      <c r="I15" s="184">
        <f>+H15/30</f>
        <v>4.4333333333333336</v>
      </c>
    </row>
    <row r="16" spans="1:9" x14ac:dyDescent="0.15">
      <c r="A16" s="178"/>
      <c r="B16" s="179"/>
      <c r="G16" s="183">
        <v>12</v>
      </c>
      <c r="H16" s="183">
        <f>VLOOKUP($G$3,evap!$B$4:$P$88,G16+2,FALSE)</f>
        <v>143.9</v>
      </c>
      <c r="I16" s="183">
        <f>+H16/31</f>
        <v>4.6419354838709683</v>
      </c>
    </row>
    <row r="17" spans="1:10" x14ac:dyDescent="0.15">
      <c r="A17" s="178"/>
      <c r="B17" s="179"/>
      <c r="G17" s="292" t="s">
        <v>415</v>
      </c>
      <c r="H17" s="292">
        <f>SUM(H5:H16)</f>
        <v>1745.7</v>
      </c>
    </row>
    <row r="18" spans="1:10" x14ac:dyDescent="0.15">
      <c r="A18" s="178"/>
      <c r="B18" s="179"/>
    </row>
    <row r="19" spans="1:10" x14ac:dyDescent="0.15">
      <c r="A19" s="178"/>
      <c r="B19" s="179"/>
    </row>
    <row r="20" spans="1:10" x14ac:dyDescent="0.15">
      <c r="A20" s="178"/>
    </row>
    <row r="21" spans="1:10" x14ac:dyDescent="0.15">
      <c r="A21" s="178"/>
      <c r="D21" s="178"/>
      <c r="F21" s="317"/>
      <c r="J21" s="219"/>
    </row>
    <row r="22" spans="1:10" x14ac:dyDescent="0.15">
      <c r="A22" s="178"/>
      <c r="D22" s="178"/>
      <c r="F22" s="317"/>
      <c r="J22" s="219"/>
    </row>
    <row r="23" spans="1:10" x14ac:dyDescent="0.15">
      <c r="A23" s="178"/>
      <c r="D23" s="178"/>
      <c r="F23" s="317"/>
    </row>
    <row r="24" spans="1:10" x14ac:dyDescent="0.15">
      <c r="A24" s="178"/>
      <c r="D24" s="178"/>
      <c r="F24" s="317"/>
      <c r="J24" s="316"/>
    </row>
    <row r="25" spans="1:10" x14ac:dyDescent="0.15">
      <c r="A25" s="178"/>
      <c r="D25" s="178"/>
      <c r="F25" s="317"/>
      <c r="J25" s="316"/>
    </row>
    <row r="26" spans="1:10" x14ac:dyDescent="0.15">
      <c r="A26" s="178"/>
      <c r="D26" s="178"/>
      <c r="F26" s="317"/>
    </row>
    <row r="27" spans="1:10" x14ac:dyDescent="0.15">
      <c r="A27" s="178"/>
      <c r="D27" s="178"/>
      <c r="F27" s="317"/>
    </row>
    <row r="28" spans="1:10" x14ac:dyDescent="0.15">
      <c r="A28" s="178"/>
      <c r="D28" s="178"/>
      <c r="F28" s="317"/>
    </row>
    <row r="29" spans="1:10" x14ac:dyDescent="0.15">
      <c r="A29" s="178"/>
      <c r="D29" s="178"/>
      <c r="F29" s="317"/>
    </row>
    <row r="30" spans="1:10" x14ac:dyDescent="0.15">
      <c r="A30" s="178"/>
      <c r="D30" s="178"/>
      <c r="F30" s="317"/>
    </row>
    <row r="31" spans="1:10" x14ac:dyDescent="0.15">
      <c r="A31" s="178"/>
      <c r="D31" s="178"/>
      <c r="F31" s="317"/>
    </row>
    <row r="32" spans="1:10" x14ac:dyDescent="0.15">
      <c r="A32" s="178"/>
      <c r="D32" s="178"/>
      <c r="F32" s="317"/>
    </row>
    <row r="33" spans="1:6" x14ac:dyDescent="0.15">
      <c r="A33" s="178"/>
      <c r="D33" s="178"/>
      <c r="F33" s="317"/>
    </row>
    <row r="34" spans="1:6" x14ac:dyDescent="0.15">
      <c r="A34" s="178"/>
      <c r="B34" s="179"/>
      <c r="D34" s="178"/>
      <c r="F34" s="317"/>
    </row>
    <row r="35" spans="1:6" x14ac:dyDescent="0.15">
      <c r="A35" s="178"/>
      <c r="B35" s="179"/>
      <c r="D35" s="178"/>
      <c r="F35" s="317"/>
    </row>
    <row r="36" spans="1:6" x14ac:dyDescent="0.15">
      <c r="A36" s="178"/>
      <c r="B36" s="179"/>
      <c r="D36" s="178"/>
      <c r="F36" s="317"/>
    </row>
    <row r="37" spans="1:6" x14ac:dyDescent="0.15">
      <c r="A37" s="178"/>
      <c r="B37" s="179"/>
      <c r="D37" s="178"/>
      <c r="F37" s="317"/>
    </row>
    <row r="38" spans="1:6" x14ac:dyDescent="0.15">
      <c r="A38" s="178"/>
      <c r="B38" s="179"/>
      <c r="D38" s="178"/>
      <c r="F38" s="317"/>
    </row>
    <row r="39" spans="1:6" x14ac:dyDescent="0.15">
      <c r="A39" s="178"/>
      <c r="B39" s="179"/>
      <c r="D39" s="178"/>
      <c r="F39" s="317"/>
    </row>
    <row r="40" spans="1:6" x14ac:dyDescent="0.15">
      <c r="A40" s="178"/>
      <c r="B40" s="179"/>
      <c r="D40" s="178"/>
      <c r="F40" s="317"/>
    </row>
    <row r="41" spans="1:6" x14ac:dyDescent="0.15">
      <c r="A41" s="178"/>
      <c r="B41" s="179"/>
      <c r="D41" s="178"/>
      <c r="F41" s="317"/>
    </row>
    <row r="42" spans="1:6" x14ac:dyDescent="0.15">
      <c r="A42" s="178"/>
      <c r="B42" s="179"/>
      <c r="D42" s="178"/>
      <c r="F42" s="317"/>
    </row>
    <row r="43" spans="1:6" x14ac:dyDescent="0.15">
      <c r="A43" s="178"/>
      <c r="B43" s="179"/>
      <c r="D43" s="178"/>
      <c r="F43" s="317"/>
    </row>
    <row r="44" spans="1:6" x14ac:dyDescent="0.15">
      <c r="A44" s="178"/>
      <c r="B44" s="179"/>
      <c r="D44" s="178"/>
      <c r="F44" s="317"/>
    </row>
    <row r="45" spans="1:6" x14ac:dyDescent="0.15">
      <c r="A45" s="178"/>
      <c r="B45" s="179"/>
      <c r="D45" s="178"/>
      <c r="F45" s="317"/>
    </row>
    <row r="46" spans="1:6" x14ac:dyDescent="0.15">
      <c r="A46" s="178"/>
      <c r="B46" s="179"/>
      <c r="D46" s="178"/>
      <c r="F46" s="317"/>
    </row>
    <row r="47" spans="1:6" x14ac:dyDescent="0.15">
      <c r="A47" s="178"/>
      <c r="B47" s="179"/>
      <c r="D47" s="178"/>
      <c r="F47" s="317"/>
    </row>
    <row r="48" spans="1:6" x14ac:dyDescent="0.15">
      <c r="A48" s="178"/>
      <c r="B48" s="179"/>
      <c r="D48" s="178"/>
      <c r="F48" s="317"/>
    </row>
    <row r="49" spans="1:6" x14ac:dyDescent="0.15">
      <c r="A49" s="178"/>
      <c r="B49" s="179"/>
      <c r="D49" s="178"/>
      <c r="F49" s="317"/>
    </row>
    <row r="50" spans="1:6" x14ac:dyDescent="0.15">
      <c r="A50" s="178"/>
      <c r="B50" s="179"/>
      <c r="D50" s="178"/>
      <c r="F50" s="317"/>
    </row>
    <row r="51" spans="1:6" x14ac:dyDescent="0.15">
      <c r="A51" s="178"/>
      <c r="B51" s="179"/>
      <c r="D51" s="178"/>
      <c r="F51" s="317"/>
    </row>
    <row r="52" spans="1:6" x14ac:dyDescent="0.15">
      <c r="A52" s="178"/>
      <c r="B52" s="179"/>
      <c r="D52" s="178"/>
      <c r="F52" s="317"/>
    </row>
    <row r="53" spans="1:6" x14ac:dyDescent="0.15">
      <c r="A53" s="178"/>
      <c r="B53" s="179"/>
      <c r="D53" s="178"/>
      <c r="F53" s="317"/>
    </row>
    <row r="54" spans="1:6" x14ac:dyDescent="0.15">
      <c r="A54" s="178"/>
      <c r="B54" s="179"/>
      <c r="D54" s="178"/>
      <c r="F54" s="317"/>
    </row>
    <row r="55" spans="1:6" x14ac:dyDescent="0.15">
      <c r="A55" s="178"/>
      <c r="B55" s="179"/>
      <c r="D55" s="178"/>
      <c r="F55" s="317"/>
    </row>
    <row r="56" spans="1:6" x14ac:dyDescent="0.15">
      <c r="A56" s="178"/>
      <c r="B56" s="179"/>
      <c r="D56" s="178"/>
      <c r="F56" s="317"/>
    </row>
    <row r="57" spans="1:6" x14ac:dyDescent="0.15">
      <c r="A57" s="178"/>
      <c r="B57" s="179"/>
      <c r="D57" s="178"/>
      <c r="F57" s="317"/>
    </row>
    <row r="58" spans="1:6" x14ac:dyDescent="0.15">
      <c r="A58" s="178"/>
      <c r="B58" s="179"/>
      <c r="D58" s="178"/>
    </row>
    <row r="59" spans="1:6" x14ac:dyDescent="0.15">
      <c r="A59" s="178"/>
      <c r="B59" s="179"/>
    </row>
    <row r="60" spans="1:6" x14ac:dyDescent="0.15">
      <c r="A60" s="178"/>
      <c r="B60" s="179"/>
    </row>
    <row r="61" spans="1:6" x14ac:dyDescent="0.15">
      <c r="A61" s="178"/>
      <c r="B61" s="179"/>
    </row>
    <row r="62" spans="1:6" x14ac:dyDescent="0.15">
      <c r="A62" s="178"/>
      <c r="B62" s="179"/>
    </row>
    <row r="63" spans="1:6" x14ac:dyDescent="0.15">
      <c r="A63" s="178"/>
      <c r="B63" s="179"/>
    </row>
    <row r="64" spans="1:6" x14ac:dyDescent="0.15">
      <c r="A64" s="178"/>
      <c r="B64" s="179"/>
    </row>
    <row r="65" spans="1:2" x14ac:dyDescent="0.15">
      <c r="A65" s="178"/>
      <c r="B65" s="179"/>
    </row>
    <row r="66" spans="1:2" x14ac:dyDescent="0.15">
      <c r="A66" s="178"/>
      <c r="B66" s="179"/>
    </row>
    <row r="67" spans="1:2" x14ac:dyDescent="0.15">
      <c r="A67" s="178"/>
      <c r="B67" s="179"/>
    </row>
    <row r="68" spans="1:2" x14ac:dyDescent="0.15">
      <c r="A68" s="178"/>
      <c r="B68" s="179"/>
    </row>
    <row r="69" spans="1:2" x14ac:dyDescent="0.15">
      <c r="A69" s="178"/>
      <c r="B69" s="179"/>
    </row>
    <row r="70" spans="1:2" x14ac:dyDescent="0.15">
      <c r="A70" s="178"/>
      <c r="B70" s="179"/>
    </row>
    <row r="71" spans="1:2" x14ac:dyDescent="0.15">
      <c r="A71" s="178"/>
      <c r="B71" s="179"/>
    </row>
    <row r="72" spans="1:2" x14ac:dyDescent="0.15">
      <c r="A72" s="178"/>
      <c r="B72" s="179"/>
    </row>
    <row r="73" spans="1:2" x14ac:dyDescent="0.15">
      <c r="A73" s="178"/>
      <c r="B73" s="179"/>
    </row>
    <row r="74" spans="1:2" x14ac:dyDescent="0.15">
      <c r="A74" s="178"/>
      <c r="B74" s="179"/>
    </row>
    <row r="75" spans="1:2" x14ac:dyDescent="0.15">
      <c r="A75" s="178"/>
      <c r="B75" s="179"/>
    </row>
    <row r="76" spans="1:2" x14ac:dyDescent="0.15">
      <c r="A76" s="178"/>
      <c r="B76" s="179"/>
    </row>
    <row r="77" spans="1:2" x14ac:dyDescent="0.15">
      <c r="A77" s="178"/>
      <c r="B77" s="179"/>
    </row>
    <row r="78" spans="1:2" x14ac:dyDescent="0.15">
      <c r="A78" s="178"/>
      <c r="B78" s="179"/>
    </row>
    <row r="79" spans="1:2" x14ac:dyDescent="0.15">
      <c r="A79" s="178"/>
      <c r="B79" s="179"/>
    </row>
    <row r="80" spans="1:2" x14ac:dyDescent="0.15">
      <c r="A80" s="178"/>
      <c r="B80" s="179"/>
    </row>
    <row r="81" spans="1:2" x14ac:dyDescent="0.15">
      <c r="A81" s="178"/>
      <c r="B81" s="179"/>
    </row>
    <row r="82" spans="1:2" x14ac:dyDescent="0.15">
      <c r="A82" s="178"/>
      <c r="B82" s="179"/>
    </row>
    <row r="83" spans="1:2" x14ac:dyDescent="0.15">
      <c r="A83" s="178"/>
      <c r="B83" s="179"/>
    </row>
    <row r="84" spans="1:2" x14ac:dyDescent="0.15">
      <c r="A84" s="178"/>
      <c r="B84" s="179"/>
    </row>
    <row r="85" spans="1:2" x14ac:dyDescent="0.15">
      <c r="A85" s="178"/>
      <c r="B85" s="179"/>
    </row>
    <row r="86" spans="1:2" x14ac:dyDescent="0.15">
      <c r="A86" s="178"/>
      <c r="B86" s="179"/>
    </row>
    <row r="87" spans="1:2" x14ac:dyDescent="0.15">
      <c r="A87" s="178"/>
      <c r="B87" s="179"/>
    </row>
    <row r="88" spans="1:2" x14ac:dyDescent="0.15">
      <c r="A88" s="178"/>
      <c r="B88" s="179"/>
    </row>
    <row r="89" spans="1:2" x14ac:dyDescent="0.15">
      <c r="A89" s="178"/>
      <c r="B89" s="179"/>
    </row>
    <row r="90" spans="1:2" x14ac:dyDescent="0.15">
      <c r="A90" s="178"/>
      <c r="B90" s="179"/>
    </row>
    <row r="91" spans="1:2" x14ac:dyDescent="0.15">
      <c r="A91" s="178"/>
      <c r="B91" s="179"/>
    </row>
    <row r="92" spans="1:2" x14ac:dyDescent="0.15">
      <c r="A92" s="178"/>
      <c r="B92" s="179"/>
    </row>
    <row r="93" spans="1:2" x14ac:dyDescent="0.15">
      <c r="A93" s="178"/>
      <c r="B93" s="179"/>
    </row>
    <row r="94" spans="1:2" x14ac:dyDescent="0.15">
      <c r="A94" s="178"/>
      <c r="B94" s="179"/>
    </row>
    <row r="95" spans="1:2" x14ac:dyDescent="0.15">
      <c r="A95" s="178"/>
      <c r="B95" s="179"/>
    </row>
    <row r="96" spans="1:2" x14ac:dyDescent="0.15">
      <c r="A96" s="178"/>
      <c r="B96" s="179"/>
    </row>
    <row r="97" spans="1:4" x14ac:dyDescent="0.15">
      <c r="A97" s="178"/>
      <c r="B97" s="179"/>
    </row>
    <row r="98" spans="1:4" x14ac:dyDescent="0.15">
      <c r="A98" s="178"/>
      <c r="B98" s="179"/>
    </row>
    <row r="99" spans="1:4" x14ac:dyDescent="0.15">
      <c r="A99" s="178"/>
      <c r="B99" s="179"/>
    </row>
    <row r="100" spans="1:4" x14ac:dyDescent="0.15">
      <c r="A100" s="178"/>
      <c r="B100" s="179"/>
    </row>
    <row r="101" spans="1:4" x14ac:dyDescent="0.15">
      <c r="A101" s="178"/>
      <c r="B101" s="179"/>
    </row>
    <row r="102" spans="1:4" x14ac:dyDescent="0.15">
      <c r="A102" s="178"/>
      <c r="B102" s="179"/>
    </row>
    <row r="103" spans="1:4" x14ac:dyDescent="0.15">
      <c r="A103" s="178"/>
      <c r="B103" s="179"/>
    </row>
    <row r="104" spans="1:4" x14ac:dyDescent="0.15">
      <c r="A104" s="178"/>
      <c r="B104" s="179"/>
      <c r="C104" s="179"/>
      <c r="D104" s="179"/>
    </row>
    <row r="105" spans="1:4" x14ac:dyDescent="0.15">
      <c r="A105" s="178"/>
      <c r="B105" s="179"/>
    </row>
    <row r="106" spans="1:4" x14ac:dyDescent="0.15">
      <c r="A106" s="178"/>
      <c r="B106" s="179"/>
    </row>
    <row r="107" spans="1:4" x14ac:dyDescent="0.15">
      <c r="A107" s="178"/>
      <c r="B107" s="179"/>
    </row>
    <row r="108" spans="1:4" x14ac:dyDescent="0.15">
      <c r="A108" s="178"/>
      <c r="B108" s="179"/>
    </row>
    <row r="109" spans="1:4" x14ac:dyDescent="0.15">
      <c r="A109" s="178"/>
      <c r="B109" s="179"/>
    </row>
    <row r="110" spans="1:4" x14ac:dyDescent="0.15">
      <c r="A110" s="178"/>
      <c r="B110" s="179"/>
    </row>
    <row r="111" spans="1:4" x14ac:dyDescent="0.15">
      <c r="A111" s="178"/>
      <c r="B111" s="179"/>
    </row>
    <row r="112" spans="1:4" x14ac:dyDescent="0.15">
      <c r="A112" s="178"/>
      <c r="B112" s="179"/>
    </row>
    <row r="113" spans="1:2" x14ac:dyDescent="0.15">
      <c r="A113" s="178"/>
      <c r="B113" s="179"/>
    </row>
    <row r="114" spans="1:2" x14ac:dyDescent="0.15">
      <c r="A114" s="178"/>
      <c r="B114" s="179"/>
    </row>
    <row r="115" spans="1:2" x14ac:dyDescent="0.15">
      <c r="A115" s="178"/>
      <c r="B115" s="179"/>
    </row>
    <row r="116" spans="1:2" x14ac:dyDescent="0.15">
      <c r="A116" s="178"/>
      <c r="B116" s="179"/>
    </row>
    <row r="117" spans="1:2" x14ac:dyDescent="0.15">
      <c r="A117" s="178"/>
      <c r="B117" s="179"/>
    </row>
    <row r="118" spans="1:2" x14ac:dyDescent="0.15">
      <c r="A118" s="178"/>
      <c r="B118" s="179"/>
    </row>
    <row r="119" spans="1:2" x14ac:dyDescent="0.15">
      <c r="A119" s="178"/>
      <c r="B119" s="179"/>
    </row>
    <row r="120" spans="1:2" x14ac:dyDescent="0.15">
      <c r="A120" s="178"/>
      <c r="B120" s="179"/>
    </row>
    <row r="121" spans="1:2" x14ac:dyDescent="0.15">
      <c r="A121" s="178"/>
      <c r="B121" s="179"/>
    </row>
    <row r="122" spans="1:2" x14ac:dyDescent="0.15">
      <c r="A122" s="178"/>
      <c r="B122" s="179"/>
    </row>
    <row r="123" spans="1:2" x14ac:dyDescent="0.15">
      <c r="A123" s="178"/>
      <c r="B123" s="179"/>
    </row>
    <row r="124" spans="1:2" x14ac:dyDescent="0.15">
      <c r="A124" s="178"/>
      <c r="B124" s="179"/>
    </row>
    <row r="125" spans="1:2" x14ac:dyDescent="0.15">
      <c r="A125" s="178"/>
      <c r="B125" s="179"/>
    </row>
    <row r="126" spans="1:2" x14ac:dyDescent="0.15">
      <c r="A126" s="178"/>
      <c r="B126" s="179"/>
    </row>
    <row r="127" spans="1:2" x14ac:dyDescent="0.15">
      <c r="A127" s="178"/>
      <c r="B127" s="179"/>
    </row>
    <row r="128" spans="1:2" x14ac:dyDescent="0.15">
      <c r="A128" s="178"/>
      <c r="B128" s="179"/>
    </row>
    <row r="129" spans="1:2" x14ac:dyDescent="0.15">
      <c r="A129" s="178"/>
      <c r="B129" s="179"/>
    </row>
    <row r="130" spans="1:2" x14ac:dyDescent="0.15">
      <c r="A130" s="178"/>
      <c r="B130" s="179"/>
    </row>
    <row r="131" spans="1:2" x14ac:dyDescent="0.15">
      <c r="A131" s="178"/>
      <c r="B131" s="179"/>
    </row>
    <row r="132" spans="1:2" x14ac:dyDescent="0.15">
      <c r="A132" s="178"/>
      <c r="B132" s="179"/>
    </row>
    <row r="133" spans="1:2" x14ac:dyDescent="0.15">
      <c r="A133" s="178"/>
      <c r="B133" s="179"/>
    </row>
    <row r="134" spans="1:2" x14ac:dyDescent="0.15">
      <c r="A134" s="178"/>
      <c r="B134" s="179"/>
    </row>
    <row r="135" spans="1:2" x14ac:dyDescent="0.15">
      <c r="A135" s="178"/>
      <c r="B135" s="179"/>
    </row>
    <row r="136" spans="1:2" x14ac:dyDescent="0.15">
      <c r="A136" s="178"/>
      <c r="B136" s="179"/>
    </row>
    <row r="137" spans="1:2" x14ac:dyDescent="0.15">
      <c r="A137" s="178"/>
      <c r="B137" s="179"/>
    </row>
    <row r="138" spans="1:2" x14ac:dyDescent="0.15">
      <c r="A138" s="178"/>
      <c r="B138" s="179"/>
    </row>
    <row r="139" spans="1:2" x14ac:dyDescent="0.15">
      <c r="A139" s="178"/>
      <c r="B139" s="179"/>
    </row>
    <row r="140" spans="1:2" x14ac:dyDescent="0.15">
      <c r="A140" s="178"/>
      <c r="B140" s="179"/>
    </row>
    <row r="141" spans="1:2" x14ac:dyDescent="0.15">
      <c r="A141" s="178"/>
      <c r="B141" s="179"/>
    </row>
    <row r="142" spans="1:2" x14ac:dyDescent="0.15">
      <c r="A142" s="178"/>
      <c r="B142" s="179"/>
    </row>
    <row r="143" spans="1:2" x14ac:dyDescent="0.15">
      <c r="A143" s="178"/>
      <c r="B143" s="179"/>
    </row>
    <row r="144" spans="1:2" x14ac:dyDescent="0.15">
      <c r="A144" s="178"/>
      <c r="B144" s="179"/>
    </row>
    <row r="145" spans="1:2" x14ac:dyDescent="0.15">
      <c r="A145" s="178"/>
      <c r="B145" s="179"/>
    </row>
    <row r="146" spans="1:2" x14ac:dyDescent="0.15">
      <c r="A146" s="178"/>
      <c r="B146" s="179"/>
    </row>
    <row r="147" spans="1:2" x14ac:dyDescent="0.15">
      <c r="A147" s="178"/>
      <c r="B147" s="179"/>
    </row>
    <row r="148" spans="1:2" x14ac:dyDescent="0.15">
      <c r="A148" s="178"/>
      <c r="B148" s="179"/>
    </row>
    <row r="149" spans="1:2" x14ac:dyDescent="0.15">
      <c r="A149" s="178"/>
      <c r="B149" s="179"/>
    </row>
    <row r="150" spans="1:2" x14ac:dyDescent="0.15">
      <c r="A150" s="178"/>
      <c r="B150" s="179"/>
    </row>
    <row r="151" spans="1:2" x14ac:dyDescent="0.15">
      <c r="A151" s="178"/>
      <c r="B151" s="179"/>
    </row>
    <row r="152" spans="1:2" x14ac:dyDescent="0.15">
      <c r="A152" s="178"/>
      <c r="B152" s="179"/>
    </row>
    <row r="153" spans="1:2" x14ac:dyDescent="0.15">
      <c r="A153" s="178"/>
      <c r="B153" s="179"/>
    </row>
    <row r="154" spans="1:2" x14ac:dyDescent="0.15">
      <c r="A154" s="178"/>
      <c r="B154" s="179"/>
    </row>
    <row r="155" spans="1:2" x14ac:dyDescent="0.15">
      <c r="A155" s="178"/>
      <c r="B155" s="179"/>
    </row>
    <row r="156" spans="1:2" x14ac:dyDescent="0.15">
      <c r="A156" s="178"/>
      <c r="B156" s="179"/>
    </row>
    <row r="157" spans="1:2" x14ac:dyDescent="0.15">
      <c r="A157" s="178"/>
      <c r="B157" s="179"/>
    </row>
    <row r="158" spans="1:2" x14ac:dyDescent="0.15">
      <c r="A158" s="178"/>
      <c r="B158" s="179"/>
    </row>
    <row r="159" spans="1:2" x14ac:dyDescent="0.15">
      <c r="A159" s="178"/>
      <c r="B159" s="179"/>
    </row>
    <row r="160" spans="1:2" x14ac:dyDescent="0.15">
      <c r="A160" s="178"/>
      <c r="B160" s="179"/>
    </row>
    <row r="161" spans="1:2" x14ac:dyDescent="0.15">
      <c r="A161" s="178"/>
      <c r="B161" s="179"/>
    </row>
    <row r="162" spans="1:2" x14ac:dyDescent="0.15">
      <c r="A162" s="178"/>
      <c r="B162" s="179"/>
    </row>
    <row r="163" spans="1:2" x14ac:dyDescent="0.15">
      <c r="A163" s="178"/>
      <c r="B163" s="179"/>
    </row>
    <row r="164" spans="1:2" x14ac:dyDescent="0.15">
      <c r="A164" s="178"/>
      <c r="B164" s="179"/>
    </row>
    <row r="165" spans="1:2" x14ac:dyDescent="0.15">
      <c r="A165" s="178"/>
      <c r="B165" s="179"/>
    </row>
    <row r="166" spans="1:2" x14ac:dyDescent="0.15">
      <c r="A166" s="178"/>
      <c r="B166" s="179"/>
    </row>
    <row r="167" spans="1:2" x14ac:dyDescent="0.15">
      <c r="A167" s="178"/>
      <c r="B167" s="179"/>
    </row>
    <row r="168" spans="1:2" x14ac:dyDescent="0.15">
      <c r="A168" s="178"/>
      <c r="B168" s="179"/>
    </row>
    <row r="169" spans="1:2" x14ac:dyDescent="0.15">
      <c r="A169" s="178"/>
      <c r="B169" s="179"/>
    </row>
    <row r="170" spans="1:2" x14ac:dyDescent="0.15">
      <c r="A170" s="178"/>
      <c r="B170" s="179"/>
    </row>
    <row r="171" spans="1:2" x14ac:dyDescent="0.15">
      <c r="A171" s="178"/>
      <c r="B171" s="179"/>
    </row>
    <row r="172" spans="1:2" x14ac:dyDescent="0.15">
      <c r="A172" s="178"/>
      <c r="B172" s="179"/>
    </row>
    <row r="173" spans="1:2" x14ac:dyDescent="0.15">
      <c r="A173" s="178"/>
      <c r="B173" s="179"/>
    </row>
    <row r="174" spans="1:2" x14ac:dyDescent="0.15">
      <c r="A174" s="178"/>
      <c r="B174" s="179"/>
    </row>
    <row r="175" spans="1:2" x14ac:dyDescent="0.15">
      <c r="A175" s="178"/>
      <c r="B175" s="179"/>
    </row>
    <row r="176" spans="1:2" x14ac:dyDescent="0.15">
      <c r="A176" s="178"/>
      <c r="B176" s="179"/>
    </row>
    <row r="177" spans="1:2" x14ac:dyDescent="0.15">
      <c r="A177" s="178"/>
      <c r="B177" s="179"/>
    </row>
    <row r="178" spans="1:2" x14ac:dyDescent="0.15">
      <c r="A178" s="178"/>
      <c r="B178" s="179"/>
    </row>
    <row r="179" spans="1:2" x14ac:dyDescent="0.15">
      <c r="A179" s="178"/>
      <c r="B179" s="179"/>
    </row>
    <row r="180" spans="1:2" x14ac:dyDescent="0.15">
      <c r="A180" s="178"/>
      <c r="B180" s="179"/>
    </row>
    <row r="181" spans="1:2" x14ac:dyDescent="0.15">
      <c r="A181" s="178"/>
      <c r="B181" s="179"/>
    </row>
    <row r="182" spans="1:2" x14ac:dyDescent="0.15">
      <c r="A182" s="178"/>
      <c r="B182" s="179"/>
    </row>
    <row r="183" spans="1:2" x14ac:dyDescent="0.15">
      <c r="A183" s="178"/>
      <c r="B183" s="179"/>
    </row>
    <row r="184" spans="1:2" x14ac:dyDescent="0.15">
      <c r="A184" s="178"/>
      <c r="B184" s="179"/>
    </row>
    <row r="185" spans="1:2" x14ac:dyDescent="0.15">
      <c r="A185" s="178"/>
      <c r="B185" s="179"/>
    </row>
    <row r="186" spans="1:2" x14ac:dyDescent="0.15">
      <c r="A186" s="178"/>
      <c r="B186" s="179"/>
    </row>
    <row r="187" spans="1:2" x14ac:dyDescent="0.15">
      <c r="A187" s="178"/>
      <c r="B187" s="179"/>
    </row>
    <row r="188" spans="1:2" x14ac:dyDescent="0.15">
      <c r="A188" s="178"/>
      <c r="B188" s="179"/>
    </row>
    <row r="189" spans="1:2" x14ac:dyDescent="0.15">
      <c r="A189" s="178"/>
      <c r="B189" s="179"/>
    </row>
    <row r="190" spans="1:2" x14ac:dyDescent="0.15">
      <c r="A190" s="178"/>
      <c r="B190" s="179"/>
    </row>
    <row r="191" spans="1:2" x14ac:dyDescent="0.15">
      <c r="A191" s="178"/>
      <c r="B191" s="179"/>
    </row>
    <row r="192" spans="1:2" x14ac:dyDescent="0.15">
      <c r="A192" s="178"/>
      <c r="B192" s="179"/>
    </row>
    <row r="193" spans="1:4" x14ac:dyDescent="0.15">
      <c r="A193" s="178"/>
      <c r="B193" s="179"/>
    </row>
    <row r="194" spans="1:4" x14ac:dyDescent="0.15">
      <c r="A194" s="178"/>
      <c r="B194" s="179"/>
    </row>
    <row r="195" spans="1:4" x14ac:dyDescent="0.15">
      <c r="A195" s="178"/>
      <c r="B195" s="179"/>
    </row>
    <row r="196" spans="1:4" x14ac:dyDescent="0.15">
      <c r="A196" s="178"/>
      <c r="B196" s="179"/>
    </row>
    <row r="197" spans="1:4" x14ac:dyDescent="0.15">
      <c r="A197" s="178"/>
      <c r="B197" s="179"/>
    </row>
    <row r="198" spans="1:4" x14ac:dyDescent="0.15">
      <c r="A198" s="178"/>
      <c r="B198" s="179"/>
    </row>
    <row r="199" spans="1:4" x14ac:dyDescent="0.15">
      <c r="A199" s="178"/>
      <c r="B199" s="179"/>
    </row>
    <row r="200" spans="1:4" x14ac:dyDescent="0.15">
      <c r="A200" s="178"/>
      <c r="B200" s="179"/>
    </row>
    <row r="201" spans="1:4" x14ac:dyDescent="0.15">
      <c r="A201" s="178"/>
      <c r="B201" s="179"/>
    </row>
    <row r="202" spans="1:4" x14ac:dyDescent="0.15">
      <c r="A202" s="178"/>
      <c r="B202" s="179"/>
    </row>
    <row r="203" spans="1:4" x14ac:dyDescent="0.15">
      <c r="A203" s="178"/>
      <c r="B203" s="179"/>
    </row>
    <row r="204" spans="1:4" x14ac:dyDescent="0.15">
      <c r="A204" s="178"/>
      <c r="B204" s="179"/>
      <c r="C204" s="179"/>
      <c r="D204" s="179"/>
    </row>
    <row r="205" spans="1:4" x14ac:dyDescent="0.15">
      <c r="A205" s="178"/>
      <c r="B205" s="179"/>
    </row>
    <row r="206" spans="1:4" x14ac:dyDescent="0.15">
      <c r="A206" s="178"/>
      <c r="B206" s="179"/>
    </row>
    <row r="207" spans="1:4" x14ac:dyDescent="0.15">
      <c r="A207" s="178"/>
      <c r="B207" s="179"/>
    </row>
    <row r="208" spans="1:4" x14ac:dyDescent="0.15">
      <c r="A208" s="178"/>
      <c r="B208" s="179"/>
    </row>
    <row r="209" spans="1:2" x14ac:dyDescent="0.15">
      <c r="A209" s="178"/>
      <c r="B209" s="179"/>
    </row>
    <row r="210" spans="1:2" x14ac:dyDescent="0.15">
      <c r="A210" s="178"/>
      <c r="B210" s="179"/>
    </row>
    <row r="211" spans="1:2" x14ac:dyDescent="0.15">
      <c r="A211" s="178"/>
      <c r="B211" s="179"/>
    </row>
    <row r="212" spans="1:2" x14ac:dyDescent="0.15">
      <c r="A212" s="178"/>
      <c r="B212" s="179"/>
    </row>
    <row r="213" spans="1:2" x14ac:dyDescent="0.15">
      <c r="A213" s="178"/>
      <c r="B213" s="179"/>
    </row>
    <row r="214" spans="1:2" x14ac:dyDescent="0.15">
      <c r="A214" s="178"/>
      <c r="B214" s="179"/>
    </row>
    <row r="215" spans="1:2" x14ac:dyDescent="0.15">
      <c r="A215" s="178"/>
      <c r="B215" s="179"/>
    </row>
    <row r="216" spans="1:2" x14ac:dyDescent="0.15">
      <c r="A216" s="178"/>
      <c r="B216" s="179"/>
    </row>
    <row r="217" spans="1:2" x14ac:dyDescent="0.15">
      <c r="A217" s="178"/>
      <c r="B217" s="179"/>
    </row>
    <row r="218" spans="1:2" x14ac:dyDescent="0.15">
      <c r="A218" s="178"/>
      <c r="B218" s="179"/>
    </row>
    <row r="219" spans="1:2" x14ac:dyDescent="0.15">
      <c r="A219" s="178"/>
      <c r="B219" s="179"/>
    </row>
    <row r="220" spans="1:2" x14ac:dyDescent="0.15">
      <c r="A220" s="178"/>
      <c r="B220" s="179"/>
    </row>
    <row r="221" spans="1:2" x14ac:dyDescent="0.15">
      <c r="A221" s="178"/>
      <c r="B221" s="179"/>
    </row>
    <row r="222" spans="1:2" x14ac:dyDescent="0.15">
      <c r="A222" s="178"/>
      <c r="B222" s="179"/>
    </row>
    <row r="223" spans="1:2" x14ac:dyDescent="0.15">
      <c r="A223" s="178"/>
      <c r="B223" s="179"/>
    </row>
    <row r="224" spans="1:2" x14ac:dyDescent="0.15">
      <c r="A224" s="178"/>
      <c r="B224" s="179"/>
    </row>
    <row r="225" spans="1:2" x14ac:dyDescent="0.15">
      <c r="A225" s="178"/>
      <c r="B225" s="179"/>
    </row>
    <row r="226" spans="1:2" x14ac:dyDescent="0.15">
      <c r="A226" s="178"/>
      <c r="B226" s="179"/>
    </row>
    <row r="227" spans="1:2" x14ac:dyDescent="0.15">
      <c r="A227" s="178"/>
      <c r="B227" s="179"/>
    </row>
    <row r="228" spans="1:2" x14ac:dyDescent="0.15">
      <c r="A228" s="178"/>
      <c r="B228" s="179"/>
    </row>
    <row r="229" spans="1:2" x14ac:dyDescent="0.15">
      <c r="A229" s="178"/>
      <c r="B229" s="179"/>
    </row>
    <row r="230" spans="1:2" x14ac:dyDescent="0.15">
      <c r="A230" s="178"/>
      <c r="B230" s="179"/>
    </row>
    <row r="231" spans="1:2" x14ac:dyDescent="0.15">
      <c r="A231" s="178"/>
      <c r="B231" s="179"/>
    </row>
    <row r="232" spans="1:2" x14ac:dyDescent="0.15">
      <c r="A232" s="178"/>
      <c r="B232" s="179"/>
    </row>
    <row r="233" spans="1:2" x14ac:dyDescent="0.15">
      <c r="A233" s="178"/>
      <c r="B233" s="179"/>
    </row>
    <row r="234" spans="1:2" x14ac:dyDescent="0.15">
      <c r="A234" s="178"/>
      <c r="B234" s="179"/>
    </row>
    <row r="235" spans="1:2" x14ac:dyDescent="0.15">
      <c r="A235" s="178"/>
      <c r="B235" s="179"/>
    </row>
    <row r="236" spans="1:2" x14ac:dyDescent="0.15">
      <c r="A236" s="178"/>
      <c r="B236" s="179"/>
    </row>
    <row r="237" spans="1:2" x14ac:dyDescent="0.15">
      <c r="A237" s="178"/>
      <c r="B237" s="179"/>
    </row>
    <row r="238" spans="1:2" x14ac:dyDescent="0.15">
      <c r="A238" s="178"/>
      <c r="B238" s="179"/>
    </row>
    <row r="239" spans="1:2" x14ac:dyDescent="0.15">
      <c r="A239" s="178"/>
      <c r="B239" s="179"/>
    </row>
    <row r="240" spans="1:2" x14ac:dyDescent="0.15">
      <c r="A240" s="178"/>
      <c r="B240" s="179"/>
    </row>
    <row r="241" spans="1:2" x14ac:dyDescent="0.15">
      <c r="A241" s="178"/>
      <c r="B241" s="179"/>
    </row>
    <row r="242" spans="1:2" x14ac:dyDescent="0.15">
      <c r="A242" s="178"/>
      <c r="B242" s="179"/>
    </row>
    <row r="243" spans="1:2" x14ac:dyDescent="0.15">
      <c r="A243" s="178"/>
      <c r="B243" s="179"/>
    </row>
    <row r="244" spans="1:2" x14ac:dyDescent="0.15">
      <c r="A244" s="178"/>
      <c r="B244" s="179"/>
    </row>
    <row r="245" spans="1:2" x14ac:dyDescent="0.15">
      <c r="A245" s="178"/>
      <c r="B245" s="179"/>
    </row>
    <row r="246" spans="1:2" x14ac:dyDescent="0.15">
      <c r="A246" s="178"/>
      <c r="B246" s="179"/>
    </row>
    <row r="247" spans="1:2" x14ac:dyDescent="0.15">
      <c r="A247" s="178"/>
      <c r="B247" s="179"/>
    </row>
    <row r="248" spans="1:2" x14ac:dyDescent="0.15">
      <c r="A248" s="178"/>
      <c r="B248" s="179"/>
    </row>
    <row r="249" spans="1:2" x14ac:dyDescent="0.15">
      <c r="A249" s="178"/>
      <c r="B249" s="179"/>
    </row>
    <row r="250" spans="1:2" x14ac:dyDescent="0.15">
      <c r="A250" s="178"/>
      <c r="B250" s="179"/>
    </row>
    <row r="251" spans="1:2" x14ac:dyDescent="0.15">
      <c r="A251" s="178"/>
      <c r="B251" s="179"/>
    </row>
    <row r="252" spans="1:2" x14ac:dyDescent="0.15">
      <c r="A252" s="178"/>
      <c r="B252" s="179"/>
    </row>
    <row r="253" spans="1:2" x14ac:dyDescent="0.15">
      <c r="A253" s="178"/>
      <c r="B253" s="179"/>
    </row>
    <row r="254" spans="1:2" x14ac:dyDescent="0.15">
      <c r="A254" s="178"/>
      <c r="B254" s="179"/>
    </row>
    <row r="255" spans="1:2" x14ac:dyDescent="0.15">
      <c r="A255" s="178"/>
      <c r="B255" s="179"/>
    </row>
    <row r="256" spans="1:2" x14ac:dyDescent="0.15">
      <c r="A256" s="178"/>
      <c r="B256" s="179"/>
    </row>
    <row r="257" spans="1:2" x14ac:dyDescent="0.15">
      <c r="A257" s="178"/>
      <c r="B257" s="179"/>
    </row>
    <row r="258" spans="1:2" x14ac:dyDescent="0.15">
      <c r="A258" s="178"/>
      <c r="B258" s="179"/>
    </row>
    <row r="259" spans="1:2" x14ac:dyDescent="0.15">
      <c r="A259" s="178"/>
      <c r="B259" s="179"/>
    </row>
    <row r="260" spans="1:2" x14ac:dyDescent="0.15">
      <c r="A260" s="178"/>
      <c r="B260" s="179"/>
    </row>
    <row r="261" spans="1:2" x14ac:dyDescent="0.15">
      <c r="A261" s="178"/>
      <c r="B261" s="179"/>
    </row>
    <row r="262" spans="1:2" x14ac:dyDescent="0.15">
      <c r="A262" s="178"/>
      <c r="B262" s="179"/>
    </row>
    <row r="263" spans="1:2" x14ac:dyDescent="0.15">
      <c r="A263" s="178"/>
      <c r="B263" s="179"/>
    </row>
    <row r="264" spans="1:2" x14ac:dyDescent="0.15">
      <c r="A264" s="178"/>
      <c r="B264" s="179"/>
    </row>
    <row r="265" spans="1:2" x14ac:dyDescent="0.15">
      <c r="A265" s="178"/>
      <c r="B265" s="179"/>
    </row>
    <row r="266" spans="1:2" x14ac:dyDescent="0.15">
      <c r="A266" s="178"/>
      <c r="B266" s="179"/>
    </row>
    <row r="267" spans="1:2" x14ac:dyDescent="0.15">
      <c r="A267" s="178"/>
      <c r="B267" s="179"/>
    </row>
    <row r="268" spans="1:2" x14ac:dyDescent="0.15">
      <c r="A268" s="178"/>
      <c r="B268" s="179"/>
    </row>
    <row r="269" spans="1:2" x14ac:dyDescent="0.15">
      <c r="A269" s="178"/>
      <c r="B269" s="179"/>
    </row>
    <row r="270" spans="1:2" x14ac:dyDescent="0.15">
      <c r="A270" s="178"/>
      <c r="B270" s="179"/>
    </row>
    <row r="271" spans="1:2" x14ac:dyDescent="0.15">
      <c r="A271" s="178"/>
      <c r="B271" s="179"/>
    </row>
    <row r="272" spans="1:2" x14ac:dyDescent="0.15">
      <c r="A272" s="178"/>
      <c r="B272" s="179"/>
    </row>
    <row r="273" spans="1:2" x14ac:dyDescent="0.15">
      <c r="A273" s="178"/>
      <c r="B273" s="179"/>
    </row>
    <row r="274" spans="1:2" x14ac:dyDescent="0.15">
      <c r="A274" s="178"/>
      <c r="B274" s="179"/>
    </row>
    <row r="275" spans="1:2" x14ac:dyDescent="0.15">
      <c r="A275" s="178"/>
      <c r="B275" s="179"/>
    </row>
    <row r="276" spans="1:2" x14ac:dyDescent="0.15">
      <c r="A276" s="178"/>
      <c r="B276" s="179"/>
    </row>
    <row r="277" spans="1:2" x14ac:dyDescent="0.15">
      <c r="A277" s="178"/>
      <c r="B277" s="179"/>
    </row>
    <row r="278" spans="1:2" x14ac:dyDescent="0.15">
      <c r="A278" s="178"/>
      <c r="B278" s="179"/>
    </row>
    <row r="279" spans="1:2" x14ac:dyDescent="0.15">
      <c r="A279" s="178"/>
      <c r="B279" s="179"/>
    </row>
    <row r="280" spans="1:2" x14ac:dyDescent="0.15">
      <c r="A280" s="178"/>
      <c r="B280" s="179"/>
    </row>
    <row r="281" spans="1:2" x14ac:dyDescent="0.15">
      <c r="A281" s="178"/>
      <c r="B281" s="179"/>
    </row>
    <row r="282" spans="1:2" x14ac:dyDescent="0.15">
      <c r="A282" s="178"/>
      <c r="B282" s="179"/>
    </row>
    <row r="283" spans="1:2" x14ac:dyDescent="0.15">
      <c r="A283" s="178"/>
      <c r="B283" s="179"/>
    </row>
    <row r="284" spans="1:2" x14ac:dyDescent="0.15">
      <c r="A284" s="178"/>
      <c r="B284" s="179"/>
    </row>
    <row r="285" spans="1:2" x14ac:dyDescent="0.15">
      <c r="A285" s="178"/>
      <c r="B285" s="179"/>
    </row>
    <row r="286" spans="1:2" x14ac:dyDescent="0.15">
      <c r="A286" s="178"/>
      <c r="B286" s="179"/>
    </row>
    <row r="287" spans="1:2" x14ac:dyDescent="0.15">
      <c r="A287" s="178"/>
      <c r="B287" s="179"/>
    </row>
    <row r="288" spans="1:2" x14ac:dyDescent="0.15">
      <c r="A288" s="178"/>
      <c r="B288" s="179"/>
    </row>
    <row r="289" spans="1:4" x14ac:dyDescent="0.15">
      <c r="A289" s="178"/>
      <c r="B289" s="179"/>
    </row>
    <row r="290" spans="1:4" x14ac:dyDescent="0.15">
      <c r="A290" s="178"/>
      <c r="B290" s="179"/>
    </row>
    <row r="291" spans="1:4" x14ac:dyDescent="0.15">
      <c r="A291" s="178"/>
      <c r="B291" s="179"/>
    </row>
    <row r="292" spans="1:4" x14ac:dyDescent="0.15">
      <c r="A292" s="178"/>
      <c r="B292" s="179"/>
    </row>
    <row r="293" spans="1:4" x14ac:dyDescent="0.15">
      <c r="A293" s="178"/>
      <c r="B293" s="179"/>
    </row>
    <row r="294" spans="1:4" x14ac:dyDescent="0.15">
      <c r="A294" s="178"/>
      <c r="B294" s="179"/>
    </row>
    <row r="295" spans="1:4" x14ac:dyDescent="0.15">
      <c r="A295" s="178"/>
      <c r="B295" s="179"/>
    </row>
    <row r="296" spans="1:4" x14ac:dyDescent="0.15">
      <c r="A296" s="178"/>
      <c r="B296" s="179"/>
    </row>
    <row r="297" spans="1:4" x14ac:dyDescent="0.15">
      <c r="A297" s="178"/>
      <c r="B297" s="179"/>
    </row>
    <row r="298" spans="1:4" x14ac:dyDescent="0.15">
      <c r="A298" s="178"/>
      <c r="B298" s="179"/>
    </row>
    <row r="299" spans="1:4" x14ac:dyDescent="0.15">
      <c r="A299" s="178"/>
      <c r="B299" s="179"/>
    </row>
    <row r="300" spans="1:4" x14ac:dyDescent="0.15">
      <c r="A300" s="178"/>
      <c r="B300" s="179"/>
    </row>
    <row r="301" spans="1:4" x14ac:dyDescent="0.15">
      <c r="A301" s="178"/>
      <c r="B301" s="179"/>
    </row>
    <row r="302" spans="1:4" x14ac:dyDescent="0.15">
      <c r="A302" s="178"/>
      <c r="B302" s="179"/>
    </row>
    <row r="303" spans="1:4" x14ac:dyDescent="0.15">
      <c r="A303" s="178"/>
      <c r="B303" s="179"/>
    </row>
    <row r="304" spans="1:4" x14ac:dyDescent="0.15">
      <c r="A304" s="178"/>
      <c r="B304" s="179"/>
      <c r="C304" s="179"/>
      <c r="D304" s="179"/>
    </row>
    <row r="305" spans="1:2" x14ac:dyDescent="0.15">
      <c r="A305" s="178"/>
      <c r="B305" s="179"/>
    </row>
    <row r="306" spans="1:2" x14ac:dyDescent="0.15">
      <c r="A306" s="178"/>
      <c r="B306" s="179"/>
    </row>
    <row r="307" spans="1:2" x14ac:dyDescent="0.15">
      <c r="A307" s="178"/>
      <c r="B307" s="179"/>
    </row>
    <row r="308" spans="1:2" x14ac:dyDescent="0.15">
      <c r="A308" s="178"/>
      <c r="B308" s="179"/>
    </row>
    <row r="309" spans="1:2" x14ac:dyDescent="0.15">
      <c r="A309" s="178"/>
      <c r="B309" s="179"/>
    </row>
    <row r="310" spans="1:2" x14ac:dyDescent="0.15">
      <c r="A310" s="178"/>
      <c r="B310" s="179"/>
    </row>
    <row r="311" spans="1:2" x14ac:dyDescent="0.15">
      <c r="A311" s="178"/>
      <c r="B311" s="179"/>
    </row>
    <row r="312" spans="1:2" x14ac:dyDescent="0.15">
      <c r="A312" s="178"/>
      <c r="B312" s="179"/>
    </row>
    <row r="313" spans="1:2" x14ac:dyDescent="0.15">
      <c r="A313" s="178"/>
      <c r="B313" s="179"/>
    </row>
    <row r="314" spans="1:2" x14ac:dyDescent="0.15">
      <c r="A314" s="178"/>
      <c r="B314" s="179"/>
    </row>
    <row r="315" spans="1:2" x14ac:dyDescent="0.15">
      <c r="A315" s="178"/>
      <c r="B315" s="179"/>
    </row>
    <row r="316" spans="1:2" x14ac:dyDescent="0.15">
      <c r="A316" s="178"/>
      <c r="B316" s="179"/>
    </row>
    <row r="317" spans="1:2" x14ac:dyDescent="0.15">
      <c r="A317" s="178"/>
      <c r="B317" s="179"/>
    </row>
    <row r="318" spans="1:2" x14ac:dyDescent="0.15">
      <c r="A318" s="178"/>
      <c r="B318" s="179"/>
    </row>
    <row r="319" spans="1:2" x14ac:dyDescent="0.15">
      <c r="A319" s="178"/>
      <c r="B319" s="179"/>
    </row>
    <row r="320" spans="1:2" x14ac:dyDescent="0.15">
      <c r="A320" s="178"/>
      <c r="B320" s="179"/>
    </row>
    <row r="321" spans="1:2" x14ac:dyDescent="0.15">
      <c r="A321" s="178"/>
      <c r="B321" s="179"/>
    </row>
    <row r="322" spans="1:2" x14ac:dyDescent="0.15">
      <c r="A322" s="178"/>
      <c r="B322" s="179"/>
    </row>
    <row r="323" spans="1:2" x14ac:dyDescent="0.15">
      <c r="A323" s="178"/>
      <c r="B323" s="179"/>
    </row>
    <row r="324" spans="1:2" x14ac:dyDescent="0.15">
      <c r="A324" s="178"/>
      <c r="B324" s="179"/>
    </row>
    <row r="325" spans="1:2" x14ac:dyDescent="0.15">
      <c r="A325" s="178"/>
      <c r="B325" s="179"/>
    </row>
    <row r="326" spans="1:2" x14ac:dyDescent="0.15">
      <c r="A326" s="178"/>
      <c r="B326" s="179"/>
    </row>
    <row r="327" spans="1:2" x14ac:dyDescent="0.15">
      <c r="A327" s="178"/>
      <c r="B327" s="179"/>
    </row>
    <row r="328" spans="1:2" x14ac:dyDescent="0.15">
      <c r="A328" s="178"/>
      <c r="B328" s="179"/>
    </row>
    <row r="329" spans="1:2" x14ac:dyDescent="0.15">
      <c r="A329" s="178"/>
      <c r="B329" s="179"/>
    </row>
    <row r="330" spans="1:2" x14ac:dyDescent="0.15">
      <c r="A330" s="178"/>
      <c r="B330" s="179"/>
    </row>
    <row r="331" spans="1:2" x14ac:dyDescent="0.15">
      <c r="A331" s="178"/>
      <c r="B331" s="179"/>
    </row>
    <row r="332" spans="1:2" x14ac:dyDescent="0.15">
      <c r="A332" s="178"/>
      <c r="B332" s="179"/>
    </row>
    <row r="333" spans="1:2" x14ac:dyDescent="0.15">
      <c r="A333" s="178"/>
      <c r="B333" s="179"/>
    </row>
    <row r="334" spans="1:2" x14ac:dyDescent="0.15">
      <c r="A334" s="178"/>
      <c r="B334" s="179"/>
    </row>
    <row r="335" spans="1:2" x14ac:dyDescent="0.15">
      <c r="A335" s="178"/>
      <c r="B335" s="179"/>
    </row>
    <row r="336" spans="1:2" x14ac:dyDescent="0.15">
      <c r="A336" s="178"/>
      <c r="B336" s="179"/>
    </row>
    <row r="337" spans="1:2" x14ac:dyDescent="0.15">
      <c r="A337" s="178"/>
      <c r="B337" s="179"/>
    </row>
    <row r="338" spans="1:2" x14ac:dyDescent="0.15">
      <c r="A338" s="178"/>
      <c r="B338" s="179"/>
    </row>
    <row r="339" spans="1:2" x14ac:dyDescent="0.15">
      <c r="A339" s="178"/>
      <c r="B339" s="179"/>
    </row>
    <row r="340" spans="1:2" x14ac:dyDescent="0.15">
      <c r="A340" s="178"/>
      <c r="B340" s="179"/>
    </row>
    <row r="341" spans="1:2" x14ac:dyDescent="0.15">
      <c r="A341" s="178"/>
      <c r="B341" s="179"/>
    </row>
    <row r="342" spans="1:2" x14ac:dyDescent="0.15">
      <c r="A342" s="178"/>
      <c r="B342" s="179"/>
    </row>
    <row r="343" spans="1:2" x14ac:dyDescent="0.15">
      <c r="A343" s="178"/>
      <c r="B343" s="179"/>
    </row>
    <row r="344" spans="1:2" x14ac:dyDescent="0.15">
      <c r="A344" s="178"/>
      <c r="B344" s="179"/>
    </row>
    <row r="345" spans="1:2" x14ac:dyDescent="0.15">
      <c r="A345" s="178"/>
      <c r="B345" s="179"/>
    </row>
    <row r="346" spans="1:2" x14ac:dyDescent="0.15">
      <c r="A346" s="178"/>
      <c r="B346" s="179"/>
    </row>
    <row r="347" spans="1:2" x14ac:dyDescent="0.15">
      <c r="A347" s="178"/>
      <c r="B347" s="179"/>
    </row>
    <row r="348" spans="1:2" x14ac:dyDescent="0.15">
      <c r="A348" s="178"/>
      <c r="B348" s="179"/>
    </row>
    <row r="349" spans="1:2" x14ac:dyDescent="0.15">
      <c r="A349" s="178"/>
      <c r="B349" s="179"/>
    </row>
    <row r="350" spans="1:2" x14ac:dyDescent="0.15">
      <c r="A350" s="178"/>
      <c r="B350" s="179"/>
    </row>
    <row r="351" spans="1:2" x14ac:dyDescent="0.15">
      <c r="A351" s="178"/>
      <c r="B351" s="179"/>
    </row>
    <row r="352" spans="1:2" x14ac:dyDescent="0.15">
      <c r="A352" s="178"/>
      <c r="B352" s="179"/>
    </row>
    <row r="353" spans="1:2" x14ac:dyDescent="0.15">
      <c r="A353" s="178"/>
      <c r="B353" s="179"/>
    </row>
    <row r="354" spans="1:2" x14ac:dyDescent="0.15">
      <c r="A354" s="178"/>
      <c r="B354" s="179"/>
    </row>
    <row r="355" spans="1:2" x14ac:dyDescent="0.15">
      <c r="A355" s="178"/>
      <c r="B355" s="179"/>
    </row>
    <row r="356" spans="1:2" x14ac:dyDescent="0.15">
      <c r="A356" s="178"/>
      <c r="B356" s="179"/>
    </row>
    <row r="357" spans="1:2" x14ac:dyDescent="0.15">
      <c r="A357" s="178"/>
      <c r="B357" s="179"/>
    </row>
    <row r="358" spans="1:2" x14ac:dyDescent="0.15">
      <c r="A358" s="178"/>
      <c r="B358" s="179"/>
    </row>
    <row r="359" spans="1:2" x14ac:dyDescent="0.15">
      <c r="A359" s="178"/>
      <c r="B359" s="179"/>
    </row>
    <row r="360" spans="1:2" x14ac:dyDescent="0.15">
      <c r="A360" s="178"/>
      <c r="B360" s="179"/>
    </row>
    <row r="361" spans="1:2" x14ac:dyDescent="0.15">
      <c r="A361" s="178"/>
      <c r="B361" s="179"/>
    </row>
    <row r="362" spans="1:2" x14ac:dyDescent="0.15">
      <c r="A362" s="178"/>
      <c r="B362" s="179"/>
    </row>
    <row r="363" spans="1:2" x14ac:dyDescent="0.15">
      <c r="A363" s="178"/>
      <c r="B363" s="179"/>
    </row>
    <row r="364" spans="1:2" x14ac:dyDescent="0.15">
      <c r="A364" s="178"/>
      <c r="B364" s="179"/>
    </row>
    <row r="365" spans="1:2" x14ac:dyDescent="0.15">
      <c r="A365" s="178"/>
      <c r="B365" s="179"/>
    </row>
    <row r="366" spans="1:2" x14ac:dyDescent="0.15">
      <c r="A366" s="178"/>
      <c r="B366" s="179"/>
    </row>
    <row r="367" spans="1:2" x14ac:dyDescent="0.15">
      <c r="A367" s="178"/>
      <c r="B367" s="179"/>
    </row>
    <row r="368" spans="1:2" x14ac:dyDescent="0.15">
      <c r="A368" s="178"/>
      <c r="B368" s="179"/>
    </row>
    <row r="369" spans="1:2" x14ac:dyDescent="0.15">
      <c r="A369" s="178"/>
      <c r="B369" s="179"/>
    </row>
    <row r="370" spans="1:2" x14ac:dyDescent="0.15">
      <c r="A370" s="178"/>
      <c r="B370" s="179"/>
    </row>
    <row r="371" spans="1:2" x14ac:dyDescent="0.15">
      <c r="A371" s="178"/>
      <c r="B371" s="179"/>
    </row>
    <row r="372" spans="1:2" x14ac:dyDescent="0.15">
      <c r="A372" s="178"/>
      <c r="B372" s="179"/>
    </row>
    <row r="373" spans="1:2" x14ac:dyDescent="0.15">
      <c r="A373" s="178"/>
      <c r="B373" s="179"/>
    </row>
    <row r="374" spans="1:2" x14ac:dyDescent="0.15">
      <c r="A374" s="178"/>
      <c r="B374" s="179"/>
    </row>
    <row r="375" spans="1:2" x14ac:dyDescent="0.15">
      <c r="A375" s="178"/>
      <c r="B375" s="179"/>
    </row>
    <row r="376" spans="1:2" x14ac:dyDescent="0.15">
      <c r="A376" s="178"/>
      <c r="B376" s="179"/>
    </row>
    <row r="377" spans="1:2" x14ac:dyDescent="0.15">
      <c r="A377" s="178"/>
      <c r="B377" s="179"/>
    </row>
    <row r="378" spans="1:2" x14ac:dyDescent="0.15">
      <c r="A378" s="178"/>
      <c r="B378" s="179"/>
    </row>
    <row r="379" spans="1:2" x14ac:dyDescent="0.15">
      <c r="A379" s="178"/>
      <c r="B379" s="179"/>
    </row>
    <row r="380" spans="1:2" x14ac:dyDescent="0.15">
      <c r="A380" s="178"/>
      <c r="B380" s="179"/>
    </row>
    <row r="381" spans="1:2" x14ac:dyDescent="0.15">
      <c r="A381" s="178"/>
      <c r="B381" s="179"/>
    </row>
    <row r="382" spans="1:2" x14ac:dyDescent="0.15">
      <c r="A382" s="178"/>
      <c r="B382" s="179"/>
    </row>
    <row r="383" spans="1:2" x14ac:dyDescent="0.15">
      <c r="A383" s="178"/>
      <c r="B383" s="179"/>
    </row>
    <row r="384" spans="1:2" x14ac:dyDescent="0.15">
      <c r="A384" s="178"/>
      <c r="B384" s="179"/>
    </row>
    <row r="385" spans="1:2" x14ac:dyDescent="0.15">
      <c r="A385" s="178"/>
      <c r="B385" s="179"/>
    </row>
    <row r="386" spans="1:2" x14ac:dyDescent="0.15">
      <c r="A386" s="178"/>
      <c r="B386" s="179"/>
    </row>
    <row r="387" spans="1:2" x14ac:dyDescent="0.15">
      <c r="A387" s="178"/>
      <c r="B387" s="179"/>
    </row>
    <row r="388" spans="1:2" x14ac:dyDescent="0.15">
      <c r="A388" s="178"/>
      <c r="B388" s="179"/>
    </row>
    <row r="389" spans="1:2" x14ac:dyDescent="0.15">
      <c r="A389" s="178"/>
      <c r="B389" s="179"/>
    </row>
    <row r="390" spans="1:2" x14ac:dyDescent="0.15">
      <c r="A390" s="178"/>
      <c r="B390" s="179"/>
    </row>
    <row r="391" spans="1:2" x14ac:dyDescent="0.15">
      <c r="A391" s="178"/>
      <c r="B391" s="179"/>
    </row>
    <row r="392" spans="1:2" x14ac:dyDescent="0.15">
      <c r="A392" s="178"/>
      <c r="B392" s="179"/>
    </row>
    <row r="393" spans="1:2" x14ac:dyDescent="0.15">
      <c r="A393" s="178"/>
      <c r="B393" s="179"/>
    </row>
    <row r="394" spans="1:2" x14ac:dyDescent="0.15">
      <c r="A394" s="178"/>
      <c r="B394" s="179"/>
    </row>
    <row r="395" spans="1:2" x14ac:dyDescent="0.15">
      <c r="A395" s="178"/>
      <c r="B395" s="179"/>
    </row>
    <row r="396" spans="1:2" x14ac:dyDescent="0.15">
      <c r="A396" s="178"/>
      <c r="B396" s="179"/>
    </row>
    <row r="397" spans="1:2" x14ac:dyDescent="0.15">
      <c r="A397" s="178"/>
      <c r="B397" s="179"/>
    </row>
    <row r="398" spans="1:2" x14ac:dyDescent="0.15">
      <c r="A398" s="178"/>
      <c r="B398" s="179"/>
    </row>
    <row r="399" spans="1:2" x14ac:dyDescent="0.15">
      <c r="A399" s="178"/>
      <c r="B399" s="179"/>
    </row>
    <row r="400" spans="1:2" x14ac:dyDescent="0.15">
      <c r="A400" s="178"/>
      <c r="B400" s="179"/>
    </row>
    <row r="401" spans="1:4" x14ac:dyDescent="0.15">
      <c r="A401" s="178"/>
      <c r="B401" s="179"/>
    </row>
    <row r="402" spans="1:4" x14ac:dyDescent="0.15">
      <c r="A402" s="178"/>
      <c r="B402" s="179"/>
    </row>
    <row r="403" spans="1:4" x14ac:dyDescent="0.15">
      <c r="A403" s="178"/>
      <c r="B403" s="179"/>
    </row>
    <row r="404" spans="1:4" x14ac:dyDescent="0.15">
      <c r="A404" s="178"/>
      <c r="B404" s="179"/>
      <c r="C404" s="179"/>
      <c r="D404" s="179"/>
    </row>
    <row r="405" spans="1:4" x14ac:dyDescent="0.15">
      <c r="A405" s="178"/>
      <c r="B405" s="179"/>
    </row>
    <row r="406" spans="1:4" x14ac:dyDescent="0.15">
      <c r="A406" s="178"/>
      <c r="B406" s="179"/>
    </row>
    <row r="407" spans="1:4" x14ac:dyDescent="0.15">
      <c r="A407" s="178"/>
      <c r="B407" s="179"/>
    </row>
    <row r="408" spans="1:4" x14ac:dyDescent="0.15">
      <c r="A408" s="178"/>
      <c r="B408" s="179"/>
    </row>
    <row r="409" spans="1:4" x14ac:dyDescent="0.15">
      <c r="A409" s="178"/>
      <c r="B409" s="179"/>
    </row>
    <row r="410" spans="1:4" x14ac:dyDescent="0.15">
      <c r="A410" s="178"/>
      <c r="B410" s="179"/>
    </row>
    <row r="411" spans="1:4" x14ac:dyDescent="0.15">
      <c r="A411" s="178"/>
      <c r="B411" s="179"/>
    </row>
    <row r="412" spans="1:4" x14ac:dyDescent="0.15">
      <c r="A412" s="178"/>
      <c r="B412" s="179"/>
    </row>
    <row r="413" spans="1:4" x14ac:dyDescent="0.15">
      <c r="A413" s="178"/>
      <c r="B413" s="179"/>
    </row>
    <row r="414" spans="1:4" x14ac:dyDescent="0.15">
      <c r="A414" s="178"/>
      <c r="B414" s="179"/>
    </row>
    <row r="415" spans="1:4" x14ac:dyDescent="0.15">
      <c r="A415" s="178"/>
      <c r="B415" s="179"/>
    </row>
    <row r="416" spans="1:4" x14ac:dyDescent="0.15">
      <c r="A416" s="178"/>
      <c r="B416" s="179"/>
    </row>
    <row r="417" spans="1:2" x14ac:dyDescent="0.15">
      <c r="A417" s="178"/>
      <c r="B417" s="179"/>
    </row>
    <row r="418" spans="1:2" x14ac:dyDescent="0.15">
      <c r="A418" s="178"/>
      <c r="B418" s="179"/>
    </row>
    <row r="419" spans="1:2" x14ac:dyDescent="0.15">
      <c r="A419" s="178"/>
      <c r="B419" s="179"/>
    </row>
    <row r="420" spans="1:2" x14ac:dyDescent="0.15">
      <c r="A420" s="178"/>
      <c r="B420" s="179"/>
    </row>
    <row r="421" spans="1:2" x14ac:dyDescent="0.15">
      <c r="A421" s="178"/>
      <c r="B421" s="179"/>
    </row>
    <row r="422" spans="1:2" x14ac:dyDescent="0.15">
      <c r="A422" s="178"/>
      <c r="B422" s="179"/>
    </row>
    <row r="423" spans="1:2" x14ac:dyDescent="0.15">
      <c r="A423" s="178"/>
      <c r="B423" s="179"/>
    </row>
    <row r="424" spans="1:2" x14ac:dyDescent="0.15">
      <c r="A424" s="178"/>
      <c r="B424" s="179"/>
    </row>
    <row r="425" spans="1:2" x14ac:dyDescent="0.15">
      <c r="A425" s="178"/>
      <c r="B425" s="179"/>
    </row>
    <row r="426" spans="1:2" x14ac:dyDescent="0.15">
      <c r="A426" s="178"/>
      <c r="B426" s="179"/>
    </row>
    <row r="427" spans="1:2" x14ac:dyDescent="0.15">
      <c r="A427" s="178"/>
      <c r="B427" s="179"/>
    </row>
    <row r="428" spans="1:2" x14ac:dyDescent="0.15">
      <c r="A428" s="178"/>
      <c r="B428" s="179"/>
    </row>
    <row r="429" spans="1:2" x14ac:dyDescent="0.15">
      <c r="A429" s="178"/>
      <c r="B429" s="179"/>
    </row>
    <row r="430" spans="1:2" x14ac:dyDescent="0.15">
      <c r="A430" s="178"/>
      <c r="B430" s="179"/>
    </row>
    <row r="431" spans="1:2" x14ac:dyDescent="0.15">
      <c r="A431" s="178"/>
      <c r="B431" s="179"/>
    </row>
    <row r="432" spans="1:2" x14ac:dyDescent="0.15">
      <c r="A432" s="178"/>
      <c r="B432" s="179"/>
    </row>
    <row r="433" spans="1:2" x14ac:dyDescent="0.15">
      <c r="A433" s="178"/>
      <c r="B433" s="179"/>
    </row>
    <row r="434" spans="1:2" x14ac:dyDescent="0.15">
      <c r="A434" s="178"/>
      <c r="B434" s="179"/>
    </row>
    <row r="435" spans="1:2" x14ac:dyDescent="0.15">
      <c r="A435" s="178"/>
      <c r="B435" s="179"/>
    </row>
    <row r="436" spans="1:2" x14ac:dyDescent="0.15">
      <c r="A436" s="178"/>
      <c r="B436" s="179"/>
    </row>
    <row r="437" spans="1:2" x14ac:dyDescent="0.15">
      <c r="A437" s="178"/>
      <c r="B437" s="179"/>
    </row>
    <row r="438" spans="1:2" x14ac:dyDescent="0.15">
      <c r="A438" s="178"/>
      <c r="B438" s="179"/>
    </row>
    <row r="439" spans="1:2" x14ac:dyDescent="0.15">
      <c r="A439" s="178"/>
      <c r="B439" s="179"/>
    </row>
    <row r="440" spans="1:2" x14ac:dyDescent="0.15">
      <c r="A440" s="178"/>
      <c r="B440" s="179"/>
    </row>
    <row r="441" spans="1:2" x14ac:dyDescent="0.15">
      <c r="A441" s="178"/>
      <c r="B441" s="179"/>
    </row>
    <row r="442" spans="1:2" x14ac:dyDescent="0.15">
      <c r="A442" s="178"/>
      <c r="B442" s="179"/>
    </row>
    <row r="443" spans="1:2" x14ac:dyDescent="0.15">
      <c r="A443" s="178"/>
      <c r="B443" s="179"/>
    </row>
    <row r="444" spans="1:2" x14ac:dyDescent="0.15">
      <c r="A444" s="178"/>
      <c r="B444" s="179"/>
    </row>
    <row r="445" spans="1:2" x14ac:dyDescent="0.15">
      <c r="A445" s="178"/>
      <c r="B445" s="179"/>
    </row>
    <row r="446" spans="1:2" x14ac:dyDescent="0.15">
      <c r="A446" s="178"/>
      <c r="B446" s="179"/>
    </row>
    <row r="447" spans="1:2" x14ac:dyDescent="0.15">
      <c r="A447" s="178"/>
      <c r="B447" s="179"/>
    </row>
    <row r="448" spans="1:2" x14ac:dyDescent="0.15">
      <c r="A448" s="178"/>
      <c r="B448" s="179"/>
    </row>
    <row r="449" spans="1:2" x14ac:dyDescent="0.15">
      <c r="A449" s="178"/>
      <c r="B449" s="179"/>
    </row>
    <row r="450" spans="1:2" x14ac:dyDescent="0.15">
      <c r="A450" s="178"/>
      <c r="B450" s="179"/>
    </row>
    <row r="451" spans="1:2" x14ac:dyDescent="0.15">
      <c r="A451" s="178"/>
      <c r="B451" s="179"/>
    </row>
    <row r="452" spans="1:2" x14ac:dyDescent="0.15">
      <c r="A452" s="178"/>
      <c r="B452" s="179"/>
    </row>
    <row r="453" spans="1:2" x14ac:dyDescent="0.15">
      <c r="A453" s="178"/>
      <c r="B453" s="179"/>
    </row>
    <row r="454" spans="1:2" x14ac:dyDescent="0.15">
      <c r="A454" s="178"/>
      <c r="B454" s="179"/>
    </row>
    <row r="455" spans="1:2" x14ac:dyDescent="0.15">
      <c r="A455" s="178"/>
      <c r="B455" s="179"/>
    </row>
    <row r="456" spans="1:2" x14ac:dyDescent="0.15">
      <c r="A456" s="178"/>
      <c r="B456" s="179"/>
    </row>
    <row r="457" spans="1:2" x14ac:dyDescent="0.15">
      <c r="A457" s="178"/>
      <c r="B457" s="179"/>
    </row>
    <row r="458" spans="1:2" x14ac:dyDescent="0.15">
      <c r="A458" s="178"/>
      <c r="B458" s="179"/>
    </row>
    <row r="459" spans="1:2" x14ac:dyDescent="0.15">
      <c r="A459" s="178"/>
      <c r="B459" s="179"/>
    </row>
    <row r="460" spans="1:2" x14ac:dyDescent="0.15">
      <c r="A460" s="178"/>
      <c r="B460" s="179"/>
    </row>
    <row r="461" spans="1:2" x14ac:dyDescent="0.15">
      <c r="A461" s="178"/>
      <c r="B461" s="179"/>
    </row>
    <row r="462" spans="1:2" x14ac:dyDescent="0.15">
      <c r="A462" s="178"/>
      <c r="B462" s="179"/>
    </row>
    <row r="463" spans="1:2" x14ac:dyDescent="0.15">
      <c r="A463" s="178"/>
      <c r="B463" s="179"/>
    </row>
    <row r="464" spans="1:2" x14ac:dyDescent="0.15">
      <c r="A464" s="178"/>
      <c r="B464" s="179"/>
    </row>
    <row r="465" spans="1:2" x14ac:dyDescent="0.15">
      <c r="A465" s="178"/>
      <c r="B465" s="179"/>
    </row>
    <row r="466" spans="1:2" x14ac:dyDescent="0.15">
      <c r="A466" s="178"/>
      <c r="B466" s="179"/>
    </row>
    <row r="467" spans="1:2" x14ac:dyDescent="0.15">
      <c r="A467" s="178"/>
      <c r="B467" s="179"/>
    </row>
    <row r="468" spans="1:2" x14ac:dyDescent="0.15">
      <c r="A468" s="178"/>
      <c r="B468" s="179"/>
    </row>
    <row r="469" spans="1:2" x14ac:dyDescent="0.15">
      <c r="A469" s="178"/>
      <c r="B469" s="179"/>
    </row>
    <row r="470" spans="1:2" x14ac:dyDescent="0.15">
      <c r="A470" s="178"/>
      <c r="B470" s="179"/>
    </row>
    <row r="471" spans="1:2" x14ac:dyDescent="0.15">
      <c r="A471" s="178"/>
      <c r="B471" s="179"/>
    </row>
    <row r="472" spans="1:2" x14ac:dyDescent="0.15">
      <c r="A472" s="178"/>
      <c r="B472" s="179"/>
    </row>
    <row r="473" spans="1:2" x14ac:dyDescent="0.15">
      <c r="A473" s="178"/>
      <c r="B473" s="179"/>
    </row>
    <row r="474" spans="1:2" x14ac:dyDescent="0.15">
      <c r="A474" s="178"/>
      <c r="B474" s="179"/>
    </row>
    <row r="475" spans="1:2" x14ac:dyDescent="0.15">
      <c r="A475" s="178"/>
      <c r="B475" s="179"/>
    </row>
    <row r="476" spans="1:2" x14ac:dyDescent="0.15">
      <c r="A476" s="178"/>
      <c r="B476" s="179"/>
    </row>
    <row r="477" spans="1:2" x14ac:dyDescent="0.15">
      <c r="A477" s="178"/>
      <c r="B477" s="179"/>
    </row>
    <row r="478" spans="1:2" x14ac:dyDescent="0.15">
      <c r="A478" s="178"/>
      <c r="B478" s="179"/>
    </row>
    <row r="479" spans="1:2" x14ac:dyDescent="0.15">
      <c r="A479" s="178"/>
      <c r="B479" s="179"/>
    </row>
    <row r="480" spans="1:2" x14ac:dyDescent="0.15">
      <c r="A480" s="178"/>
      <c r="B480" s="179"/>
    </row>
    <row r="481" spans="1:2" x14ac:dyDescent="0.15">
      <c r="A481" s="178"/>
      <c r="B481" s="179"/>
    </row>
    <row r="482" spans="1:2" x14ac:dyDescent="0.15">
      <c r="A482" s="178"/>
      <c r="B482" s="179"/>
    </row>
    <row r="483" spans="1:2" x14ac:dyDescent="0.15">
      <c r="A483" s="178"/>
      <c r="B483" s="179"/>
    </row>
    <row r="484" spans="1:2" x14ac:dyDescent="0.15">
      <c r="A484" s="178"/>
      <c r="B484" s="179"/>
    </row>
    <row r="485" spans="1:2" x14ac:dyDescent="0.15">
      <c r="A485" s="178"/>
      <c r="B485" s="179"/>
    </row>
    <row r="486" spans="1:2" x14ac:dyDescent="0.15">
      <c r="A486" s="178"/>
      <c r="B486" s="179"/>
    </row>
    <row r="487" spans="1:2" x14ac:dyDescent="0.15">
      <c r="A487" s="178"/>
      <c r="B487" s="179"/>
    </row>
    <row r="488" spans="1:2" x14ac:dyDescent="0.15">
      <c r="A488" s="178"/>
      <c r="B488" s="179"/>
    </row>
    <row r="489" spans="1:2" x14ac:dyDescent="0.15">
      <c r="A489" s="178"/>
      <c r="B489" s="179"/>
    </row>
    <row r="490" spans="1:2" x14ac:dyDescent="0.15">
      <c r="A490" s="178"/>
      <c r="B490" s="179"/>
    </row>
    <row r="491" spans="1:2" x14ac:dyDescent="0.15">
      <c r="A491" s="178"/>
      <c r="B491" s="179"/>
    </row>
    <row r="492" spans="1:2" x14ac:dyDescent="0.15">
      <c r="A492" s="178"/>
      <c r="B492" s="179"/>
    </row>
    <row r="493" spans="1:2" x14ac:dyDescent="0.15">
      <c r="A493" s="178"/>
      <c r="B493" s="179"/>
    </row>
    <row r="494" spans="1:2" x14ac:dyDescent="0.15">
      <c r="A494" s="178"/>
      <c r="B494" s="179"/>
    </row>
    <row r="495" spans="1:2" x14ac:dyDescent="0.15">
      <c r="A495" s="178"/>
      <c r="B495" s="179"/>
    </row>
    <row r="496" spans="1:2" x14ac:dyDescent="0.15">
      <c r="A496" s="178"/>
      <c r="B496" s="179"/>
    </row>
    <row r="497" spans="1:4" x14ac:dyDescent="0.15">
      <c r="A497" s="178"/>
      <c r="B497" s="179"/>
    </row>
    <row r="498" spans="1:4" x14ac:dyDescent="0.15">
      <c r="A498" s="178"/>
      <c r="B498" s="179"/>
    </row>
    <row r="499" spans="1:4" x14ac:dyDescent="0.15">
      <c r="A499" s="178"/>
      <c r="B499" s="179"/>
    </row>
    <row r="500" spans="1:4" x14ac:dyDescent="0.15">
      <c r="A500" s="178"/>
      <c r="B500" s="179"/>
    </row>
    <row r="501" spans="1:4" x14ac:dyDescent="0.15">
      <c r="A501" s="178"/>
      <c r="B501" s="179"/>
    </row>
    <row r="502" spans="1:4" x14ac:dyDescent="0.15">
      <c r="A502" s="178"/>
      <c r="B502" s="179"/>
    </row>
    <row r="503" spans="1:4" x14ac:dyDescent="0.15">
      <c r="A503" s="178"/>
      <c r="B503" s="179"/>
    </row>
    <row r="504" spans="1:4" x14ac:dyDescent="0.15">
      <c r="A504" s="178"/>
      <c r="B504" s="179"/>
      <c r="C504" s="179"/>
      <c r="D504" s="179"/>
    </row>
    <row r="505" spans="1:4" x14ac:dyDescent="0.15">
      <c r="A505" s="178"/>
      <c r="B505" s="179"/>
    </row>
    <row r="506" spans="1:4" x14ac:dyDescent="0.15">
      <c r="A506" s="178"/>
      <c r="B506" s="179"/>
    </row>
    <row r="507" spans="1:4" x14ac:dyDescent="0.15">
      <c r="A507" s="178"/>
      <c r="B507" s="179"/>
    </row>
    <row r="508" spans="1:4" x14ac:dyDescent="0.15">
      <c r="A508" s="178"/>
      <c r="B508" s="179"/>
    </row>
    <row r="509" spans="1:4" x14ac:dyDescent="0.15">
      <c r="A509" s="178"/>
      <c r="B509" s="179"/>
    </row>
    <row r="510" spans="1:4" x14ac:dyDescent="0.15">
      <c r="A510" s="178"/>
      <c r="B510" s="179"/>
    </row>
    <row r="511" spans="1:4" x14ac:dyDescent="0.15">
      <c r="A511" s="178"/>
      <c r="B511" s="179"/>
    </row>
    <row r="512" spans="1:4" x14ac:dyDescent="0.15">
      <c r="A512" s="178"/>
      <c r="B512" s="179"/>
    </row>
    <row r="513" spans="1:2" x14ac:dyDescent="0.15">
      <c r="A513" s="178"/>
      <c r="B513" s="179"/>
    </row>
    <row r="514" spans="1:2" x14ac:dyDescent="0.15">
      <c r="A514" s="178"/>
      <c r="B514" s="179"/>
    </row>
    <row r="515" spans="1:2" x14ac:dyDescent="0.15">
      <c r="A515" s="178"/>
      <c r="B515" s="179"/>
    </row>
    <row r="516" spans="1:2" x14ac:dyDescent="0.15">
      <c r="A516" s="178"/>
      <c r="B516" s="179"/>
    </row>
    <row r="517" spans="1:2" x14ac:dyDescent="0.15">
      <c r="A517" s="178"/>
      <c r="B517" s="179"/>
    </row>
    <row r="518" spans="1:2" x14ac:dyDescent="0.15">
      <c r="A518" s="178"/>
      <c r="B518" s="179"/>
    </row>
    <row r="519" spans="1:2" x14ac:dyDescent="0.15">
      <c r="A519" s="178"/>
      <c r="B519" s="179"/>
    </row>
    <row r="520" spans="1:2" x14ac:dyDescent="0.15">
      <c r="A520" s="178"/>
      <c r="B520" s="179"/>
    </row>
    <row r="521" spans="1:2" x14ac:dyDescent="0.15">
      <c r="A521" s="178"/>
      <c r="B521" s="179"/>
    </row>
    <row r="522" spans="1:2" x14ac:dyDescent="0.15">
      <c r="A522" s="178"/>
      <c r="B522" s="179"/>
    </row>
    <row r="523" spans="1:2" x14ac:dyDescent="0.15">
      <c r="A523" s="178"/>
      <c r="B523" s="179"/>
    </row>
    <row r="524" spans="1:2" x14ac:dyDescent="0.15">
      <c r="A524" s="178"/>
      <c r="B524" s="179"/>
    </row>
    <row r="525" spans="1:2" x14ac:dyDescent="0.15">
      <c r="A525" s="178"/>
      <c r="B525" s="179"/>
    </row>
    <row r="526" spans="1:2" x14ac:dyDescent="0.15">
      <c r="A526" s="178"/>
      <c r="B526" s="179"/>
    </row>
    <row r="527" spans="1:2" x14ac:dyDescent="0.15">
      <c r="A527" s="178"/>
      <c r="B527" s="179"/>
    </row>
    <row r="528" spans="1:2" x14ac:dyDescent="0.15">
      <c r="A528" s="178"/>
      <c r="B528" s="179"/>
    </row>
    <row r="529" spans="1:2" x14ac:dyDescent="0.15">
      <c r="A529" s="178"/>
      <c r="B529" s="179"/>
    </row>
    <row r="530" spans="1:2" x14ac:dyDescent="0.15">
      <c r="A530" s="178"/>
      <c r="B530" s="179"/>
    </row>
    <row r="531" spans="1:2" x14ac:dyDescent="0.15">
      <c r="A531" s="178"/>
      <c r="B531" s="179"/>
    </row>
    <row r="532" spans="1:2" x14ac:dyDescent="0.15">
      <c r="A532" s="178"/>
      <c r="B532" s="179"/>
    </row>
    <row r="533" spans="1:2" x14ac:dyDescent="0.15">
      <c r="A533" s="178"/>
      <c r="B533" s="179"/>
    </row>
    <row r="534" spans="1:2" x14ac:dyDescent="0.15">
      <c r="A534" s="178"/>
      <c r="B534" s="179"/>
    </row>
    <row r="535" spans="1:2" x14ac:dyDescent="0.15">
      <c r="A535" s="178"/>
      <c r="B535" s="179"/>
    </row>
    <row r="536" spans="1:2" x14ac:dyDescent="0.15">
      <c r="A536" s="178"/>
      <c r="B536" s="179"/>
    </row>
    <row r="537" spans="1:2" x14ac:dyDescent="0.15">
      <c r="A537" s="178"/>
      <c r="B537" s="179"/>
    </row>
    <row r="538" spans="1:2" x14ac:dyDescent="0.15">
      <c r="A538" s="178"/>
      <c r="B538" s="179"/>
    </row>
    <row r="539" spans="1:2" x14ac:dyDescent="0.15">
      <c r="A539" s="178"/>
      <c r="B539" s="179"/>
    </row>
    <row r="540" spans="1:2" x14ac:dyDescent="0.15">
      <c r="A540" s="178"/>
      <c r="B540" s="179"/>
    </row>
    <row r="541" spans="1:2" x14ac:dyDescent="0.15">
      <c r="A541" s="178"/>
      <c r="B541" s="179"/>
    </row>
    <row r="542" spans="1:2" x14ac:dyDescent="0.15">
      <c r="A542" s="178"/>
      <c r="B542" s="179"/>
    </row>
    <row r="543" spans="1:2" x14ac:dyDescent="0.15">
      <c r="A543" s="178"/>
      <c r="B543" s="179"/>
    </row>
    <row r="544" spans="1:2" x14ac:dyDescent="0.15">
      <c r="A544" s="178"/>
      <c r="B544" s="179"/>
    </row>
    <row r="545" spans="1:2" x14ac:dyDescent="0.15">
      <c r="A545" s="178"/>
      <c r="B545" s="179"/>
    </row>
    <row r="546" spans="1:2" x14ac:dyDescent="0.15">
      <c r="A546" s="178"/>
      <c r="B546" s="179"/>
    </row>
    <row r="547" spans="1:2" x14ac:dyDescent="0.15">
      <c r="A547" s="178"/>
      <c r="B547" s="179"/>
    </row>
    <row r="548" spans="1:2" x14ac:dyDescent="0.15">
      <c r="A548" s="178"/>
      <c r="B548" s="179"/>
    </row>
    <row r="549" spans="1:2" x14ac:dyDescent="0.15">
      <c r="A549" s="178"/>
      <c r="B549" s="179"/>
    </row>
    <row r="550" spans="1:2" x14ac:dyDescent="0.15">
      <c r="A550" s="178"/>
      <c r="B550" s="179"/>
    </row>
    <row r="551" spans="1:2" x14ac:dyDescent="0.15">
      <c r="A551" s="178"/>
      <c r="B551" s="179"/>
    </row>
    <row r="552" spans="1:2" x14ac:dyDescent="0.15">
      <c r="A552" s="178"/>
      <c r="B552" s="179"/>
    </row>
    <row r="553" spans="1:2" x14ac:dyDescent="0.15">
      <c r="A553" s="178"/>
      <c r="B553" s="179"/>
    </row>
    <row r="554" spans="1:2" x14ac:dyDescent="0.15">
      <c r="A554" s="178"/>
      <c r="B554" s="179"/>
    </row>
    <row r="555" spans="1:2" x14ac:dyDescent="0.15">
      <c r="A555" s="178"/>
      <c r="B555" s="179"/>
    </row>
    <row r="556" spans="1:2" x14ac:dyDescent="0.15">
      <c r="A556" s="178"/>
      <c r="B556" s="179"/>
    </row>
    <row r="557" spans="1:2" x14ac:dyDescent="0.15">
      <c r="A557" s="178"/>
      <c r="B557" s="179"/>
    </row>
    <row r="558" spans="1:2" x14ac:dyDescent="0.15">
      <c r="A558" s="178"/>
      <c r="B558" s="179"/>
    </row>
    <row r="559" spans="1:2" x14ac:dyDescent="0.15">
      <c r="A559" s="178"/>
      <c r="B559" s="179"/>
    </row>
    <row r="560" spans="1:2" x14ac:dyDescent="0.15">
      <c r="A560" s="178"/>
      <c r="B560" s="179"/>
    </row>
    <row r="561" spans="1:2" x14ac:dyDescent="0.15">
      <c r="A561" s="178"/>
      <c r="B561" s="179"/>
    </row>
    <row r="562" spans="1:2" x14ac:dyDescent="0.15">
      <c r="A562" s="178"/>
      <c r="B562" s="179"/>
    </row>
    <row r="563" spans="1:2" x14ac:dyDescent="0.15">
      <c r="A563" s="178"/>
      <c r="B563" s="179"/>
    </row>
    <row r="564" spans="1:2" x14ac:dyDescent="0.15">
      <c r="A564" s="178"/>
      <c r="B564" s="179"/>
    </row>
    <row r="565" spans="1:2" x14ac:dyDescent="0.15">
      <c r="A565" s="178"/>
      <c r="B565" s="179"/>
    </row>
    <row r="566" spans="1:2" x14ac:dyDescent="0.15">
      <c r="A566" s="178"/>
      <c r="B566" s="179"/>
    </row>
    <row r="567" spans="1:2" x14ac:dyDescent="0.15">
      <c r="A567" s="178"/>
      <c r="B567" s="179"/>
    </row>
    <row r="568" spans="1:2" x14ac:dyDescent="0.15">
      <c r="A568" s="178"/>
      <c r="B568" s="179"/>
    </row>
    <row r="569" spans="1:2" x14ac:dyDescent="0.15">
      <c r="A569" s="178"/>
      <c r="B569" s="179"/>
    </row>
    <row r="570" spans="1:2" x14ac:dyDescent="0.15">
      <c r="A570" s="178"/>
      <c r="B570" s="179"/>
    </row>
    <row r="571" spans="1:2" x14ac:dyDescent="0.15">
      <c r="A571" s="178"/>
      <c r="B571" s="179"/>
    </row>
    <row r="572" spans="1:2" x14ac:dyDescent="0.15">
      <c r="A572" s="178"/>
      <c r="B572" s="179"/>
    </row>
    <row r="573" spans="1:2" x14ac:dyDescent="0.15">
      <c r="A573" s="178"/>
      <c r="B573" s="179"/>
    </row>
    <row r="574" spans="1:2" x14ac:dyDescent="0.15">
      <c r="A574" s="178"/>
      <c r="B574" s="179"/>
    </row>
    <row r="575" spans="1:2" x14ac:dyDescent="0.15">
      <c r="A575" s="178"/>
      <c r="B575" s="179"/>
    </row>
    <row r="576" spans="1:2" x14ac:dyDescent="0.15">
      <c r="A576" s="178"/>
      <c r="B576" s="179"/>
    </row>
    <row r="577" spans="1:2" x14ac:dyDescent="0.15">
      <c r="A577" s="178"/>
      <c r="B577" s="179"/>
    </row>
    <row r="578" spans="1:2" x14ac:dyDescent="0.15">
      <c r="A578" s="178"/>
      <c r="B578" s="179"/>
    </row>
    <row r="579" spans="1:2" x14ac:dyDescent="0.15">
      <c r="A579" s="178"/>
      <c r="B579" s="179"/>
    </row>
    <row r="580" spans="1:2" x14ac:dyDescent="0.15">
      <c r="A580" s="178"/>
      <c r="B580" s="179"/>
    </row>
    <row r="581" spans="1:2" x14ac:dyDescent="0.15">
      <c r="A581" s="178"/>
      <c r="B581" s="179"/>
    </row>
    <row r="582" spans="1:2" x14ac:dyDescent="0.15">
      <c r="A582" s="178"/>
      <c r="B582" s="179"/>
    </row>
    <row r="583" spans="1:2" x14ac:dyDescent="0.15">
      <c r="A583" s="178"/>
      <c r="B583" s="179"/>
    </row>
    <row r="584" spans="1:2" x14ac:dyDescent="0.15">
      <c r="A584" s="178"/>
      <c r="B584" s="179"/>
    </row>
    <row r="585" spans="1:2" x14ac:dyDescent="0.15">
      <c r="A585" s="178"/>
      <c r="B585" s="179"/>
    </row>
    <row r="586" spans="1:2" x14ac:dyDescent="0.15">
      <c r="A586" s="178"/>
      <c r="B586" s="179"/>
    </row>
    <row r="587" spans="1:2" x14ac:dyDescent="0.15">
      <c r="A587" s="178"/>
      <c r="B587" s="179"/>
    </row>
    <row r="588" spans="1:2" x14ac:dyDescent="0.15">
      <c r="A588" s="178"/>
      <c r="B588" s="179"/>
    </row>
    <row r="589" spans="1:2" x14ac:dyDescent="0.15">
      <c r="A589" s="178"/>
      <c r="B589" s="179"/>
    </row>
    <row r="590" spans="1:2" x14ac:dyDescent="0.15">
      <c r="A590" s="178"/>
      <c r="B590" s="179"/>
    </row>
    <row r="591" spans="1:2" x14ac:dyDescent="0.15">
      <c r="A591" s="178"/>
      <c r="B591" s="179"/>
    </row>
    <row r="592" spans="1:2" x14ac:dyDescent="0.15">
      <c r="A592" s="178"/>
      <c r="B592" s="179"/>
    </row>
    <row r="593" spans="1:4" x14ac:dyDescent="0.15">
      <c r="A593" s="178"/>
      <c r="B593" s="179"/>
    </row>
    <row r="594" spans="1:4" x14ac:dyDescent="0.15">
      <c r="A594" s="178"/>
      <c r="B594" s="179"/>
    </row>
    <row r="595" spans="1:4" x14ac:dyDescent="0.15">
      <c r="A595" s="178"/>
      <c r="B595" s="179"/>
    </row>
    <row r="596" spans="1:4" x14ac:dyDescent="0.15">
      <c r="A596" s="178"/>
      <c r="B596" s="179"/>
    </row>
    <row r="597" spans="1:4" x14ac:dyDescent="0.15">
      <c r="A597" s="178"/>
      <c r="B597" s="179"/>
    </row>
    <row r="598" spans="1:4" x14ac:dyDescent="0.15">
      <c r="A598" s="178"/>
      <c r="B598" s="179"/>
    </row>
    <row r="599" spans="1:4" x14ac:dyDescent="0.15">
      <c r="A599" s="178"/>
      <c r="B599" s="179"/>
    </row>
    <row r="600" spans="1:4" x14ac:dyDescent="0.15">
      <c r="A600" s="178"/>
      <c r="B600" s="179"/>
    </row>
    <row r="601" spans="1:4" x14ac:dyDescent="0.15">
      <c r="A601" s="178"/>
      <c r="B601" s="179"/>
    </row>
    <row r="602" spans="1:4" x14ac:dyDescent="0.15">
      <c r="A602" s="178"/>
      <c r="B602" s="179"/>
    </row>
    <row r="603" spans="1:4" x14ac:dyDescent="0.15">
      <c r="A603" s="178"/>
      <c r="B603" s="179"/>
    </row>
    <row r="604" spans="1:4" x14ac:dyDescent="0.15">
      <c r="A604" s="178"/>
      <c r="B604" s="179"/>
      <c r="C604" s="179"/>
      <c r="D604" s="179"/>
    </row>
    <row r="605" spans="1:4" x14ac:dyDescent="0.15">
      <c r="A605" s="178"/>
      <c r="B605" s="179"/>
    </row>
    <row r="606" spans="1:4" x14ac:dyDescent="0.15">
      <c r="A606" s="178"/>
      <c r="B606" s="179"/>
    </row>
    <row r="607" spans="1:4" x14ac:dyDescent="0.15">
      <c r="A607" s="178"/>
      <c r="B607" s="179"/>
    </row>
    <row r="608" spans="1:4" x14ac:dyDescent="0.15">
      <c r="A608" s="178"/>
      <c r="B608" s="179"/>
    </row>
    <row r="609" spans="1:2" x14ac:dyDescent="0.15">
      <c r="A609" s="178"/>
      <c r="B609" s="179"/>
    </row>
    <row r="610" spans="1:2" x14ac:dyDescent="0.15">
      <c r="A610" s="178"/>
      <c r="B610" s="179"/>
    </row>
    <row r="611" spans="1:2" x14ac:dyDescent="0.15">
      <c r="A611" s="178"/>
      <c r="B611" s="179"/>
    </row>
    <row r="612" spans="1:2" x14ac:dyDescent="0.15">
      <c r="A612" s="178"/>
      <c r="B612" s="179"/>
    </row>
    <row r="613" spans="1:2" x14ac:dyDescent="0.15">
      <c r="A613" s="178"/>
      <c r="B613" s="179"/>
    </row>
    <row r="614" spans="1:2" x14ac:dyDescent="0.15">
      <c r="A614" s="178"/>
      <c r="B614" s="179"/>
    </row>
    <row r="615" spans="1:2" x14ac:dyDescent="0.15">
      <c r="A615" s="178"/>
      <c r="B615" s="179"/>
    </row>
    <row r="616" spans="1:2" x14ac:dyDescent="0.15">
      <c r="A616" s="178"/>
      <c r="B616" s="179"/>
    </row>
    <row r="617" spans="1:2" x14ac:dyDescent="0.15">
      <c r="A617" s="178"/>
      <c r="B617" s="179"/>
    </row>
    <row r="618" spans="1:2" x14ac:dyDescent="0.15">
      <c r="A618" s="178"/>
      <c r="B618" s="179"/>
    </row>
    <row r="619" spans="1:2" x14ac:dyDescent="0.15">
      <c r="A619" s="178"/>
      <c r="B619" s="179"/>
    </row>
    <row r="620" spans="1:2" x14ac:dyDescent="0.15">
      <c r="A620" s="178"/>
      <c r="B620" s="179"/>
    </row>
    <row r="621" spans="1:2" x14ac:dyDescent="0.15">
      <c r="A621" s="178"/>
      <c r="B621" s="179"/>
    </row>
    <row r="622" spans="1:2" x14ac:dyDescent="0.15">
      <c r="A622" s="178"/>
      <c r="B622" s="179"/>
    </row>
    <row r="623" spans="1:2" x14ac:dyDescent="0.15">
      <c r="A623" s="178"/>
      <c r="B623" s="179"/>
    </row>
    <row r="624" spans="1:2" x14ac:dyDescent="0.15">
      <c r="A624" s="178"/>
      <c r="B624" s="179"/>
    </row>
    <row r="625" spans="1:2" x14ac:dyDescent="0.15">
      <c r="A625" s="178"/>
      <c r="B625" s="179"/>
    </row>
    <row r="626" spans="1:2" x14ac:dyDescent="0.15">
      <c r="A626" s="178"/>
      <c r="B626" s="179"/>
    </row>
    <row r="627" spans="1:2" x14ac:dyDescent="0.15">
      <c r="A627" s="178"/>
      <c r="B627" s="179"/>
    </row>
    <row r="628" spans="1:2" x14ac:dyDescent="0.15">
      <c r="A628" s="178"/>
      <c r="B628" s="179"/>
    </row>
    <row r="629" spans="1:2" x14ac:dyDescent="0.15">
      <c r="A629" s="178"/>
      <c r="B629" s="179"/>
    </row>
    <row r="630" spans="1:2" x14ac:dyDescent="0.15">
      <c r="A630" s="178"/>
      <c r="B630" s="179"/>
    </row>
    <row r="631" spans="1:2" x14ac:dyDescent="0.15">
      <c r="A631" s="178"/>
      <c r="B631" s="179"/>
    </row>
    <row r="632" spans="1:2" x14ac:dyDescent="0.15">
      <c r="A632" s="178"/>
      <c r="B632" s="179"/>
    </row>
    <row r="633" spans="1:2" x14ac:dyDescent="0.15">
      <c r="A633" s="178"/>
      <c r="B633" s="179"/>
    </row>
    <row r="634" spans="1:2" x14ac:dyDescent="0.15">
      <c r="A634" s="178"/>
      <c r="B634" s="179"/>
    </row>
    <row r="635" spans="1:2" x14ac:dyDescent="0.15">
      <c r="A635" s="178"/>
      <c r="B635" s="179"/>
    </row>
    <row r="636" spans="1:2" x14ac:dyDescent="0.15">
      <c r="A636" s="178"/>
      <c r="B636" s="179"/>
    </row>
    <row r="637" spans="1:2" x14ac:dyDescent="0.15">
      <c r="A637" s="178"/>
      <c r="B637" s="179"/>
    </row>
    <row r="638" spans="1:2" x14ac:dyDescent="0.15">
      <c r="A638" s="178"/>
      <c r="B638" s="179"/>
    </row>
    <row r="639" spans="1:2" x14ac:dyDescent="0.15">
      <c r="A639" s="178"/>
      <c r="B639" s="179"/>
    </row>
    <row r="640" spans="1:2" x14ac:dyDescent="0.15">
      <c r="A640" s="178"/>
      <c r="B640" s="179"/>
    </row>
    <row r="641" spans="1:2" x14ac:dyDescent="0.15">
      <c r="A641" s="178"/>
      <c r="B641" s="179"/>
    </row>
    <row r="642" spans="1:2" x14ac:dyDescent="0.15">
      <c r="A642" s="178"/>
      <c r="B642" s="179"/>
    </row>
    <row r="643" spans="1:2" x14ac:dyDescent="0.15">
      <c r="A643" s="178"/>
      <c r="B643" s="179"/>
    </row>
    <row r="644" spans="1:2" x14ac:dyDescent="0.15">
      <c r="A644" s="178"/>
      <c r="B644" s="179"/>
    </row>
    <row r="645" spans="1:2" x14ac:dyDescent="0.15">
      <c r="A645" s="178"/>
      <c r="B645" s="179"/>
    </row>
    <row r="646" spans="1:2" x14ac:dyDescent="0.15">
      <c r="A646" s="178"/>
      <c r="B646" s="179"/>
    </row>
    <row r="647" spans="1:2" x14ac:dyDescent="0.15">
      <c r="A647" s="178"/>
      <c r="B647" s="179"/>
    </row>
    <row r="648" spans="1:2" x14ac:dyDescent="0.15">
      <c r="A648" s="178"/>
      <c r="B648" s="179"/>
    </row>
    <row r="649" spans="1:2" x14ac:dyDescent="0.15">
      <c r="A649" s="178"/>
      <c r="B649" s="179"/>
    </row>
    <row r="650" spans="1:2" x14ac:dyDescent="0.15">
      <c r="A650" s="178"/>
      <c r="B650" s="179"/>
    </row>
    <row r="651" spans="1:2" x14ac:dyDescent="0.15">
      <c r="A651" s="178"/>
      <c r="B651" s="179"/>
    </row>
    <row r="652" spans="1:2" x14ac:dyDescent="0.15">
      <c r="A652" s="178"/>
      <c r="B652" s="179"/>
    </row>
    <row r="653" spans="1:2" x14ac:dyDescent="0.15">
      <c r="A653" s="178"/>
      <c r="B653" s="179"/>
    </row>
    <row r="654" spans="1:2" x14ac:dyDescent="0.15">
      <c r="A654" s="178"/>
      <c r="B654" s="179"/>
    </row>
    <row r="655" spans="1:2" x14ac:dyDescent="0.15">
      <c r="A655" s="178"/>
      <c r="B655" s="179"/>
    </row>
    <row r="656" spans="1:2" x14ac:dyDescent="0.15">
      <c r="A656" s="178"/>
      <c r="B656" s="179"/>
    </row>
    <row r="657" spans="1:2" x14ac:dyDescent="0.15">
      <c r="A657" s="178"/>
      <c r="B657" s="179"/>
    </row>
    <row r="658" spans="1:2" x14ac:dyDescent="0.15">
      <c r="A658" s="178"/>
      <c r="B658" s="179"/>
    </row>
    <row r="659" spans="1:2" x14ac:dyDescent="0.15">
      <c r="A659" s="178"/>
      <c r="B659" s="179"/>
    </row>
    <row r="660" spans="1:2" x14ac:dyDescent="0.15">
      <c r="A660" s="178"/>
      <c r="B660" s="179"/>
    </row>
    <row r="661" spans="1:2" x14ac:dyDescent="0.15">
      <c r="A661" s="178"/>
      <c r="B661" s="179"/>
    </row>
    <row r="662" spans="1:2" x14ac:dyDescent="0.15">
      <c r="A662" s="178"/>
      <c r="B662" s="179"/>
    </row>
    <row r="663" spans="1:2" x14ac:dyDescent="0.15">
      <c r="A663" s="178"/>
      <c r="B663" s="179"/>
    </row>
    <row r="664" spans="1:2" x14ac:dyDescent="0.15">
      <c r="A664" s="178"/>
      <c r="B664" s="179"/>
    </row>
    <row r="665" spans="1:2" x14ac:dyDescent="0.15">
      <c r="A665" s="178"/>
      <c r="B665" s="179"/>
    </row>
    <row r="666" spans="1:2" x14ac:dyDescent="0.15">
      <c r="A666" s="178"/>
      <c r="B666" s="179"/>
    </row>
    <row r="667" spans="1:2" x14ac:dyDescent="0.15">
      <c r="A667" s="178"/>
      <c r="B667" s="179"/>
    </row>
    <row r="668" spans="1:2" x14ac:dyDescent="0.15">
      <c r="A668" s="178"/>
      <c r="B668" s="179"/>
    </row>
    <row r="669" spans="1:2" x14ac:dyDescent="0.15">
      <c r="A669" s="178"/>
      <c r="B669" s="179"/>
    </row>
    <row r="670" spans="1:2" x14ac:dyDescent="0.15">
      <c r="A670" s="178"/>
      <c r="B670" s="179"/>
    </row>
    <row r="671" spans="1:2" x14ac:dyDescent="0.15">
      <c r="A671" s="178"/>
      <c r="B671" s="179"/>
    </row>
    <row r="672" spans="1:2" x14ac:dyDescent="0.15">
      <c r="A672" s="178"/>
      <c r="B672" s="179"/>
    </row>
    <row r="673" spans="1:2" x14ac:dyDescent="0.15">
      <c r="A673" s="178"/>
      <c r="B673" s="179"/>
    </row>
    <row r="674" spans="1:2" x14ac:dyDescent="0.15">
      <c r="A674" s="178"/>
      <c r="B674" s="179"/>
    </row>
    <row r="675" spans="1:2" x14ac:dyDescent="0.15">
      <c r="A675" s="178"/>
      <c r="B675" s="179"/>
    </row>
    <row r="676" spans="1:2" x14ac:dyDescent="0.15">
      <c r="A676" s="178"/>
      <c r="B676" s="179"/>
    </row>
    <row r="677" spans="1:2" x14ac:dyDescent="0.15">
      <c r="A677" s="178"/>
      <c r="B677" s="179"/>
    </row>
    <row r="678" spans="1:2" x14ac:dyDescent="0.15">
      <c r="A678" s="178"/>
      <c r="B678" s="179"/>
    </row>
    <row r="679" spans="1:2" x14ac:dyDescent="0.15">
      <c r="A679" s="178"/>
      <c r="B679" s="179"/>
    </row>
    <row r="680" spans="1:2" x14ac:dyDescent="0.15">
      <c r="A680" s="178"/>
      <c r="B680" s="179"/>
    </row>
    <row r="681" spans="1:2" x14ac:dyDescent="0.15">
      <c r="A681" s="178"/>
      <c r="B681" s="179"/>
    </row>
    <row r="682" spans="1:2" x14ac:dyDescent="0.15">
      <c r="A682" s="178"/>
      <c r="B682" s="179"/>
    </row>
    <row r="683" spans="1:2" x14ac:dyDescent="0.15">
      <c r="A683" s="178"/>
      <c r="B683" s="179"/>
    </row>
    <row r="684" spans="1:2" x14ac:dyDescent="0.15">
      <c r="A684" s="178"/>
      <c r="B684" s="179"/>
    </row>
    <row r="685" spans="1:2" x14ac:dyDescent="0.15">
      <c r="A685" s="178"/>
      <c r="B685" s="179"/>
    </row>
    <row r="686" spans="1:2" x14ac:dyDescent="0.15">
      <c r="A686" s="178"/>
      <c r="B686" s="179"/>
    </row>
    <row r="687" spans="1:2" x14ac:dyDescent="0.15">
      <c r="A687" s="178"/>
      <c r="B687" s="179"/>
    </row>
    <row r="688" spans="1:2" x14ac:dyDescent="0.15">
      <c r="A688" s="178"/>
      <c r="B688" s="179"/>
    </row>
    <row r="689" spans="1:4" x14ac:dyDescent="0.15">
      <c r="A689" s="178"/>
      <c r="B689" s="179"/>
    </row>
    <row r="690" spans="1:4" x14ac:dyDescent="0.15">
      <c r="A690" s="178"/>
      <c r="B690" s="179"/>
    </row>
    <row r="691" spans="1:4" x14ac:dyDescent="0.15">
      <c r="A691" s="178"/>
      <c r="B691" s="179"/>
    </row>
    <row r="692" spans="1:4" x14ac:dyDescent="0.15">
      <c r="A692" s="178"/>
      <c r="B692" s="179"/>
    </row>
    <row r="693" spans="1:4" x14ac:dyDescent="0.15">
      <c r="A693" s="178"/>
      <c r="B693" s="179"/>
    </row>
    <row r="694" spans="1:4" x14ac:dyDescent="0.15">
      <c r="A694" s="178"/>
      <c r="B694" s="179"/>
    </row>
    <row r="695" spans="1:4" x14ac:dyDescent="0.15">
      <c r="A695" s="178"/>
      <c r="B695" s="179"/>
    </row>
    <row r="696" spans="1:4" x14ac:dyDescent="0.15">
      <c r="A696" s="178"/>
      <c r="B696" s="179"/>
    </row>
    <row r="697" spans="1:4" x14ac:dyDescent="0.15">
      <c r="A697" s="178"/>
      <c r="B697" s="179"/>
    </row>
    <row r="698" spans="1:4" x14ac:dyDescent="0.15">
      <c r="A698" s="178"/>
      <c r="B698" s="179"/>
    </row>
    <row r="699" spans="1:4" x14ac:dyDescent="0.15">
      <c r="A699" s="178"/>
      <c r="B699" s="179"/>
    </row>
    <row r="700" spans="1:4" x14ac:dyDescent="0.15">
      <c r="A700" s="178"/>
      <c r="B700" s="179"/>
    </row>
    <row r="701" spans="1:4" x14ac:dyDescent="0.15">
      <c r="A701" s="178"/>
      <c r="B701" s="179"/>
    </row>
    <row r="702" spans="1:4" x14ac:dyDescent="0.15">
      <c r="A702" s="178"/>
      <c r="B702" s="179"/>
    </row>
    <row r="703" spans="1:4" x14ac:dyDescent="0.15">
      <c r="A703" s="178"/>
      <c r="B703" s="179"/>
    </row>
    <row r="704" spans="1:4" x14ac:dyDescent="0.15">
      <c r="A704" s="178"/>
      <c r="B704" s="179"/>
      <c r="C704" s="179"/>
      <c r="D704" s="179"/>
    </row>
    <row r="705" spans="1:2" x14ac:dyDescent="0.15">
      <c r="A705" s="178"/>
      <c r="B705" s="179"/>
    </row>
    <row r="706" spans="1:2" x14ac:dyDescent="0.15">
      <c r="A706" s="178"/>
      <c r="B706" s="179"/>
    </row>
    <row r="707" spans="1:2" x14ac:dyDescent="0.15">
      <c r="A707" s="178"/>
      <c r="B707" s="179"/>
    </row>
    <row r="708" spans="1:2" x14ac:dyDescent="0.15">
      <c r="A708" s="178"/>
      <c r="B708" s="179"/>
    </row>
    <row r="709" spans="1:2" x14ac:dyDescent="0.15">
      <c r="A709" s="178"/>
      <c r="B709" s="179"/>
    </row>
    <row r="710" spans="1:2" x14ac:dyDescent="0.15">
      <c r="A710" s="178"/>
      <c r="B710" s="179"/>
    </row>
    <row r="711" spans="1:2" x14ac:dyDescent="0.15">
      <c r="A711" s="178"/>
      <c r="B711" s="179"/>
    </row>
    <row r="712" spans="1:2" x14ac:dyDescent="0.15">
      <c r="A712" s="178"/>
      <c r="B712" s="179"/>
    </row>
    <row r="713" spans="1:2" x14ac:dyDescent="0.15">
      <c r="A713" s="178"/>
      <c r="B713" s="179"/>
    </row>
    <row r="714" spans="1:2" x14ac:dyDescent="0.15">
      <c r="A714" s="178"/>
      <c r="B714" s="179"/>
    </row>
    <row r="715" spans="1:2" x14ac:dyDescent="0.15">
      <c r="A715" s="178"/>
      <c r="B715" s="179"/>
    </row>
    <row r="716" spans="1:2" x14ac:dyDescent="0.15">
      <c r="A716" s="178"/>
      <c r="B716" s="179"/>
    </row>
    <row r="717" spans="1:2" x14ac:dyDescent="0.15">
      <c r="A717" s="178"/>
      <c r="B717" s="179"/>
    </row>
    <row r="718" spans="1:2" x14ac:dyDescent="0.15">
      <c r="A718" s="178"/>
      <c r="B718" s="179"/>
    </row>
    <row r="719" spans="1:2" x14ac:dyDescent="0.15">
      <c r="A719" s="178"/>
      <c r="B719" s="179"/>
    </row>
    <row r="720" spans="1:2" x14ac:dyDescent="0.15">
      <c r="A720" s="178"/>
      <c r="B720" s="179"/>
    </row>
    <row r="721" spans="1:2" x14ac:dyDescent="0.15">
      <c r="A721" s="178"/>
      <c r="B721" s="179"/>
    </row>
    <row r="722" spans="1:2" x14ac:dyDescent="0.15">
      <c r="A722" s="178"/>
      <c r="B722" s="179"/>
    </row>
    <row r="723" spans="1:2" x14ac:dyDescent="0.15">
      <c r="A723" s="178"/>
      <c r="B723" s="179"/>
    </row>
    <row r="724" spans="1:2" x14ac:dyDescent="0.15">
      <c r="A724" s="178"/>
      <c r="B724" s="179"/>
    </row>
    <row r="725" spans="1:2" x14ac:dyDescent="0.15">
      <c r="A725" s="178"/>
      <c r="B725" s="179"/>
    </row>
    <row r="726" spans="1:2" x14ac:dyDescent="0.15">
      <c r="A726" s="178"/>
      <c r="B726" s="179"/>
    </row>
    <row r="727" spans="1:2" x14ac:dyDescent="0.15">
      <c r="A727" s="178"/>
      <c r="B727" s="179"/>
    </row>
    <row r="728" spans="1:2" x14ac:dyDescent="0.15">
      <c r="A728" s="178"/>
      <c r="B728" s="179"/>
    </row>
    <row r="729" spans="1:2" x14ac:dyDescent="0.15">
      <c r="A729" s="178"/>
      <c r="B729" s="179"/>
    </row>
    <row r="730" spans="1:2" x14ac:dyDescent="0.15">
      <c r="A730" s="178"/>
      <c r="B730" s="179"/>
    </row>
    <row r="731" spans="1:2" x14ac:dyDescent="0.15">
      <c r="A731" s="178"/>
      <c r="B731" s="179"/>
    </row>
    <row r="732" spans="1:2" x14ac:dyDescent="0.15">
      <c r="A732" s="178"/>
      <c r="B732" s="179"/>
    </row>
    <row r="733" spans="1:2" x14ac:dyDescent="0.15">
      <c r="A733" s="178"/>
      <c r="B733" s="179"/>
    </row>
    <row r="734" spans="1:2" x14ac:dyDescent="0.15">
      <c r="A734" s="178"/>
      <c r="B734" s="179"/>
    </row>
    <row r="735" spans="1:2" x14ac:dyDescent="0.15">
      <c r="A735" s="178"/>
      <c r="B735" s="179"/>
    </row>
    <row r="736" spans="1:2" x14ac:dyDescent="0.15">
      <c r="A736" s="178"/>
      <c r="B736" s="179"/>
    </row>
    <row r="737" spans="1:2" x14ac:dyDescent="0.15">
      <c r="A737" s="178"/>
      <c r="B737" s="179"/>
    </row>
    <row r="738" spans="1:2" x14ac:dyDescent="0.15">
      <c r="A738" s="178"/>
      <c r="B738" s="179"/>
    </row>
    <row r="739" spans="1:2" x14ac:dyDescent="0.15">
      <c r="A739" s="178"/>
      <c r="B739" s="179"/>
    </row>
    <row r="740" spans="1:2" x14ac:dyDescent="0.15">
      <c r="A740" s="178"/>
      <c r="B740" s="179"/>
    </row>
    <row r="741" spans="1:2" x14ac:dyDescent="0.15">
      <c r="A741" s="178"/>
      <c r="B741" s="179"/>
    </row>
    <row r="742" spans="1:2" x14ac:dyDescent="0.15">
      <c r="A742" s="178"/>
      <c r="B742" s="179"/>
    </row>
    <row r="743" spans="1:2" x14ac:dyDescent="0.15">
      <c r="A743" s="178"/>
      <c r="B743" s="179"/>
    </row>
    <row r="744" spans="1:2" x14ac:dyDescent="0.15">
      <c r="A744" s="178"/>
      <c r="B744" s="179"/>
    </row>
    <row r="745" spans="1:2" x14ac:dyDescent="0.15">
      <c r="A745" s="178"/>
      <c r="B745" s="179"/>
    </row>
    <row r="746" spans="1:2" x14ac:dyDescent="0.15">
      <c r="A746" s="178"/>
      <c r="B746" s="179"/>
    </row>
    <row r="747" spans="1:2" x14ac:dyDescent="0.15">
      <c r="A747" s="178"/>
      <c r="B747" s="179"/>
    </row>
    <row r="748" spans="1:2" x14ac:dyDescent="0.15">
      <c r="A748" s="178"/>
      <c r="B748" s="179"/>
    </row>
    <row r="749" spans="1:2" x14ac:dyDescent="0.15">
      <c r="A749" s="178"/>
      <c r="B749" s="179"/>
    </row>
    <row r="750" spans="1:2" x14ac:dyDescent="0.15">
      <c r="A750" s="178"/>
      <c r="B750" s="179"/>
    </row>
    <row r="751" spans="1:2" x14ac:dyDescent="0.15">
      <c r="A751" s="178"/>
      <c r="B751" s="179"/>
    </row>
    <row r="752" spans="1:2" x14ac:dyDescent="0.15">
      <c r="A752" s="178"/>
      <c r="B752" s="179"/>
    </row>
    <row r="753" spans="1:2" x14ac:dyDescent="0.15">
      <c r="A753" s="178"/>
      <c r="B753" s="179"/>
    </row>
    <row r="754" spans="1:2" x14ac:dyDescent="0.15">
      <c r="A754" s="178"/>
      <c r="B754" s="179"/>
    </row>
    <row r="755" spans="1:2" x14ac:dyDescent="0.15">
      <c r="A755" s="178"/>
      <c r="B755" s="179"/>
    </row>
    <row r="756" spans="1:2" x14ac:dyDescent="0.15">
      <c r="A756" s="178"/>
      <c r="B756" s="179"/>
    </row>
    <row r="757" spans="1:2" x14ac:dyDescent="0.15">
      <c r="A757" s="178"/>
      <c r="B757" s="179"/>
    </row>
    <row r="758" spans="1:2" x14ac:dyDescent="0.15">
      <c r="A758" s="178"/>
      <c r="B758" s="179"/>
    </row>
    <row r="759" spans="1:2" x14ac:dyDescent="0.15">
      <c r="A759" s="178"/>
      <c r="B759" s="179"/>
    </row>
    <row r="760" spans="1:2" x14ac:dyDescent="0.15">
      <c r="A760" s="178"/>
      <c r="B760" s="179"/>
    </row>
    <row r="761" spans="1:2" x14ac:dyDescent="0.15">
      <c r="A761" s="178"/>
      <c r="B761" s="179"/>
    </row>
    <row r="762" spans="1:2" x14ac:dyDescent="0.15">
      <c r="A762" s="178"/>
      <c r="B762" s="179"/>
    </row>
    <row r="763" spans="1:2" x14ac:dyDescent="0.15">
      <c r="A763" s="178"/>
      <c r="B763" s="179"/>
    </row>
    <row r="764" spans="1:2" x14ac:dyDescent="0.15">
      <c r="A764" s="178"/>
      <c r="B764" s="179"/>
    </row>
    <row r="765" spans="1:2" x14ac:dyDescent="0.15">
      <c r="A765" s="178"/>
      <c r="B765" s="179"/>
    </row>
    <row r="766" spans="1:2" x14ac:dyDescent="0.15">
      <c r="A766" s="178"/>
      <c r="B766" s="179"/>
    </row>
    <row r="767" spans="1:2" x14ac:dyDescent="0.15">
      <c r="A767" s="178"/>
      <c r="B767" s="179"/>
    </row>
    <row r="768" spans="1:2" x14ac:dyDescent="0.15">
      <c r="A768" s="178"/>
      <c r="B768" s="179"/>
    </row>
    <row r="769" spans="1:2" x14ac:dyDescent="0.15">
      <c r="A769" s="178"/>
      <c r="B769" s="179"/>
    </row>
    <row r="770" spans="1:2" x14ac:dyDescent="0.15">
      <c r="A770" s="178"/>
      <c r="B770" s="179"/>
    </row>
    <row r="771" spans="1:2" x14ac:dyDescent="0.15">
      <c r="A771" s="178"/>
      <c r="B771" s="179"/>
    </row>
    <row r="772" spans="1:2" x14ac:dyDescent="0.15">
      <c r="A772" s="178"/>
      <c r="B772" s="179"/>
    </row>
    <row r="773" spans="1:2" x14ac:dyDescent="0.15">
      <c r="A773" s="178"/>
      <c r="B773" s="179"/>
    </row>
    <row r="774" spans="1:2" x14ac:dyDescent="0.15">
      <c r="A774" s="178"/>
      <c r="B774" s="179"/>
    </row>
    <row r="775" spans="1:2" x14ac:dyDescent="0.15">
      <c r="A775" s="178"/>
      <c r="B775" s="179"/>
    </row>
    <row r="776" spans="1:2" x14ac:dyDescent="0.15">
      <c r="A776" s="178"/>
      <c r="B776" s="179"/>
    </row>
    <row r="777" spans="1:2" x14ac:dyDescent="0.15">
      <c r="A777" s="178"/>
      <c r="B777" s="179"/>
    </row>
    <row r="778" spans="1:2" x14ac:dyDescent="0.15">
      <c r="A778" s="178"/>
      <c r="B778" s="179"/>
    </row>
    <row r="779" spans="1:2" x14ac:dyDescent="0.15">
      <c r="A779" s="178"/>
      <c r="B779" s="179"/>
    </row>
    <row r="780" spans="1:2" x14ac:dyDescent="0.15">
      <c r="A780" s="178"/>
      <c r="B780" s="179"/>
    </row>
    <row r="781" spans="1:2" x14ac:dyDescent="0.15">
      <c r="A781" s="178"/>
      <c r="B781" s="179"/>
    </row>
    <row r="782" spans="1:2" x14ac:dyDescent="0.15">
      <c r="A782" s="178"/>
      <c r="B782" s="179"/>
    </row>
    <row r="783" spans="1:2" x14ac:dyDescent="0.15">
      <c r="A783" s="178"/>
      <c r="B783" s="179"/>
    </row>
    <row r="784" spans="1:2" x14ac:dyDescent="0.15">
      <c r="A784" s="178"/>
      <c r="B784" s="179"/>
    </row>
    <row r="785" spans="1:2" x14ac:dyDescent="0.15">
      <c r="A785" s="178"/>
      <c r="B785" s="179"/>
    </row>
    <row r="786" spans="1:2" x14ac:dyDescent="0.15">
      <c r="A786" s="178"/>
      <c r="B786" s="179"/>
    </row>
    <row r="787" spans="1:2" x14ac:dyDescent="0.15">
      <c r="A787" s="178"/>
      <c r="B787" s="179"/>
    </row>
    <row r="788" spans="1:2" x14ac:dyDescent="0.15">
      <c r="A788" s="178"/>
      <c r="B788" s="179"/>
    </row>
    <row r="789" spans="1:2" x14ac:dyDescent="0.15">
      <c r="A789" s="178"/>
      <c r="B789" s="179"/>
    </row>
    <row r="790" spans="1:2" x14ac:dyDescent="0.15">
      <c r="A790" s="178"/>
      <c r="B790" s="179"/>
    </row>
    <row r="791" spans="1:2" x14ac:dyDescent="0.15">
      <c r="A791" s="178"/>
      <c r="B791" s="179"/>
    </row>
    <row r="792" spans="1:2" x14ac:dyDescent="0.15">
      <c r="A792" s="178"/>
      <c r="B792" s="179"/>
    </row>
    <row r="793" spans="1:2" x14ac:dyDescent="0.15">
      <c r="A793" s="178"/>
      <c r="B793" s="179"/>
    </row>
    <row r="794" spans="1:2" x14ac:dyDescent="0.15">
      <c r="A794" s="178"/>
      <c r="B794" s="179"/>
    </row>
    <row r="795" spans="1:2" x14ac:dyDescent="0.15">
      <c r="A795" s="178"/>
      <c r="B795" s="179"/>
    </row>
    <row r="796" spans="1:2" x14ac:dyDescent="0.15">
      <c r="A796" s="178"/>
      <c r="B796" s="179"/>
    </row>
    <row r="797" spans="1:2" x14ac:dyDescent="0.15">
      <c r="A797" s="178"/>
      <c r="B797" s="179"/>
    </row>
    <row r="798" spans="1:2" x14ac:dyDescent="0.15">
      <c r="A798" s="178"/>
      <c r="B798" s="179"/>
    </row>
    <row r="799" spans="1:2" x14ac:dyDescent="0.15">
      <c r="A799" s="178"/>
      <c r="B799" s="179"/>
    </row>
    <row r="800" spans="1:2" x14ac:dyDescent="0.15">
      <c r="A800" s="178"/>
      <c r="B800" s="179"/>
    </row>
    <row r="801" spans="1:4" x14ac:dyDescent="0.15">
      <c r="A801" s="178"/>
      <c r="B801" s="179"/>
    </row>
    <row r="802" spans="1:4" x14ac:dyDescent="0.15">
      <c r="A802" s="178"/>
      <c r="B802" s="179"/>
    </row>
    <row r="803" spans="1:4" x14ac:dyDescent="0.15">
      <c r="A803" s="178"/>
      <c r="B803" s="179"/>
    </row>
    <row r="804" spans="1:4" x14ac:dyDescent="0.15">
      <c r="A804" s="178"/>
      <c r="B804" s="179"/>
      <c r="C804" s="179"/>
      <c r="D804" s="179"/>
    </row>
    <row r="805" spans="1:4" x14ac:dyDescent="0.15">
      <c r="A805" s="178"/>
      <c r="B805" s="179"/>
    </row>
    <row r="806" spans="1:4" x14ac:dyDescent="0.15">
      <c r="A806" s="178"/>
      <c r="B806" s="179"/>
    </row>
    <row r="807" spans="1:4" x14ac:dyDescent="0.15">
      <c r="A807" s="178"/>
      <c r="B807" s="179"/>
    </row>
    <row r="808" spans="1:4" x14ac:dyDescent="0.15">
      <c r="A808" s="178"/>
      <c r="B808" s="179"/>
    </row>
    <row r="809" spans="1:4" x14ac:dyDescent="0.15">
      <c r="A809" s="178"/>
      <c r="B809" s="179"/>
    </row>
    <row r="810" spans="1:4" x14ac:dyDescent="0.15">
      <c r="A810" s="178"/>
      <c r="B810" s="179"/>
    </row>
    <row r="811" spans="1:4" x14ac:dyDescent="0.15">
      <c r="A811" s="178"/>
      <c r="B811" s="179"/>
    </row>
    <row r="812" spans="1:4" x14ac:dyDescent="0.15">
      <c r="A812" s="178"/>
      <c r="B812" s="179"/>
    </row>
    <row r="813" spans="1:4" x14ac:dyDescent="0.15">
      <c r="A813" s="178"/>
      <c r="B813" s="179"/>
    </row>
    <row r="814" spans="1:4" x14ac:dyDescent="0.15">
      <c r="A814" s="178"/>
      <c r="B814" s="179"/>
    </row>
    <row r="815" spans="1:4" x14ac:dyDescent="0.15">
      <c r="A815" s="178"/>
      <c r="B815" s="179"/>
    </row>
    <row r="816" spans="1:4" x14ac:dyDescent="0.15">
      <c r="A816" s="178"/>
      <c r="B816" s="179"/>
    </row>
    <row r="817" spans="1:2" x14ac:dyDescent="0.15">
      <c r="A817" s="178"/>
      <c r="B817" s="179"/>
    </row>
    <row r="818" spans="1:2" x14ac:dyDescent="0.15">
      <c r="A818" s="178"/>
      <c r="B818" s="179"/>
    </row>
    <row r="819" spans="1:2" x14ac:dyDescent="0.15">
      <c r="A819" s="178"/>
      <c r="B819" s="179"/>
    </row>
    <row r="820" spans="1:2" x14ac:dyDescent="0.15">
      <c r="A820" s="178"/>
      <c r="B820" s="179"/>
    </row>
    <row r="821" spans="1:2" x14ac:dyDescent="0.15">
      <c r="A821" s="178"/>
      <c r="B821" s="179"/>
    </row>
    <row r="822" spans="1:2" x14ac:dyDescent="0.15">
      <c r="A822" s="178"/>
      <c r="B822" s="179"/>
    </row>
    <row r="823" spans="1:2" x14ac:dyDescent="0.15">
      <c r="A823" s="178"/>
      <c r="B823" s="179"/>
    </row>
    <row r="824" spans="1:2" x14ac:dyDescent="0.15">
      <c r="A824" s="178"/>
      <c r="B824" s="179"/>
    </row>
    <row r="825" spans="1:2" x14ac:dyDescent="0.15">
      <c r="A825" s="178"/>
      <c r="B825" s="179"/>
    </row>
    <row r="826" spans="1:2" x14ac:dyDescent="0.15">
      <c r="A826" s="178"/>
      <c r="B826" s="179"/>
    </row>
    <row r="827" spans="1:2" x14ac:dyDescent="0.15">
      <c r="A827" s="178"/>
      <c r="B827" s="179"/>
    </row>
    <row r="828" spans="1:2" x14ac:dyDescent="0.15">
      <c r="A828" s="178"/>
      <c r="B828" s="179"/>
    </row>
    <row r="829" spans="1:2" x14ac:dyDescent="0.15">
      <c r="A829" s="178"/>
      <c r="B829" s="179"/>
    </row>
    <row r="830" spans="1:2" x14ac:dyDescent="0.15">
      <c r="A830" s="178"/>
      <c r="B830" s="179"/>
    </row>
    <row r="831" spans="1:2" x14ac:dyDescent="0.15">
      <c r="A831" s="178"/>
      <c r="B831" s="179"/>
    </row>
    <row r="832" spans="1:2" x14ac:dyDescent="0.15">
      <c r="A832" s="178"/>
      <c r="B832" s="179"/>
    </row>
    <row r="833" spans="1:2" x14ac:dyDescent="0.15">
      <c r="A833" s="178"/>
      <c r="B833" s="179"/>
    </row>
    <row r="834" spans="1:2" x14ac:dyDescent="0.15">
      <c r="A834" s="178"/>
      <c r="B834" s="179"/>
    </row>
    <row r="835" spans="1:2" x14ac:dyDescent="0.15">
      <c r="A835" s="178"/>
      <c r="B835" s="179"/>
    </row>
    <row r="836" spans="1:2" x14ac:dyDescent="0.15">
      <c r="A836" s="178"/>
      <c r="B836" s="179"/>
    </row>
    <row r="837" spans="1:2" x14ac:dyDescent="0.15">
      <c r="A837" s="178"/>
      <c r="B837" s="179"/>
    </row>
    <row r="838" spans="1:2" x14ac:dyDescent="0.15">
      <c r="A838" s="178"/>
      <c r="B838" s="179"/>
    </row>
    <row r="839" spans="1:2" x14ac:dyDescent="0.15">
      <c r="A839" s="178"/>
      <c r="B839" s="179"/>
    </row>
    <row r="840" spans="1:2" x14ac:dyDescent="0.15">
      <c r="A840" s="178"/>
      <c r="B840" s="179"/>
    </row>
    <row r="841" spans="1:2" x14ac:dyDescent="0.15">
      <c r="A841" s="178"/>
      <c r="B841" s="179"/>
    </row>
    <row r="842" spans="1:2" x14ac:dyDescent="0.15">
      <c r="A842" s="178"/>
      <c r="B842" s="179"/>
    </row>
    <row r="843" spans="1:2" x14ac:dyDescent="0.15">
      <c r="A843" s="178"/>
      <c r="B843" s="179"/>
    </row>
    <row r="844" spans="1:2" x14ac:dyDescent="0.15">
      <c r="A844" s="178"/>
      <c r="B844" s="179"/>
    </row>
    <row r="845" spans="1:2" x14ac:dyDescent="0.15">
      <c r="A845" s="178"/>
      <c r="B845" s="179"/>
    </row>
    <row r="846" spans="1:2" x14ac:dyDescent="0.15">
      <c r="A846" s="178"/>
      <c r="B846" s="179"/>
    </row>
    <row r="847" spans="1:2" x14ac:dyDescent="0.15">
      <c r="A847" s="178"/>
      <c r="B847" s="179"/>
    </row>
    <row r="848" spans="1:2" x14ac:dyDescent="0.15">
      <c r="A848" s="178"/>
      <c r="B848" s="179"/>
    </row>
    <row r="849" spans="1:2" x14ac:dyDescent="0.15">
      <c r="A849" s="178"/>
      <c r="B849" s="179"/>
    </row>
    <row r="850" spans="1:2" x14ac:dyDescent="0.15">
      <c r="A850" s="178"/>
      <c r="B850" s="179"/>
    </row>
    <row r="851" spans="1:2" x14ac:dyDescent="0.15">
      <c r="A851" s="178"/>
      <c r="B851" s="179"/>
    </row>
    <row r="852" spans="1:2" x14ac:dyDescent="0.15">
      <c r="A852" s="178"/>
      <c r="B852" s="179"/>
    </row>
    <row r="853" spans="1:2" x14ac:dyDescent="0.15">
      <c r="A853" s="178"/>
      <c r="B853" s="179"/>
    </row>
    <row r="854" spans="1:2" x14ac:dyDescent="0.15">
      <c r="A854" s="178"/>
      <c r="B854" s="179"/>
    </row>
    <row r="855" spans="1:2" x14ac:dyDescent="0.15">
      <c r="A855" s="178"/>
      <c r="B855" s="179"/>
    </row>
    <row r="856" spans="1:2" x14ac:dyDescent="0.15">
      <c r="A856" s="178"/>
      <c r="B856" s="179"/>
    </row>
    <row r="857" spans="1:2" x14ac:dyDescent="0.15">
      <c r="A857" s="178"/>
      <c r="B857" s="179"/>
    </row>
    <row r="858" spans="1:2" x14ac:dyDescent="0.15">
      <c r="A858" s="178"/>
      <c r="B858" s="179"/>
    </row>
    <row r="859" spans="1:2" x14ac:dyDescent="0.15">
      <c r="A859" s="178"/>
      <c r="B859" s="179"/>
    </row>
    <row r="860" spans="1:2" x14ac:dyDescent="0.15">
      <c r="A860" s="178"/>
      <c r="B860" s="179"/>
    </row>
    <row r="861" spans="1:2" x14ac:dyDescent="0.15">
      <c r="A861" s="178"/>
      <c r="B861" s="179"/>
    </row>
    <row r="862" spans="1:2" x14ac:dyDescent="0.15">
      <c r="A862" s="178"/>
      <c r="B862" s="179"/>
    </row>
    <row r="863" spans="1:2" x14ac:dyDescent="0.15">
      <c r="A863" s="178"/>
      <c r="B863" s="179"/>
    </row>
    <row r="864" spans="1:2" x14ac:dyDescent="0.15">
      <c r="A864" s="178"/>
      <c r="B864" s="179"/>
    </row>
    <row r="865" spans="1:2" x14ac:dyDescent="0.15">
      <c r="A865" s="178"/>
      <c r="B865" s="179"/>
    </row>
    <row r="866" spans="1:2" x14ac:dyDescent="0.15">
      <c r="A866" s="178"/>
      <c r="B866" s="179"/>
    </row>
    <row r="867" spans="1:2" x14ac:dyDescent="0.15">
      <c r="A867" s="178"/>
      <c r="B867" s="179"/>
    </row>
    <row r="868" spans="1:2" x14ac:dyDescent="0.15">
      <c r="A868" s="178"/>
      <c r="B868" s="179"/>
    </row>
    <row r="869" spans="1:2" x14ac:dyDescent="0.15">
      <c r="A869" s="178"/>
      <c r="B869" s="179"/>
    </row>
    <row r="870" spans="1:2" x14ac:dyDescent="0.15">
      <c r="A870" s="178"/>
      <c r="B870" s="179"/>
    </row>
    <row r="871" spans="1:2" x14ac:dyDescent="0.15">
      <c r="A871" s="178"/>
      <c r="B871" s="179"/>
    </row>
    <row r="872" spans="1:2" x14ac:dyDescent="0.15">
      <c r="A872" s="178"/>
      <c r="B872" s="179"/>
    </row>
    <row r="873" spans="1:2" x14ac:dyDescent="0.15">
      <c r="A873" s="178"/>
      <c r="B873" s="179"/>
    </row>
    <row r="874" spans="1:2" x14ac:dyDescent="0.15">
      <c r="A874" s="178"/>
      <c r="B874" s="179"/>
    </row>
    <row r="875" spans="1:2" x14ac:dyDescent="0.15">
      <c r="A875" s="178"/>
      <c r="B875" s="179"/>
    </row>
    <row r="876" spans="1:2" x14ac:dyDescent="0.15">
      <c r="A876" s="178"/>
      <c r="B876" s="179"/>
    </row>
    <row r="877" spans="1:2" x14ac:dyDescent="0.15">
      <c r="A877" s="178"/>
      <c r="B877" s="179"/>
    </row>
    <row r="878" spans="1:2" x14ac:dyDescent="0.15">
      <c r="A878" s="178"/>
      <c r="B878" s="179"/>
    </row>
    <row r="879" spans="1:2" x14ac:dyDescent="0.15">
      <c r="A879" s="178"/>
      <c r="B879" s="179"/>
    </row>
    <row r="880" spans="1:2" x14ac:dyDescent="0.15">
      <c r="A880" s="178"/>
      <c r="B880" s="179"/>
    </row>
    <row r="881" spans="1:2" x14ac:dyDescent="0.15">
      <c r="A881" s="178"/>
      <c r="B881" s="179"/>
    </row>
    <row r="882" spans="1:2" x14ac:dyDescent="0.15">
      <c r="A882" s="178"/>
      <c r="B882" s="179"/>
    </row>
    <row r="883" spans="1:2" x14ac:dyDescent="0.15">
      <c r="A883" s="178"/>
      <c r="B883" s="179"/>
    </row>
    <row r="884" spans="1:2" x14ac:dyDescent="0.15">
      <c r="A884" s="178"/>
      <c r="B884" s="179"/>
    </row>
    <row r="885" spans="1:2" x14ac:dyDescent="0.15">
      <c r="A885" s="178"/>
      <c r="B885" s="179"/>
    </row>
    <row r="886" spans="1:2" x14ac:dyDescent="0.15">
      <c r="A886" s="178"/>
      <c r="B886" s="179"/>
    </row>
    <row r="887" spans="1:2" x14ac:dyDescent="0.15">
      <c r="A887" s="178"/>
      <c r="B887" s="179"/>
    </row>
    <row r="888" spans="1:2" x14ac:dyDescent="0.15">
      <c r="A888" s="178"/>
      <c r="B888" s="179"/>
    </row>
    <row r="889" spans="1:2" x14ac:dyDescent="0.15">
      <c r="A889" s="178"/>
      <c r="B889" s="179"/>
    </row>
    <row r="890" spans="1:2" x14ac:dyDescent="0.15">
      <c r="A890" s="178"/>
      <c r="B890" s="179"/>
    </row>
    <row r="891" spans="1:2" x14ac:dyDescent="0.15">
      <c r="A891" s="178"/>
      <c r="B891" s="179"/>
    </row>
    <row r="892" spans="1:2" x14ac:dyDescent="0.15">
      <c r="A892" s="178"/>
      <c r="B892" s="179"/>
    </row>
    <row r="893" spans="1:2" x14ac:dyDescent="0.15">
      <c r="A893" s="178"/>
      <c r="B893" s="179"/>
    </row>
    <row r="894" spans="1:2" x14ac:dyDescent="0.15">
      <c r="A894" s="178"/>
      <c r="B894" s="179"/>
    </row>
    <row r="895" spans="1:2" x14ac:dyDescent="0.15">
      <c r="A895" s="178"/>
      <c r="B895" s="179"/>
    </row>
    <row r="896" spans="1:2" x14ac:dyDescent="0.15">
      <c r="A896" s="178"/>
      <c r="B896" s="179"/>
    </row>
    <row r="897" spans="1:4" x14ac:dyDescent="0.15">
      <c r="A897" s="178"/>
      <c r="B897" s="179"/>
    </row>
    <row r="898" spans="1:4" x14ac:dyDescent="0.15">
      <c r="A898" s="178"/>
      <c r="B898" s="179"/>
    </row>
    <row r="899" spans="1:4" x14ac:dyDescent="0.15">
      <c r="A899" s="178"/>
      <c r="B899" s="179"/>
    </row>
    <row r="900" spans="1:4" x14ac:dyDescent="0.15">
      <c r="A900" s="178"/>
      <c r="B900" s="179"/>
    </row>
    <row r="901" spans="1:4" x14ac:dyDescent="0.15">
      <c r="A901" s="178"/>
      <c r="B901" s="179"/>
    </row>
    <row r="902" spans="1:4" x14ac:dyDescent="0.15">
      <c r="A902" s="178"/>
      <c r="B902" s="179"/>
    </row>
    <row r="903" spans="1:4" x14ac:dyDescent="0.15">
      <c r="A903" s="178"/>
      <c r="B903" s="179"/>
    </row>
    <row r="904" spans="1:4" x14ac:dyDescent="0.15">
      <c r="A904" s="178"/>
      <c r="B904" s="179"/>
      <c r="C904" s="179"/>
      <c r="D904" s="179"/>
    </row>
    <row r="905" spans="1:4" x14ac:dyDescent="0.15">
      <c r="A905" s="178"/>
      <c r="B905" s="179"/>
    </row>
    <row r="906" spans="1:4" x14ac:dyDescent="0.15">
      <c r="A906" s="178"/>
      <c r="B906" s="179"/>
    </row>
    <row r="907" spans="1:4" x14ac:dyDescent="0.15">
      <c r="A907" s="178"/>
      <c r="B907" s="179"/>
    </row>
    <row r="908" spans="1:4" x14ac:dyDescent="0.15">
      <c r="A908" s="178"/>
      <c r="B908" s="179"/>
    </row>
    <row r="909" spans="1:4" x14ac:dyDescent="0.15">
      <c r="A909" s="178"/>
      <c r="B909" s="179"/>
    </row>
    <row r="910" spans="1:4" x14ac:dyDescent="0.15">
      <c r="A910" s="178"/>
      <c r="B910" s="179"/>
    </row>
    <row r="911" spans="1:4" x14ac:dyDescent="0.15">
      <c r="A911" s="178"/>
      <c r="B911" s="179"/>
    </row>
    <row r="912" spans="1:4" x14ac:dyDescent="0.15">
      <c r="A912" s="178"/>
      <c r="B912" s="179"/>
    </row>
    <row r="913" spans="1:2" x14ac:dyDescent="0.15">
      <c r="A913" s="178"/>
      <c r="B913" s="179"/>
    </row>
    <row r="914" spans="1:2" x14ac:dyDescent="0.15">
      <c r="A914" s="178"/>
      <c r="B914" s="179"/>
    </row>
    <row r="915" spans="1:2" x14ac:dyDescent="0.15">
      <c r="A915" s="178"/>
      <c r="B915" s="179"/>
    </row>
    <row r="916" spans="1:2" x14ac:dyDescent="0.15">
      <c r="A916" s="178"/>
      <c r="B916" s="179"/>
    </row>
    <row r="917" spans="1:2" x14ac:dyDescent="0.15">
      <c r="A917" s="178"/>
      <c r="B917" s="179"/>
    </row>
    <row r="918" spans="1:2" x14ac:dyDescent="0.15">
      <c r="A918" s="178"/>
      <c r="B918" s="179"/>
    </row>
    <row r="919" spans="1:2" x14ac:dyDescent="0.15">
      <c r="A919" s="178"/>
      <c r="B919" s="179"/>
    </row>
    <row r="920" spans="1:2" x14ac:dyDescent="0.15">
      <c r="A920" s="178"/>
      <c r="B920" s="179"/>
    </row>
    <row r="921" spans="1:2" x14ac:dyDescent="0.15">
      <c r="A921" s="178"/>
      <c r="B921" s="179"/>
    </row>
    <row r="922" spans="1:2" x14ac:dyDescent="0.15">
      <c r="A922" s="178"/>
      <c r="B922" s="179"/>
    </row>
    <row r="923" spans="1:2" x14ac:dyDescent="0.15">
      <c r="A923" s="178"/>
      <c r="B923" s="179"/>
    </row>
    <row r="924" spans="1:2" x14ac:dyDescent="0.15">
      <c r="A924" s="178"/>
      <c r="B924" s="179"/>
    </row>
    <row r="925" spans="1:2" x14ac:dyDescent="0.15">
      <c r="A925" s="178"/>
      <c r="B925" s="179"/>
    </row>
    <row r="926" spans="1:2" x14ac:dyDescent="0.15">
      <c r="A926" s="178"/>
      <c r="B926" s="179"/>
    </row>
    <row r="927" spans="1:2" x14ac:dyDescent="0.15">
      <c r="A927" s="178"/>
      <c r="B927" s="179"/>
    </row>
    <row r="928" spans="1:2" x14ac:dyDescent="0.15">
      <c r="A928" s="178"/>
      <c r="B928" s="179"/>
    </row>
    <row r="929" spans="1:2" x14ac:dyDescent="0.15">
      <c r="A929" s="178"/>
      <c r="B929" s="179"/>
    </row>
    <row r="930" spans="1:2" x14ac:dyDescent="0.15">
      <c r="A930" s="178"/>
      <c r="B930" s="179"/>
    </row>
    <row r="931" spans="1:2" x14ac:dyDescent="0.15">
      <c r="A931" s="178"/>
      <c r="B931" s="179"/>
    </row>
    <row r="932" spans="1:2" x14ac:dyDescent="0.15">
      <c r="A932" s="178"/>
      <c r="B932" s="179"/>
    </row>
    <row r="933" spans="1:2" x14ac:dyDescent="0.15">
      <c r="A933" s="178"/>
      <c r="B933" s="179"/>
    </row>
    <row r="934" spans="1:2" x14ac:dyDescent="0.15">
      <c r="A934" s="178"/>
      <c r="B934" s="179"/>
    </row>
    <row r="935" spans="1:2" x14ac:dyDescent="0.15">
      <c r="A935" s="178"/>
      <c r="B935" s="179"/>
    </row>
    <row r="936" spans="1:2" x14ac:dyDescent="0.15">
      <c r="A936" s="178"/>
      <c r="B936" s="179"/>
    </row>
    <row r="937" spans="1:2" x14ac:dyDescent="0.15">
      <c r="A937" s="178"/>
      <c r="B937" s="179"/>
    </row>
    <row r="938" spans="1:2" x14ac:dyDescent="0.15">
      <c r="A938" s="178"/>
      <c r="B938" s="179"/>
    </row>
    <row r="939" spans="1:2" x14ac:dyDescent="0.15">
      <c r="A939" s="178"/>
      <c r="B939" s="179"/>
    </row>
    <row r="940" spans="1:2" x14ac:dyDescent="0.15">
      <c r="A940" s="178"/>
      <c r="B940" s="179"/>
    </row>
    <row r="941" spans="1:2" x14ac:dyDescent="0.15">
      <c r="A941" s="178"/>
      <c r="B941" s="179"/>
    </row>
    <row r="942" spans="1:2" x14ac:dyDescent="0.15">
      <c r="A942" s="178"/>
      <c r="B942" s="179"/>
    </row>
    <row r="943" spans="1:2" x14ac:dyDescent="0.15">
      <c r="A943" s="178"/>
      <c r="B943" s="179"/>
    </row>
    <row r="944" spans="1:2" x14ac:dyDescent="0.15">
      <c r="A944" s="178"/>
      <c r="B944" s="179"/>
    </row>
    <row r="945" spans="1:2" x14ac:dyDescent="0.15">
      <c r="A945" s="178"/>
      <c r="B945" s="179"/>
    </row>
    <row r="946" spans="1:2" x14ac:dyDescent="0.15">
      <c r="A946" s="178"/>
      <c r="B946" s="179"/>
    </row>
    <row r="947" spans="1:2" x14ac:dyDescent="0.15">
      <c r="A947" s="178"/>
      <c r="B947" s="179"/>
    </row>
    <row r="948" spans="1:2" x14ac:dyDescent="0.15">
      <c r="A948" s="178"/>
      <c r="B948" s="179"/>
    </row>
    <row r="949" spans="1:2" x14ac:dyDescent="0.15">
      <c r="A949" s="178"/>
      <c r="B949" s="179"/>
    </row>
    <row r="950" spans="1:2" x14ac:dyDescent="0.15">
      <c r="A950" s="178"/>
      <c r="B950" s="179"/>
    </row>
    <row r="951" spans="1:2" x14ac:dyDescent="0.15">
      <c r="A951" s="178"/>
      <c r="B951" s="179"/>
    </row>
    <row r="952" spans="1:2" x14ac:dyDescent="0.15">
      <c r="A952" s="178"/>
      <c r="B952" s="179"/>
    </row>
    <row r="953" spans="1:2" x14ac:dyDescent="0.15">
      <c r="A953" s="178"/>
      <c r="B953" s="179"/>
    </row>
    <row r="954" spans="1:2" x14ac:dyDescent="0.15">
      <c r="A954" s="178"/>
      <c r="B954" s="179"/>
    </row>
    <row r="955" spans="1:2" x14ac:dyDescent="0.15">
      <c r="A955" s="178"/>
      <c r="B955" s="179"/>
    </row>
    <row r="956" spans="1:2" x14ac:dyDescent="0.15">
      <c r="A956" s="178"/>
      <c r="B956" s="179"/>
    </row>
    <row r="957" spans="1:2" x14ac:dyDescent="0.15">
      <c r="A957" s="178"/>
      <c r="B957" s="179"/>
    </row>
    <row r="958" spans="1:2" x14ac:dyDescent="0.15">
      <c r="A958" s="178"/>
      <c r="B958" s="179"/>
    </row>
    <row r="959" spans="1:2" x14ac:dyDescent="0.15">
      <c r="A959" s="178"/>
      <c r="B959" s="179"/>
    </row>
    <row r="960" spans="1:2" x14ac:dyDescent="0.15">
      <c r="A960" s="178"/>
      <c r="B960" s="179"/>
    </row>
    <row r="961" spans="1:2" x14ac:dyDescent="0.15">
      <c r="A961" s="178"/>
      <c r="B961" s="179"/>
    </row>
    <row r="962" spans="1:2" x14ac:dyDescent="0.15">
      <c r="A962" s="178"/>
      <c r="B962" s="179"/>
    </row>
    <row r="963" spans="1:2" x14ac:dyDescent="0.15">
      <c r="A963" s="178"/>
      <c r="B963" s="179"/>
    </row>
    <row r="964" spans="1:2" x14ac:dyDescent="0.15">
      <c r="A964" s="178"/>
      <c r="B964" s="179"/>
    </row>
    <row r="965" spans="1:2" x14ac:dyDescent="0.15">
      <c r="A965" s="178"/>
      <c r="B965" s="179"/>
    </row>
    <row r="966" spans="1:2" x14ac:dyDescent="0.15">
      <c r="A966" s="178"/>
      <c r="B966" s="179"/>
    </row>
    <row r="967" spans="1:2" x14ac:dyDescent="0.15">
      <c r="A967" s="178"/>
      <c r="B967" s="179"/>
    </row>
    <row r="968" spans="1:2" x14ac:dyDescent="0.15">
      <c r="A968" s="178"/>
      <c r="B968" s="179"/>
    </row>
    <row r="969" spans="1:2" x14ac:dyDescent="0.15">
      <c r="A969" s="178"/>
      <c r="B969" s="179"/>
    </row>
    <row r="970" spans="1:2" x14ac:dyDescent="0.15">
      <c r="A970" s="178"/>
      <c r="B970" s="179"/>
    </row>
    <row r="971" spans="1:2" x14ac:dyDescent="0.15">
      <c r="A971" s="178"/>
      <c r="B971" s="179"/>
    </row>
    <row r="972" spans="1:2" x14ac:dyDescent="0.15">
      <c r="A972" s="178"/>
      <c r="B972" s="179"/>
    </row>
    <row r="973" spans="1:2" x14ac:dyDescent="0.15">
      <c r="A973" s="178"/>
      <c r="B973" s="179"/>
    </row>
    <row r="974" spans="1:2" x14ac:dyDescent="0.15">
      <c r="A974" s="178"/>
      <c r="B974" s="179"/>
    </row>
    <row r="975" spans="1:2" x14ac:dyDescent="0.15">
      <c r="A975" s="178"/>
      <c r="B975" s="179"/>
    </row>
    <row r="976" spans="1:2" x14ac:dyDescent="0.15">
      <c r="A976" s="178"/>
      <c r="B976" s="179"/>
    </row>
    <row r="977" spans="1:2" x14ac:dyDescent="0.15">
      <c r="A977" s="178"/>
      <c r="B977" s="179"/>
    </row>
    <row r="978" spans="1:2" x14ac:dyDescent="0.15">
      <c r="A978" s="178"/>
      <c r="B978" s="179"/>
    </row>
    <row r="979" spans="1:2" x14ac:dyDescent="0.15">
      <c r="A979" s="178"/>
      <c r="B979" s="179"/>
    </row>
    <row r="980" spans="1:2" x14ac:dyDescent="0.15">
      <c r="A980" s="178"/>
      <c r="B980" s="179"/>
    </row>
    <row r="981" spans="1:2" x14ac:dyDescent="0.15">
      <c r="A981" s="178"/>
      <c r="B981" s="179"/>
    </row>
    <row r="982" spans="1:2" x14ac:dyDescent="0.15">
      <c r="A982" s="178"/>
      <c r="B982" s="179"/>
    </row>
    <row r="983" spans="1:2" x14ac:dyDescent="0.15">
      <c r="A983" s="178"/>
      <c r="B983" s="179"/>
    </row>
    <row r="984" spans="1:2" x14ac:dyDescent="0.15">
      <c r="A984" s="178"/>
      <c r="B984" s="179"/>
    </row>
    <row r="985" spans="1:2" x14ac:dyDescent="0.15">
      <c r="A985" s="178"/>
      <c r="B985" s="179"/>
    </row>
    <row r="986" spans="1:2" x14ac:dyDescent="0.15">
      <c r="A986" s="178"/>
      <c r="B986" s="179"/>
    </row>
    <row r="987" spans="1:2" x14ac:dyDescent="0.15">
      <c r="A987" s="178"/>
      <c r="B987" s="179"/>
    </row>
    <row r="988" spans="1:2" x14ac:dyDescent="0.15">
      <c r="A988" s="178"/>
      <c r="B988" s="179"/>
    </row>
    <row r="989" spans="1:2" x14ac:dyDescent="0.15">
      <c r="A989" s="178"/>
      <c r="B989" s="179"/>
    </row>
    <row r="990" spans="1:2" x14ac:dyDescent="0.15">
      <c r="A990" s="178"/>
      <c r="B990" s="179"/>
    </row>
    <row r="991" spans="1:2" x14ac:dyDescent="0.15">
      <c r="A991" s="178"/>
      <c r="B991" s="179"/>
    </row>
    <row r="992" spans="1:2" x14ac:dyDescent="0.15">
      <c r="A992" s="178"/>
      <c r="B992" s="179"/>
    </row>
    <row r="993" spans="1:4" x14ac:dyDescent="0.15">
      <c r="A993" s="178"/>
      <c r="B993" s="179"/>
    </row>
    <row r="994" spans="1:4" x14ac:dyDescent="0.15">
      <c r="A994" s="178"/>
      <c r="B994" s="179"/>
    </row>
    <row r="995" spans="1:4" x14ac:dyDescent="0.15">
      <c r="A995" s="178"/>
      <c r="B995" s="179"/>
    </row>
    <row r="996" spans="1:4" x14ac:dyDescent="0.15">
      <c r="A996" s="178"/>
      <c r="B996" s="179"/>
    </row>
    <row r="997" spans="1:4" x14ac:dyDescent="0.15">
      <c r="A997" s="178"/>
      <c r="B997" s="179"/>
    </row>
    <row r="998" spans="1:4" x14ac:dyDescent="0.15">
      <c r="A998" s="178"/>
      <c r="B998" s="179"/>
    </row>
    <row r="999" spans="1:4" x14ac:dyDescent="0.15">
      <c r="A999" s="178"/>
      <c r="B999" s="179"/>
    </row>
    <row r="1000" spans="1:4" x14ac:dyDescent="0.15">
      <c r="A1000" s="178"/>
      <c r="B1000" s="179"/>
    </row>
    <row r="1001" spans="1:4" x14ac:dyDescent="0.15">
      <c r="A1001" s="178"/>
      <c r="B1001" s="179"/>
    </row>
    <row r="1002" spans="1:4" x14ac:dyDescent="0.15">
      <c r="A1002" s="178"/>
      <c r="B1002" s="179"/>
    </row>
    <row r="1003" spans="1:4" x14ac:dyDescent="0.15">
      <c r="A1003" s="178"/>
      <c r="B1003" s="179"/>
    </row>
    <row r="1004" spans="1:4" x14ac:dyDescent="0.15">
      <c r="A1004" s="178"/>
      <c r="B1004" s="179"/>
      <c r="C1004" s="179"/>
      <c r="D1004" s="179"/>
    </row>
    <row r="1005" spans="1:4" x14ac:dyDescent="0.15">
      <c r="A1005" s="178"/>
      <c r="B1005" s="179"/>
    </row>
    <row r="1006" spans="1:4" x14ac:dyDescent="0.15">
      <c r="A1006" s="178"/>
      <c r="B1006" s="179"/>
    </row>
    <row r="1007" spans="1:4" x14ac:dyDescent="0.15">
      <c r="A1007" s="178"/>
      <c r="B1007" s="179"/>
    </row>
    <row r="1008" spans="1:4" x14ac:dyDescent="0.15">
      <c r="A1008" s="178"/>
      <c r="B1008" s="179"/>
    </row>
    <row r="1009" spans="1:2" x14ac:dyDescent="0.15">
      <c r="A1009" s="178"/>
      <c r="B1009" s="179"/>
    </row>
    <row r="1010" spans="1:2" x14ac:dyDescent="0.15">
      <c r="A1010" s="178"/>
      <c r="B1010" s="179"/>
    </row>
    <row r="1011" spans="1:2" x14ac:dyDescent="0.15">
      <c r="A1011" s="178"/>
      <c r="B1011" s="179"/>
    </row>
    <row r="1012" spans="1:2" x14ac:dyDescent="0.15">
      <c r="A1012" s="178"/>
      <c r="B1012" s="179"/>
    </row>
    <row r="1013" spans="1:2" x14ac:dyDescent="0.15">
      <c r="A1013" s="178"/>
      <c r="B1013" s="179"/>
    </row>
    <row r="1014" spans="1:2" x14ac:dyDescent="0.15">
      <c r="A1014" s="178"/>
      <c r="B1014" s="179"/>
    </row>
    <row r="1015" spans="1:2" x14ac:dyDescent="0.15">
      <c r="A1015" s="178"/>
      <c r="B1015" s="179"/>
    </row>
    <row r="1016" spans="1:2" x14ac:dyDescent="0.15">
      <c r="A1016" s="178"/>
      <c r="B1016" s="179"/>
    </row>
    <row r="1017" spans="1:2" x14ac:dyDescent="0.15">
      <c r="A1017" s="178"/>
      <c r="B1017" s="179"/>
    </row>
    <row r="1018" spans="1:2" x14ac:dyDescent="0.15">
      <c r="A1018" s="178"/>
      <c r="B1018" s="179"/>
    </row>
    <row r="1019" spans="1:2" x14ac:dyDescent="0.15">
      <c r="A1019" s="178"/>
      <c r="B1019" s="179"/>
    </row>
    <row r="1020" spans="1:2" x14ac:dyDescent="0.15">
      <c r="A1020" s="178"/>
      <c r="B1020" s="179"/>
    </row>
    <row r="1021" spans="1:2" x14ac:dyDescent="0.15">
      <c r="A1021" s="178"/>
      <c r="B1021" s="179"/>
    </row>
    <row r="1022" spans="1:2" x14ac:dyDescent="0.15">
      <c r="A1022" s="178"/>
      <c r="B1022" s="179"/>
    </row>
    <row r="1023" spans="1:2" x14ac:dyDescent="0.15">
      <c r="A1023" s="178"/>
      <c r="B1023" s="179"/>
    </row>
    <row r="1024" spans="1:2" x14ac:dyDescent="0.15">
      <c r="A1024" s="178"/>
      <c r="B1024" s="179"/>
    </row>
    <row r="1025" spans="1:2" x14ac:dyDescent="0.15">
      <c r="A1025" s="178"/>
      <c r="B1025" s="179"/>
    </row>
    <row r="1026" spans="1:2" x14ac:dyDescent="0.15">
      <c r="A1026" s="178"/>
      <c r="B1026" s="179"/>
    </row>
    <row r="1027" spans="1:2" x14ac:dyDescent="0.15">
      <c r="A1027" s="178"/>
      <c r="B1027" s="179"/>
    </row>
    <row r="1028" spans="1:2" x14ac:dyDescent="0.15">
      <c r="A1028" s="178"/>
      <c r="B1028" s="179"/>
    </row>
    <row r="1029" spans="1:2" x14ac:dyDescent="0.15">
      <c r="A1029" s="178"/>
      <c r="B1029" s="179"/>
    </row>
    <row r="1030" spans="1:2" x14ac:dyDescent="0.15">
      <c r="A1030" s="178"/>
      <c r="B1030" s="179"/>
    </row>
    <row r="1031" spans="1:2" x14ac:dyDescent="0.15">
      <c r="A1031" s="178"/>
      <c r="B1031" s="179"/>
    </row>
    <row r="1032" spans="1:2" x14ac:dyDescent="0.15">
      <c r="A1032" s="178"/>
      <c r="B1032" s="179"/>
    </row>
    <row r="1033" spans="1:2" x14ac:dyDescent="0.15">
      <c r="A1033" s="178"/>
      <c r="B1033" s="179"/>
    </row>
    <row r="1034" spans="1:2" x14ac:dyDescent="0.15">
      <c r="A1034" s="178"/>
      <c r="B1034" s="179"/>
    </row>
    <row r="1035" spans="1:2" x14ac:dyDescent="0.15">
      <c r="A1035" s="178"/>
      <c r="B1035" s="179"/>
    </row>
    <row r="1036" spans="1:2" x14ac:dyDescent="0.15">
      <c r="A1036" s="178"/>
      <c r="B1036" s="179"/>
    </row>
    <row r="1037" spans="1:2" x14ac:dyDescent="0.15">
      <c r="A1037" s="178"/>
      <c r="B1037" s="179"/>
    </row>
    <row r="1038" spans="1:2" x14ac:dyDescent="0.15">
      <c r="A1038" s="178"/>
      <c r="B1038" s="179"/>
    </row>
    <row r="1039" spans="1:2" x14ac:dyDescent="0.15">
      <c r="A1039" s="178"/>
      <c r="B1039" s="179"/>
    </row>
    <row r="1040" spans="1:2" x14ac:dyDescent="0.15">
      <c r="A1040" s="178"/>
      <c r="B1040" s="179"/>
    </row>
    <row r="1041" spans="1:2" x14ac:dyDescent="0.15">
      <c r="A1041" s="178"/>
      <c r="B1041" s="179"/>
    </row>
    <row r="1042" spans="1:2" x14ac:dyDescent="0.15">
      <c r="A1042" s="178"/>
      <c r="B1042" s="179"/>
    </row>
    <row r="1043" spans="1:2" x14ac:dyDescent="0.15">
      <c r="A1043" s="178"/>
      <c r="B1043" s="179"/>
    </row>
    <row r="1044" spans="1:2" x14ac:dyDescent="0.15">
      <c r="A1044" s="178"/>
      <c r="B1044" s="179"/>
    </row>
    <row r="1045" spans="1:2" x14ac:dyDescent="0.15">
      <c r="A1045" s="178"/>
      <c r="B1045" s="179"/>
    </row>
    <row r="1046" spans="1:2" x14ac:dyDescent="0.15">
      <c r="A1046" s="178"/>
      <c r="B1046" s="179"/>
    </row>
    <row r="1047" spans="1:2" x14ac:dyDescent="0.15">
      <c r="A1047" s="178"/>
      <c r="B1047" s="179"/>
    </row>
    <row r="1048" spans="1:2" x14ac:dyDescent="0.15">
      <c r="A1048" s="178"/>
      <c r="B1048" s="179"/>
    </row>
    <row r="1049" spans="1:2" x14ac:dyDescent="0.15">
      <c r="A1049" s="178"/>
      <c r="B1049" s="179"/>
    </row>
    <row r="1050" spans="1:2" x14ac:dyDescent="0.15">
      <c r="A1050" s="178"/>
      <c r="B1050" s="179"/>
    </row>
    <row r="1051" spans="1:2" x14ac:dyDescent="0.15">
      <c r="A1051" s="178"/>
      <c r="B1051" s="179"/>
    </row>
    <row r="1052" spans="1:2" x14ac:dyDescent="0.15">
      <c r="A1052" s="178"/>
      <c r="B1052" s="179"/>
    </row>
    <row r="1053" spans="1:2" x14ac:dyDescent="0.15">
      <c r="A1053" s="178"/>
      <c r="B1053" s="179"/>
    </row>
    <row r="1054" spans="1:2" x14ac:dyDescent="0.15">
      <c r="A1054" s="178"/>
      <c r="B1054" s="179"/>
    </row>
    <row r="1055" spans="1:2" x14ac:dyDescent="0.15">
      <c r="A1055" s="178"/>
      <c r="B1055" s="179"/>
    </row>
    <row r="1056" spans="1:2" x14ac:dyDescent="0.15">
      <c r="A1056" s="178"/>
      <c r="B1056" s="179"/>
    </row>
    <row r="1057" spans="1:2" x14ac:dyDescent="0.15">
      <c r="A1057" s="178"/>
      <c r="B1057" s="179"/>
    </row>
    <row r="1058" spans="1:2" x14ac:dyDescent="0.15">
      <c r="A1058" s="178"/>
      <c r="B1058" s="179"/>
    </row>
    <row r="1059" spans="1:2" x14ac:dyDescent="0.15">
      <c r="A1059" s="178"/>
      <c r="B1059" s="179"/>
    </row>
    <row r="1060" spans="1:2" x14ac:dyDescent="0.15">
      <c r="A1060" s="178"/>
      <c r="B1060" s="179"/>
    </row>
    <row r="1061" spans="1:2" x14ac:dyDescent="0.15">
      <c r="A1061" s="178"/>
      <c r="B1061" s="179"/>
    </row>
    <row r="1062" spans="1:2" x14ac:dyDescent="0.15">
      <c r="A1062" s="178"/>
      <c r="B1062" s="179"/>
    </row>
    <row r="1063" spans="1:2" x14ac:dyDescent="0.15">
      <c r="A1063" s="178"/>
      <c r="B1063" s="179"/>
    </row>
    <row r="1064" spans="1:2" x14ac:dyDescent="0.15">
      <c r="A1064" s="178"/>
      <c r="B1064" s="179"/>
    </row>
    <row r="1065" spans="1:2" x14ac:dyDescent="0.15">
      <c r="A1065" s="178"/>
      <c r="B1065" s="179"/>
    </row>
    <row r="1066" spans="1:2" x14ac:dyDescent="0.15">
      <c r="A1066" s="178"/>
      <c r="B1066" s="179"/>
    </row>
    <row r="1067" spans="1:2" x14ac:dyDescent="0.15">
      <c r="A1067" s="178"/>
      <c r="B1067" s="179"/>
    </row>
    <row r="1068" spans="1:2" x14ac:dyDescent="0.15">
      <c r="A1068" s="178"/>
      <c r="B1068" s="179"/>
    </row>
    <row r="1069" spans="1:2" x14ac:dyDescent="0.15">
      <c r="A1069" s="178"/>
      <c r="B1069" s="179"/>
    </row>
    <row r="1070" spans="1:2" x14ac:dyDescent="0.15">
      <c r="A1070" s="178"/>
      <c r="B1070" s="179"/>
    </row>
    <row r="1071" spans="1:2" x14ac:dyDescent="0.15">
      <c r="A1071" s="178"/>
      <c r="B1071" s="179"/>
    </row>
    <row r="1072" spans="1:2" x14ac:dyDescent="0.15">
      <c r="A1072" s="178"/>
      <c r="B1072" s="179"/>
    </row>
    <row r="1073" spans="1:2" x14ac:dyDescent="0.15">
      <c r="A1073" s="178"/>
      <c r="B1073" s="179"/>
    </row>
    <row r="1074" spans="1:2" x14ac:dyDescent="0.15">
      <c r="A1074" s="178"/>
      <c r="B1074" s="179"/>
    </row>
    <row r="1075" spans="1:2" x14ac:dyDescent="0.15">
      <c r="A1075" s="178"/>
      <c r="B1075" s="179"/>
    </row>
    <row r="1076" spans="1:2" x14ac:dyDescent="0.15">
      <c r="A1076" s="178"/>
      <c r="B1076" s="179"/>
    </row>
    <row r="1077" spans="1:2" x14ac:dyDescent="0.15">
      <c r="A1077" s="178"/>
      <c r="B1077" s="179"/>
    </row>
    <row r="1078" spans="1:2" x14ac:dyDescent="0.15">
      <c r="A1078" s="178"/>
      <c r="B1078" s="179"/>
    </row>
    <row r="1079" spans="1:2" x14ac:dyDescent="0.15">
      <c r="A1079" s="178"/>
      <c r="B1079" s="179"/>
    </row>
    <row r="1080" spans="1:2" x14ac:dyDescent="0.15">
      <c r="A1080" s="178"/>
      <c r="B1080" s="179"/>
    </row>
    <row r="1081" spans="1:2" x14ac:dyDescent="0.15">
      <c r="A1081" s="178"/>
      <c r="B1081" s="179"/>
    </row>
    <row r="1082" spans="1:2" x14ac:dyDescent="0.15">
      <c r="A1082" s="178"/>
      <c r="B1082" s="179"/>
    </row>
    <row r="1083" spans="1:2" x14ac:dyDescent="0.15">
      <c r="A1083" s="178"/>
      <c r="B1083" s="179"/>
    </row>
    <row r="1084" spans="1:2" x14ac:dyDescent="0.15">
      <c r="A1084" s="178"/>
      <c r="B1084" s="179"/>
    </row>
    <row r="1085" spans="1:2" x14ac:dyDescent="0.15">
      <c r="A1085" s="178"/>
      <c r="B1085" s="179"/>
    </row>
    <row r="1086" spans="1:2" x14ac:dyDescent="0.15">
      <c r="A1086" s="178"/>
      <c r="B1086" s="179"/>
    </row>
    <row r="1087" spans="1:2" x14ac:dyDescent="0.15">
      <c r="A1087" s="178"/>
      <c r="B1087" s="179"/>
    </row>
    <row r="1088" spans="1:2" x14ac:dyDescent="0.15">
      <c r="A1088" s="178"/>
      <c r="B1088" s="179"/>
    </row>
    <row r="1089" spans="1:2" x14ac:dyDescent="0.15">
      <c r="A1089" s="178"/>
      <c r="B1089" s="179"/>
    </row>
    <row r="1090" spans="1:2" x14ac:dyDescent="0.15">
      <c r="A1090" s="178"/>
      <c r="B1090" s="179"/>
    </row>
    <row r="1091" spans="1:2" x14ac:dyDescent="0.15">
      <c r="A1091" s="178"/>
      <c r="B1091" s="179"/>
    </row>
    <row r="1092" spans="1:2" x14ac:dyDescent="0.15">
      <c r="A1092" s="178"/>
      <c r="B1092" s="179"/>
    </row>
    <row r="1093" spans="1:2" x14ac:dyDescent="0.15">
      <c r="A1093" s="178"/>
      <c r="B1093" s="179"/>
    </row>
    <row r="1094" spans="1:2" x14ac:dyDescent="0.15">
      <c r="A1094" s="178"/>
      <c r="B1094" s="179"/>
    </row>
    <row r="1095" spans="1:2" x14ac:dyDescent="0.15">
      <c r="A1095" s="178"/>
      <c r="B1095" s="179"/>
    </row>
    <row r="1096" spans="1:2" x14ac:dyDescent="0.15">
      <c r="A1096" s="178"/>
      <c r="B1096" s="179"/>
    </row>
    <row r="1097" spans="1:2" x14ac:dyDescent="0.15">
      <c r="A1097" s="178"/>
      <c r="B1097" s="179"/>
    </row>
    <row r="1098" spans="1:2" x14ac:dyDescent="0.15">
      <c r="A1098" s="178"/>
      <c r="B1098" s="179"/>
    </row>
    <row r="1099" spans="1:2" x14ac:dyDescent="0.15">
      <c r="A1099" s="178"/>
      <c r="B1099" s="179"/>
    </row>
    <row r="1100" spans="1:2" x14ac:dyDescent="0.15">
      <c r="A1100" s="178"/>
      <c r="B1100" s="179"/>
    </row>
    <row r="1101" spans="1:2" x14ac:dyDescent="0.15">
      <c r="A1101" s="178"/>
      <c r="B1101" s="179"/>
    </row>
    <row r="1102" spans="1:2" x14ac:dyDescent="0.15">
      <c r="A1102" s="178"/>
      <c r="B1102" s="179"/>
    </row>
    <row r="1103" spans="1:2" x14ac:dyDescent="0.15">
      <c r="A1103" s="178"/>
      <c r="B1103" s="179"/>
    </row>
    <row r="1104" spans="1:2" x14ac:dyDescent="0.15">
      <c r="A1104" s="178"/>
      <c r="B1104" s="179"/>
    </row>
    <row r="1105" spans="1:4" x14ac:dyDescent="0.15">
      <c r="A1105" s="178"/>
      <c r="B1105" s="179"/>
      <c r="C1105" s="179"/>
      <c r="D1105" s="179"/>
    </row>
    <row r="1106" spans="1:4" x14ac:dyDescent="0.15">
      <c r="A1106" s="178"/>
      <c r="B1106" s="179"/>
    </row>
    <row r="1107" spans="1:4" x14ac:dyDescent="0.15">
      <c r="A1107" s="178"/>
      <c r="B1107" s="179"/>
    </row>
    <row r="1108" spans="1:4" x14ac:dyDescent="0.15">
      <c r="A1108" s="178"/>
      <c r="B1108" s="179"/>
    </row>
    <row r="1109" spans="1:4" x14ac:dyDescent="0.15">
      <c r="A1109" s="178"/>
      <c r="B1109" s="179"/>
    </row>
    <row r="1110" spans="1:4" x14ac:dyDescent="0.15">
      <c r="A1110" s="178"/>
      <c r="B1110" s="179"/>
    </row>
    <row r="1111" spans="1:4" x14ac:dyDescent="0.15">
      <c r="A1111" s="178"/>
      <c r="B1111" s="179"/>
    </row>
    <row r="1112" spans="1:4" x14ac:dyDescent="0.15">
      <c r="A1112" s="178"/>
      <c r="B1112" s="179"/>
    </row>
    <row r="1113" spans="1:4" x14ac:dyDescent="0.15">
      <c r="A1113" s="178"/>
      <c r="B1113" s="179"/>
    </row>
    <row r="1114" spans="1:4" x14ac:dyDescent="0.15">
      <c r="A1114" s="178"/>
      <c r="B1114" s="179"/>
    </row>
    <row r="1115" spans="1:4" x14ac:dyDescent="0.15">
      <c r="A1115" s="178"/>
      <c r="B1115" s="179"/>
    </row>
    <row r="1116" spans="1:4" x14ac:dyDescent="0.15">
      <c r="A1116" s="178"/>
      <c r="B1116" s="179"/>
    </row>
    <row r="1117" spans="1:4" x14ac:dyDescent="0.15">
      <c r="A1117" s="178"/>
      <c r="B1117" s="179"/>
    </row>
    <row r="1118" spans="1:4" x14ac:dyDescent="0.15">
      <c r="A1118" s="178"/>
      <c r="B1118" s="179"/>
    </row>
    <row r="1119" spans="1:4" x14ac:dyDescent="0.15">
      <c r="A1119" s="178"/>
      <c r="B1119" s="179"/>
    </row>
    <row r="1120" spans="1:4" x14ac:dyDescent="0.15">
      <c r="A1120" s="178"/>
      <c r="B1120" s="179"/>
    </row>
    <row r="1121" spans="1:2" x14ac:dyDescent="0.15">
      <c r="A1121" s="178"/>
      <c r="B1121" s="179"/>
    </row>
    <row r="1122" spans="1:2" x14ac:dyDescent="0.15">
      <c r="A1122" s="178"/>
      <c r="B1122" s="179"/>
    </row>
    <row r="1123" spans="1:2" x14ac:dyDescent="0.15">
      <c r="A1123" s="178"/>
      <c r="B1123" s="179"/>
    </row>
    <row r="1124" spans="1:2" x14ac:dyDescent="0.15">
      <c r="A1124" s="178"/>
      <c r="B1124" s="179"/>
    </row>
    <row r="1125" spans="1:2" x14ac:dyDescent="0.15">
      <c r="A1125" s="178"/>
      <c r="B1125" s="179"/>
    </row>
    <row r="1126" spans="1:2" x14ac:dyDescent="0.15">
      <c r="A1126" s="178"/>
      <c r="B1126" s="179"/>
    </row>
    <row r="1127" spans="1:2" x14ac:dyDescent="0.15">
      <c r="A1127" s="178"/>
      <c r="B1127" s="179"/>
    </row>
    <row r="1128" spans="1:2" x14ac:dyDescent="0.15">
      <c r="A1128" s="178"/>
      <c r="B1128" s="179"/>
    </row>
    <row r="1129" spans="1:2" x14ac:dyDescent="0.15">
      <c r="A1129" s="178"/>
      <c r="B1129" s="179"/>
    </row>
    <row r="1130" spans="1:2" x14ac:dyDescent="0.15">
      <c r="A1130" s="178"/>
      <c r="B1130" s="179"/>
    </row>
    <row r="1131" spans="1:2" x14ac:dyDescent="0.15">
      <c r="A1131" s="178"/>
      <c r="B1131" s="179"/>
    </row>
    <row r="1132" spans="1:2" x14ac:dyDescent="0.15">
      <c r="A1132" s="178"/>
      <c r="B1132" s="179"/>
    </row>
    <row r="1133" spans="1:2" x14ac:dyDescent="0.15">
      <c r="A1133" s="178"/>
      <c r="B1133" s="179"/>
    </row>
    <row r="1134" spans="1:2" x14ac:dyDescent="0.15">
      <c r="A1134" s="178"/>
      <c r="B1134" s="179"/>
    </row>
    <row r="1135" spans="1:2" x14ac:dyDescent="0.15">
      <c r="A1135" s="178"/>
      <c r="B1135" s="179"/>
    </row>
    <row r="1136" spans="1:2" x14ac:dyDescent="0.15">
      <c r="A1136" s="178"/>
      <c r="B1136" s="179"/>
    </row>
    <row r="1137" spans="1:2" x14ac:dyDescent="0.15">
      <c r="A1137" s="178"/>
      <c r="B1137" s="179"/>
    </row>
    <row r="1138" spans="1:2" x14ac:dyDescent="0.15">
      <c r="A1138" s="178"/>
      <c r="B1138" s="179"/>
    </row>
    <row r="1139" spans="1:2" x14ac:dyDescent="0.15">
      <c r="A1139" s="178"/>
      <c r="B1139" s="179"/>
    </row>
    <row r="1140" spans="1:2" x14ac:dyDescent="0.15">
      <c r="A1140" s="178"/>
      <c r="B1140" s="179"/>
    </row>
    <row r="1141" spans="1:2" x14ac:dyDescent="0.15">
      <c r="A1141" s="178"/>
      <c r="B1141" s="179"/>
    </row>
    <row r="1142" spans="1:2" x14ac:dyDescent="0.15">
      <c r="A1142" s="178"/>
      <c r="B1142" s="179"/>
    </row>
    <row r="1143" spans="1:2" x14ac:dyDescent="0.15">
      <c r="A1143" s="178"/>
      <c r="B1143" s="179"/>
    </row>
    <row r="1144" spans="1:2" x14ac:dyDescent="0.15">
      <c r="A1144" s="178"/>
      <c r="B1144" s="179"/>
    </row>
    <row r="1145" spans="1:2" x14ac:dyDescent="0.15">
      <c r="A1145" s="178"/>
      <c r="B1145" s="179"/>
    </row>
    <row r="1146" spans="1:2" x14ac:dyDescent="0.15">
      <c r="A1146" s="178"/>
      <c r="B1146" s="179"/>
    </row>
    <row r="1147" spans="1:2" x14ac:dyDescent="0.15">
      <c r="A1147" s="178"/>
      <c r="B1147" s="179"/>
    </row>
    <row r="1148" spans="1:2" x14ac:dyDescent="0.15">
      <c r="A1148" s="178"/>
      <c r="B1148" s="179"/>
    </row>
    <row r="1149" spans="1:2" x14ac:dyDescent="0.15">
      <c r="A1149" s="178"/>
      <c r="B1149" s="179"/>
    </row>
    <row r="1150" spans="1:2" x14ac:dyDescent="0.15">
      <c r="A1150" s="178"/>
      <c r="B1150" s="179"/>
    </row>
    <row r="1151" spans="1:2" x14ac:dyDescent="0.15">
      <c r="A1151" s="178"/>
      <c r="B1151" s="179"/>
    </row>
    <row r="1152" spans="1:2" x14ac:dyDescent="0.15">
      <c r="A1152" s="178"/>
      <c r="B1152" s="179"/>
    </row>
    <row r="1153" spans="1:2" x14ac:dyDescent="0.15">
      <c r="A1153" s="178"/>
      <c r="B1153" s="179"/>
    </row>
    <row r="1154" spans="1:2" x14ac:dyDescent="0.15">
      <c r="A1154" s="178"/>
      <c r="B1154" s="179"/>
    </row>
    <row r="1155" spans="1:2" x14ac:dyDescent="0.15">
      <c r="A1155" s="178"/>
      <c r="B1155" s="179"/>
    </row>
    <row r="1156" spans="1:2" x14ac:dyDescent="0.15">
      <c r="A1156" s="178"/>
      <c r="B1156" s="179"/>
    </row>
    <row r="1157" spans="1:2" x14ac:dyDescent="0.15">
      <c r="A1157" s="178"/>
      <c r="B1157" s="179"/>
    </row>
    <row r="1158" spans="1:2" x14ac:dyDescent="0.15">
      <c r="A1158" s="178"/>
      <c r="B1158" s="179"/>
    </row>
    <row r="1159" spans="1:2" x14ac:dyDescent="0.15">
      <c r="A1159" s="178"/>
      <c r="B1159" s="179"/>
    </row>
    <row r="1160" spans="1:2" x14ac:dyDescent="0.15">
      <c r="A1160" s="178"/>
      <c r="B1160" s="179"/>
    </row>
    <row r="1161" spans="1:2" x14ac:dyDescent="0.15">
      <c r="A1161" s="178"/>
      <c r="B1161" s="179"/>
    </row>
    <row r="1162" spans="1:2" x14ac:dyDescent="0.15">
      <c r="A1162" s="178"/>
      <c r="B1162" s="179"/>
    </row>
    <row r="1163" spans="1:2" x14ac:dyDescent="0.15">
      <c r="A1163" s="178"/>
      <c r="B1163" s="179"/>
    </row>
    <row r="1164" spans="1:2" x14ac:dyDescent="0.15">
      <c r="A1164" s="178"/>
      <c r="B1164" s="179"/>
    </row>
    <row r="1165" spans="1:2" x14ac:dyDescent="0.15">
      <c r="A1165" s="178"/>
      <c r="B1165" s="179"/>
    </row>
    <row r="1166" spans="1:2" x14ac:dyDescent="0.15">
      <c r="A1166" s="178"/>
      <c r="B1166" s="179"/>
    </row>
    <row r="1167" spans="1:2" x14ac:dyDescent="0.15">
      <c r="A1167" s="178"/>
      <c r="B1167" s="179"/>
    </row>
    <row r="1168" spans="1:2" x14ac:dyDescent="0.15">
      <c r="A1168" s="178"/>
      <c r="B1168" s="179"/>
    </row>
    <row r="1169" spans="1:2" x14ac:dyDescent="0.15">
      <c r="A1169" s="178"/>
      <c r="B1169" s="179"/>
    </row>
    <row r="1170" spans="1:2" x14ac:dyDescent="0.15">
      <c r="A1170" s="178"/>
      <c r="B1170" s="179"/>
    </row>
    <row r="1171" spans="1:2" x14ac:dyDescent="0.15">
      <c r="A1171" s="178"/>
      <c r="B1171" s="179"/>
    </row>
    <row r="1172" spans="1:2" x14ac:dyDescent="0.15">
      <c r="A1172" s="178"/>
      <c r="B1172" s="179"/>
    </row>
    <row r="1173" spans="1:2" x14ac:dyDescent="0.15">
      <c r="A1173" s="178"/>
      <c r="B1173" s="179"/>
    </row>
    <row r="1174" spans="1:2" x14ac:dyDescent="0.15">
      <c r="A1174" s="178"/>
      <c r="B1174" s="179"/>
    </row>
    <row r="1175" spans="1:2" x14ac:dyDescent="0.15">
      <c r="A1175" s="178"/>
      <c r="B1175" s="179"/>
    </row>
    <row r="1176" spans="1:2" x14ac:dyDescent="0.15">
      <c r="A1176" s="178"/>
      <c r="B1176" s="179"/>
    </row>
    <row r="1177" spans="1:2" x14ac:dyDescent="0.15">
      <c r="A1177" s="178"/>
      <c r="B1177" s="179"/>
    </row>
    <row r="1178" spans="1:2" x14ac:dyDescent="0.15">
      <c r="A1178" s="178"/>
      <c r="B1178" s="179"/>
    </row>
    <row r="1179" spans="1:2" x14ac:dyDescent="0.15">
      <c r="A1179" s="178"/>
      <c r="B1179" s="179"/>
    </row>
    <row r="1180" spans="1:2" x14ac:dyDescent="0.15">
      <c r="A1180" s="178"/>
      <c r="B1180" s="179"/>
    </row>
    <row r="1181" spans="1:2" x14ac:dyDescent="0.15">
      <c r="A1181" s="178"/>
      <c r="B1181" s="179"/>
    </row>
    <row r="1182" spans="1:2" x14ac:dyDescent="0.15">
      <c r="A1182" s="178"/>
      <c r="B1182" s="179"/>
    </row>
    <row r="1183" spans="1:2" x14ac:dyDescent="0.15">
      <c r="A1183" s="178"/>
      <c r="B1183" s="179"/>
    </row>
    <row r="1184" spans="1:2" x14ac:dyDescent="0.15">
      <c r="A1184" s="178"/>
      <c r="B1184" s="179"/>
    </row>
    <row r="1185" spans="1:2" x14ac:dyDescent="0.15">
      <c r="A1185" s="178"/>
      <c r="B1185" s="179"/>
    </row>
    <row r="1186" spans="1:2" x14ac:dyDescent="0.15">
      <c r="A1186" s="178"/>
      <c r="B1186" s="179"/>
    </row>
    <row r="1187" spans="1:2" x14ac:dyDescent="0.15">
      <c r="A1187" s="178"/>
      <c r="B1187" s="179"/>
    </row>
    <row r="1188" spans="1:2" x14ac:dyDescent="0.15">
      <c r="A1188" s="178"/>
      <c r="B1188" s="179"/>
    </row>
    <row r="1189" spans="1:2" x14ac:dyDescent="0.15">
      <c r="A1189" s="178"/>
      <c r="B1189" s="179"/>
    </row>
    <row r="1190" spans="1:2" x14ac:dyDescent="0.15">
      <c r="A1190" s="178"/>
      <c r="B1190" s="179"/>
    </row>
    <row r="1191" spans="1:2" x14ac:dyDescent="0.15">
      <c r="A1191" s="178"/>
      <c r="B1191" s="179"/>
    </row>
    <row r="1192" spans="1:2" x14ac:dyDescent="0.15">
      <c r="A1192" s="178"/>
      <c r="B1192" s="179"/>
    </row>
    <row r="1193" spans="1:2" x14ac:dyDescent="0.15">
      <c r="A1193" s="178"/>
      <c r="B1193" s="179"/>
    </row>
    <row r="1194" spans="1:2" x14ac:dyDescent="0.15">
      <c r="A1194" s="178"/>
      <c r="B1194" s="179"/>
    </row>
    <row r="1195" spans="1:2" x14ac:dyDescent="0.15">
      <c r="A1195" s="178"/>
      <c r="B1195" s="179"/>
    </row>
    <row r="1196" spans="1:2" x14ac:dyDescent="0.15">
      <c r="A1196" s="178"/>
      <c r="B1196" s="179"/>
    </row>
    <row r="1197" spans="1:2" x14ac:dyDescent="0.15">
      <c r="A1197" s="178"/>
      <c r="B1197" s="179"/>
    </row>
    <row r="1198" spans="1:2" x14ac:dyDescent="0.15">
      <c r="A1198" s="178"/>
      <c r="B1198" s="179"/>
    </row>
    <row r="1199" spans="1:2" x14ac:dyDescent="0.15">
      <c r="A1199" s="178"/>
      <c r="B1199" s="179"/>
    </row>
    <row r="1200" spans="1:2" x14ac:dyDescent="0.15">
      <c r="A1200" s="178"/>
      <c r="B1200" s="179"/>
    </row>
    <row r="1201" spans="1:4" x14ac:dyDescent="0.15">
      <c r="A1201" s="178"/>
      <c r="B1201" s="179"/>
    </row>
    <row r="1202" spans="1:4" x14ac:dyDescent="0.15">
      <c r="A1202" s="178"/>
      <c r="B1202" s="179"/>
    </row>
    <row r="1203" spans="1:4" x14ac:dyDescent="0.15">
      <c r="A1203" s="178"/>
      <c r="B1203" s="179"/>
    </row>
    <row r="1204" spans="1:4" x14ac:dyDescent="0.15">
      <c r="A1204" s="178"/>
      <c r="B1204" s="179"/>
    </row>
    <row r="1205" spans="1:4" x14ac:dyDescent="0.15">
      <c r="A1205" s="178"/>
      <c r="B1205" s="179"/>
      <c r="C1205" s="179"/>
      <c r="D1205" s="179"/>
    </row>
    <row r="1206" spans="1:4" x14ac:dyDescent="0.15">
      <c r="A1206" s="178"/>
      <c r="B1206" s="179"/>
    </row>
    <row r="1207" spans="1:4" x14ac:dyDescent="0.15">
      <c r="A1207" s="178"/>
      <c r="B1207" s="179"/>
    </row>
    <row r="1208" spans="1:4" x14ac:dyDescent="0.15">
      <c r="A1208" s="178"/>
      <c r="B1208" s="179"/>
    </row>
    <row r="1209" spans="1:4" x14ac:dyDescent="0.15">
      <c r="A1209" s="178"/>
      <c r="B1209" s="179"/>
    </row>
    <row r="1210" spans="1:4" x14ac:dyDescent="0.15">
      <c r="A1210" s="178"/>
      <c r="B1210" s="179"/>
    </row>
    <row r="1211" spans="1:4" x14ac:dyDescent="0.15">
      <c r="A1211" s="178"/>
      <c r="B1211" s="179"/>
    </row>
    <row r="1212" spans="1:4" x14ac:dyDescent="0.15">
      <c r="A1212" s="178"/>
      <c r="B1212" s="179"/>
    </row>
    <row r="1213" spans="1:4" x14ac:dyDescent="0.15">
      <c r="A1213" s="178"/>
      <c r="B1213" s="179"/>
    </row>
    <row r="1214" spans="1:4" x14ac:dyDescent="0.15">
      <c r="A1214" s="178"/>
      <c r="B1214" s="179"/>
    </row>
    <row r="1215" spans="1:4" x14ac:dyDescent="0.15">
      <c r="A1215" s="178"/>
      <c r="B1215" s="179"/>
    </row>
    <row r="1216" spans="1:4" x14ac:dyDescent="0.15">
      <c r="A1216" s="178"/>
      <c r="B1216" s="179"/>
    </row>
    <row r="1217" spans="1:2" x14ac:dyDescent="0.15">
      <c r="A1217" s="178"/>
      <c r="B1217" s="179"/>
    </row>
    <row r="1218" spans="1:2" x14ac:dyDescent="0.15">
      <c r="A1218" s="178"/>
      <c r="B1218" s="179"/>
    </row>
    <row r="1219" spans="1:2" x14ac:dyDescent="0.15">
      <c r="A1219" s="178"/>
      <c r="B1219" s="179"/>
    </row>
    <row r="1220" spans="1:2" x14ac:dyDescent="0.15">
      <c r="A1220" s="178"/>
      <c r="B1220" s="179"/>
    </row>
    <row r="1221" spans="1:2" x14ac:dyDescent="0.15">
      <c r="A1221" s="178"/>
      <c r="B1221" s="179"/>
    </row>
    <row r="1222" spans="1:2" x14ac:dyDescent="0.15">
      <c r="A1222" s="178"/>
      <c r="B1222" s="179"/>
    </row>
    <row r="1223" spans="1:2" x14ac:dyDescent="0.15">
      <c r="A1223" s="178"/>
      <c r="B1223" s="179"/>
    </row>
    <row r="1224" spans="1:2" x14ac:dyDescent="0.15">
      <c r="A1224" s="178"/>
      <c r="B1224" s="179"/>
    </row>
    <row r="1225" spans="1:2" x14ac:dyDescent="0.15">
      <c r="A1225" s="178"/>
      <c r="B1225" s="179"/>
    </row>
    <row r="1226" spans="1:2" x14ac:dyDescent="0.15">
      <c r="A1226" s="178"/>
      <c r="B1226" s="179"/>
    </row>
    <row r="1227" spans="1:2" x14ac:dyDescent="0.15">
      <c r="A1227" s="178"/>
      <c r="B1227" s="179"/>
    </row>
    <row r="1228" spans="1:2" x14ac:dyDescent="0.15">
      <c r="A1228" s="178"/>
      <c r="B1228" s="179"/>
    </row>
    <row r="1229" spans="1:2" x14ac:dyDescent="0.15">
      <c r="A1229" s="178"/>
      <c r="B1229" s="179"/>
    </row>
    <row r="1230" spans="1:2" x14ac:dyDescent="0.15">
      <c r="A1230" s="178"/>
      <c r="B1230" s="179"/>
    </row>
    <row r="1231" spans="1:2" x14ac:dyDescent="0.15">
      <c r="A1231" s="178"/>
      <c r="B1231" s="179"/>
    </row>
    <row r="1232" spans="1:2" x14ac:dyDescent="0.15">
      <c r="A1232" s="178"/>
      <c r="B1232" s="179"/>
    </row>
    <row r="1233" spans="1:2" x14ac:dyDescent="0.15">
      <c r="A1233" s="178"/>
      <c r="B1233" s="179"/>
    </row>
    <row r="1234" spans="1:2" x14ac:dyDescent="0.15">
      <c r="A1234" s="178"/>
      <c r="B1234" s="179"/>
    </row>
    <row r="1235" spans="1:2" x14ac:dyDescent="0.15">
      <c r="A1235" s="178"/>
      <c r="B1235" s="179"/>
    </row>
    <row r="1236" spans="1:2" x14ac:dyDescent="0.15">
      <c r="A1236" s="178"/>
      <c r="B1236" s="179"/>
    </row>
    <row r="1237" spans="1:2" x14ac:dyDescent="0.15">
      <c r="A1237" s="178"/>
      <c r="B1237" s="179"/>
    </row>
    <row r="1238" spans="1:2" x14ac:dyDescent="0.15">
      <c r="A1238" s="178"/>
      <c r="B1238" s="179"/>
    </row>
    <row r="1239" spans="1:2" x14ac:dyDescent="0.15">
      <c r="A1239" s="178"/>
      <c r="B1239" s="179"/>
    </row>
    <row r="1240" spans="1:2" x14ac:dyDescent="0.15">
      <c r="A1240" s="178"/>
      <c r="B1240" s="179"/>
    </row>
    <row r="1241" spans="1:2" x14ac:dyDescent="0.15">
      <c r="A1241" s="178"/>
      <c r="B1241" s="179"/>
    </row>
    <row r="1242" spans="1:2" x14ac:dyDescent="0.15">
      <c r="A1242" s="178"/>
      <c r="B1242" s="179"/>
    </row>
    <row r="1243" spans="1:2" x14ac:dyDescent="0.15">
      <c r="A1243" s="178"/>
      <c r="B1243" s="179"/>
    </row>
    <row r="1244" spans="1:2" x14ac:dyDescent="0.15">
      <c r="A1244" s="178"/>
      <c r="B1244" s="179"/>
    </row>
    <row r="1245" spans="1:2" x14ac:dyDescent="0.15">
      <c r="A1245" s="178"/>
      <c r="B1245" s="179"/>
    </row>
    <row r="1246" spans="1:2" x14ac:dyDescent="0.15">
      <c r="A1246" s="178"/>
      <c r="B1246" s="179"/>
    </row>
    <row r="1247" spans="1:2" x14ac:dyDescent="0.15">
      <c r="A1247" s="178"/>
      <c r="B1247" s="179"/>
    </row>
    <row r="1248" spans="1:2" x14ac:dyDescent="0.15">
      <c r="A1248" s="178"/>
      <c r="B1248" s="179"/>
    </row>
    <row r="1249" spans="1:2" x14ac:dyDescent="0.15">
      <c r="A1249" s="178"/>
      <c r="B1249" s="179"/>
    </row>
    <row r="1250" spans="1:2" x14ac:dyDescent="0.15">
      <c r="A1250" s="178"/>
      <c r="B1250" s="179"/>
    </row>
    <row r="1251" spans="1:2" x14ac:dyDescent="0.15">
      <c r="A1251" s="178"/>
      <c r="B1251" s="179"/>
    </row>
    <row r="1252" spans="1:2" x14ac:dyDescent="0.15">
      <c r="A1252" s="178"/>
      <c r="B1252" s="179"/>
    </row>
    <row r="1253" spans="1:2" x14ac:dyDescent="0.15">
      <c r="A1253" s="178"/>
      <c r="B1253" s="179"/>
    </row>
    <row r="1254" spans="1:2" x14ac:dyDescent="0.15">
      <c r="A1254" s="178"/>
      <c r="B1254" s="179"/>
    </row>
    <row r="1255" spans="1:2" x14ac:dyDescent="0.15">
      <c r="A1255" s="178"/>
      <c r="B1255" s="179"/>
    </row>
    <row r="1256" spans="1:2" x14ac:dyDescent="0.15">
      <c r="A1256" s="178"/>
      <c r="B1256" s="179"/>
    </row>
    <row r="1257" spans="1:2" x14ac:dyDescent="0.15">
      <c r="A1257" s="178"/>
      <c r="B1257" s="179"/>
    </row>
    <row r="1258" spans="1:2" x14ac:dyDescent="0.15">
      <c r="A1258" s="178"/>
      <c r="B1258" s="179"/>
    </row>
    <row r="1259" spans="1:2" x14ac:dyDescent="0.15">
      <c r="A1259" s="178"/>
      <c r="B1259" s="179"/>
    </row>
    <row r="1260" spans="1:2" x14ac:dyDescent="0.15">
      <c r="A1260" s="178"/>
      <c r="B1260" s="179"/>
    </row>
    <row r="1261" spans="1:2" x14ac:dyDescent="0.15">
      <c r="A1261" s="178"/>
      <c r="B1261" s="179"/>
    </row>
    <row r="1262" spans="1:2" x14ac:dyDescent="0.15">
      <c r="A1262" s="178"/>
      <c r="B1262" s="179"/>
    </row>
    <row r="1263" spans="1:2" x14ac:dyDescent="0.15">
      <c r="A1263" s="178"/>
      <c r="B1263" s="179"/>
    </row>
    <row r="1264" spans="1:2" x14ac:dyDescent="0.15">
      <c r="A1264" s="178"/>
      <c r="B1264" s="179"/>
    </row>
    <row r="1265" spans="1:2" x14ac:dyDescent="0.15">
      <c r="A1265" s="178"/>
      <c r="B1265" s="179"/>
    </row>
    <row r="1266" spans="1:2" x14ac:dyDescent="0.15">
      <c r="A1266" s="178"/>
      <c r="B1266" s="179"/>
    </row>
    <row r="1267" spans="1:2" x14ac:dyDescent="0.15">
      <c r="A1267" s="178"/>
      <c r="B1267" s="179"/>
    </row>
    <row r="1268" spans="1:2" x14ac:dyDescent="0.15">
      <c r="A1268" s="178"/>
      <c r="B1268" s="179"/>
    </row>
    <row r="1269" spans="1:2" x14ac:dyDescent="0.15">
      <c r="A1269" s="178"/>
      <c r="B1269" s="179"/>
    </row>
    <row r="1270" spans="1:2" x14ac:dyDescent="0.15">
      <c r="A1270" s="178"/>
      <c r="B1270" s="179"/>
    </row>
    <row r="1271" spans="1:2" x14ac:dyDescent="0.15">
      <c r="A1271" s="178"/>
      <c r="B1271" s="179"/>
    </row>
    <row r="1272" spans="1:2" x14ac:dyDescent="0.15">
      <c r="A1272" s="178"/>
      <c r="B1272" s="179"/>
    </row>
    <row r="1273" spans="1:2" x14ac:dyDescent="0.15">
      <c r="A1273" s="178"/>
      <c r="B1273" s="179"/>
    </row>
    <row r="1274" spans="1:2" x14ac:dyDescent="0.15">
      <c r="A1274" s="178"/>
      <c r="B1274" s="179"/>
    </row>
    <row r="1275" spans="1:2" x14ac:dyDescent="0.15">
      <c r="A1275" s="178"/>
      <c r="B1275" s="179"/>
    </row>
    <row r="1276" spans="1:2" x14ac:dyDescent="0.15">
      <c r="A1276" s="178"/>
      <c r="B1276" s="179"/>
    </row>
    <row r="1277" spans="1:2" x14ac:dyDescent="0.15">
      <c r="A1277" s="178"/>
      <c r="B1277" s="179"/>
    </row>
    <row r="1278" spans="1:2" x14ac:dyDescent="0.15">
      <c r="A1278" s="178"/>
      <c r="B1278" s="179"/>
    </row>
    <row r="1279" spans="1:2" x14ac:dyDescent="0.15">
      <c r="A1279" s="178"/>
      <c r="B1279" s="179"/>
    </row>
    <row r="1280" spans="1:2" x14ac:dyDescent="0.15">
      <c r="A1280" s="178"/>
      <c r="B1280" s="179"/>
    </row>
    <row r="1281" spans="1:2" x14ac:dyDescent="0.15">
      <c r="A1281" s="178"/>
      <c r="B1281" s="179"/>
    </row>
    <row r="1282" spans="1:2" x14ac:dyDescent="0.15">
      <c r="A1282" s="178"/>
      <c r="B1282" s="179"/>
    </row>
    <row r="1283" spans="1:2" x14ac:dyDescent="0.15">
      <c r="A1283" s="178"/>
      <c r="B1283" s="179"/>
    </row>
    <row r="1284" spans="1:2" x14ac:dyDescent="0.15">
      <c r="A1284" s="178"/>
      <c r="B1284" s="179"/>
    </row>
    <row r="1285" spans="1:2" x14ac:dyDescent="0.15">
      <c r="A1285" s="178"/>
      <c r="B1285" s="179"/>
    </row>
    <row r="1286" spans="1:2" x14ac:dyDescent="0.15">
      <c r="A1286" s="178"/>
      <c r="B1286" s="179"/>
    </row>
    <row r="1287" spans="1:2" x14ac:dyDescent="0.15">
      <c r="A1287" s="178"/>
      <c r="B1287" s="179"/>
    </row>
    <row r="1288" spans="1:2" x14ac:dyDescent="0.15">
      <c r="A1288" s="178"/>
      <c r="B1288" s="179"/>
    </row>
    <row r="1289" spans="1:2" x14ac:dyDescent="0.15">
      <c r="A1289" s="178"/>
      <c r="B1289" s="179"/>
    </row>
    <row r="1290" spans="1:2" x14ac:dyDescent="0.15">
      <c r="A1290" s="178"/>
      <c r="B1290" s="179"/>
    </row>
    <row r="1291" spans="1:2" x14ac:dyDescent="0.15">
      <c r="A1291" s="178"/>
      <c r="B1291" s="179"/>
    </row>
    <row r="1292" spans="1:2" x14ac:dyDescent="0.15">
      <c r="A1292" s="178"/>
      <c r="B1292" s="179"/>
    </row>
    <row r="1293" spans="1:2" x14ac:dyDescent="0.15">
      <c r="A1293" s="178"/>
      <c r="B1293" s="179"/>
    </row>
    <row r="1294" spans="1:2" x14ac:dyDescent="0.15">
      <c r="A1294" s="178"/>
      <c r="B1294" s="179"/>
    </row>
    <row r="1295" spans="1:2" x14ac:dyDescent="0.15">
      <c r="A1295" s="178"/>
      <c r="B1295" s="179"/>
    </row>
    <row r="1296" spans="1:2" x14ac:dyDescent="0.15">
      <c r="A1296" s="178"/>
      <c r="B1296" s="179"/>
    </row>
    <row r="1297" spans="1:4" x14ac:dyDescent="0.15">
      <c r="A1297" s="178"/>
      <c r="B1297" s="179"/>
    </row>
    <row r="1298" spans="1:4" x14ac:dyDescent="0.15">
      <c r="A1298" s="178"/>
      <c r="B1298" s="179"/>
    </row>
    <row r="1299" spans="1:4" x14ac:dyDescent="0.15">
      <c r="A1299" s="178"/>
      <c r="B1299" s="179"/>
    </row>
    <row r="1300" spans="1:4" x14ac:dyDescent="0.15">
      <c r="A1300" s="178"/>
      <c r="B1300" s="179"/>
    </row>
    <row r="1301" spans="1:4" x14ac:dyDescent="0.15">
      <c r="A1301" s="178"/>
      <c r="B1301" s="179"/>
    </row>
    <row r="1302" spans="1:4" x14ac:dyDescent="0.15">
      <c r="A1302" s="178"/>
      <c r="B1302" s="179"/>
    </row>
    <row r="1303" spans="1:4" x14ac:dyDescent="0.15">
      <c r="A1303" s="178"/>
      <c r="B1303" s="179"/>
    </row>
    <row r="1304" spans="1:4" x14ac:dyDescent="0.15">
      <c r="A1304" s="178"/>
      <c r="B1304" s="179"/>
    </row>
    <row r="1305" spans="1:4" x14ac:dyDescent="0.15">
      <c r="A1305" s="178"/>
      <c r="B1305" s="179"/>
      <c r="C1305" s="179"/>
      <c r="D1305" s="179"/>
    </row>
    <row r="1306" spans="1:4" x14ac:dyDescent="0.15">
      <c r="A1306" s="178"/>
      <c r="B1306" s="179"/>
    </row>
    <row r="1307" spans="1:4" x14ac:dyDescent="0.15">
      <c r="A1307" s="178"/>
      <c r="B1307" s="179"/>
    </row>
    <row r="1308" spans="1:4" x14ac:dyDescent="0.15">
      <c r="A1308" s="178"/>
      <c r="B1308" s="179"/>
    </row>
    <row r="1309" spans="1:4" x14ac:dyDescent="0.15">
      <c r="A1309" s="178"/>
      <c r="B1309" s="179"/>
    </row>
    <row r="1310" spans="1:4" x14ac:dyDescent="0.15">
      <c r="A1310" s="178"/>
      <c r="B1310" s="179"/>
    </row>
    <row r="1311" spans="1:4" x14ac:dyDescent="0.15">
      <c r="A1311" s="178"/>
      <c r="B1311" s="179"/>
    </row>
    <row r="1312" spans="1:4" x14ac:dyDescent="0.15">
      <c r="A1312" s="178"/>
      <c r="B1312" s="179"/>
    </row>
    <row r="1313" spans="1:2" x14ac:dyDescent="0.15">
      <c r="A1313" s="178"/>
      <c r="B1313" s="179"/>
    </row>
    <row r="1314" spans="1:2" x14ac:dyDescent="0.15">
      <c r="A1314" s="178"/>
      <c r="B1314" s="179"/>
    </row>
    <row r="1315" spans="1:2" x14ac:dyDescent="0.15">
      <c r="A1315" s="178"/>
      <c r="B1315" s="179"/>
    </row>
    <row r="1316" spans="1:2" x14ac:dyDescent="0.15">
      <c r="A1316" s="178"/>
      <c r="B1316" s="179"/>
    </row>
    <row r="1317" spans="1:2" x14ac:dyDescent="0.15">
      <c r="A1317" s="178"/>
      <c r="B1317" s="179"/>
    </row>
    <row r="1318" spans="1:2" x14ac:dyDescent="0.15">
      <c r="A1318" s="178"/>
      <c r="B1318" s="179"/>
    </row>
    <row r="1319" spans="1:2" x14ac:dyDescent="0.15">
      <c r="A1319" s="178"/>
      <c r="B1319" s="179"/>
    </row>
    <row r="1320" spans="1:2" x14ac:dyDescent="0.15">
      <c r="A1320" s="178"/>
      <c r="B1320" s="179"/>
    </row>
    <row r="1321" spans="1:2" x14ac:dyDescent="0.15">
      <c r="A1321" s="178"/>
      <c r="B1321" s="179"/>
    </row>
    <row r="1322" spans="1:2" x14ac:dyDescent="0.15">
      <c r="A1322" s="178"/>
      <c r="B1322" s="179"/>
    </row>
    <row r="1323" spans="1:2" x14ac:dyDescent="0.15">
      <c r="A1323" s="178"/>
      <c r="B1323" s="179"/>
    </row>
    <row r="1324" spans="1:2" x14ac:dyDescent="0.15">
      <c r="A1324" s="178"/>
      <c r="B1324" s="179"/>
    </row>
    <row r="1325" spans="1:2" x14ac:dyDescent="0.15">
      <c r="A1325" s="178"/>
      <c r="B1325" s="179"/>
    </row>
    <row r="1326" spans="1:2" x14ac:dyDescent="0.15">
      <c r="A1326" s="178"/>
      <c r="B1326" s="179"/>
    </row>
    <row r="1327" spans="1:2" x14ac:dyDescent="0.15">
      <c r="A1327" s="178"/>
      <c r="B1327" s="179"/>
    </row>
    <row r="1328" spans="1:2" x14ac:dyDescent="0.15">
      <c r="A1328" s="178"/>
      <c r="B1328" s="179"/>
    </row>
    <row r="1329" spans="1:2" x14ac:dyDescent="0.15">
      <c r="A1329" s="178"/>
      <c r="B1329" s="179"/>
    </row>
    <row r="1330" spans="1:2" x14ac:dyDescent="0.15">
      <c r="A1330" s="178"/>
      <c r="B1330" s="179"/>
    </row>
    <row r="1331" spans="1:2" x14ac:dyDescent="0.15">
      <c r="A1331" s="178"/>
      <c r="B1331" s="179"/>
    </row>
    <row r="1332" spans="1:2" x14ac:dyDescent="0.15">
      <c r="A1332" s="178"/>
      <c r="B1332" s="179"/>
    </row>
    <row r="1333" spans="1:2" x14ac:dyDescent="0.15">
      <c r="A1333" s="178"/>
      <c r="B1333" s="179"/>
    </row>
    <row r="1334" spans="1:2" x14ac:dyDescent="0.15">
      <c r="A1334" s="178"/>
      <c r="B1334" s="179"/>
    </row>
    <row r="1335" spans="1:2" x14ac:dyDescent="0.15">
      <c r="A1335" s="178"/>
      <c r="B1335" s="179"/>
    </row>
    <row r="1336" spans="1:2" x14ac:dyDescent="0.15">
      <c r="A1336" s="178"/>
      <c r="B1336" s="179"/>
    </row>
    <row r="1337" spans="1:2" x14ac:dyDescent="0.15">
      <c r="A1337" s="178"/>
      <c r="B1337" s="179"/>
    </row>
    <row r="1338" spans="1:2" x14ac:dyDescent="0.15">
      <c r="A1338" s="178"/>
      <c r="B1338" s="179"/>
    </row>
    <row r="1339" spans="1:2" x14ac:dyDescent="0.15">
      <c r="A1339" s="178"/>
      <c r="B1339" s="179"/>
    </row>
    <row r="1340" spans="1:2" x14ac:dyDescent="0.15">
      <c r="A1340" s="178"/>
      <c r="B1340" s="179"/>
    </row>
    <row r="1341" spans="1:2" x14ac:dyDescent="0.15">
      <c r="A1341" s="178"/>
      <c r="B1341" s="179"/>
    </row>
    <row r="1342" spans="1:2" x14ac:dyDescent="0.15">
      <c r="A1342" s="178"/>
      <c r="B1342" s="179"/>
    </row>
    <row r="1343" spans="1:2" x14ac:dyDescent="0.15">
      <c r="A1343" s="178"/>
      <c r="B1343" s="179"/>
    </row>
    <row r="1344" spans="1:2" x14ac:dyDescent="0.15">
      <c r="A1344" s="178"/>
      <c r="B1344" s="179"/>
    </row>
    <row r="1345" spans="1:2" x14ac:dyDescent="0.15">
      <c r="A1345" s="178"/>
      <c r="B1345" s="179"/>
    </row>
    <row r="1346" spans="1:2" x14ac:dyDescent="0.15">
      <c r="A1346" s="178"/>
      <c r="B1346" s="179"/>
    </row>
    <row r="1347" spans="1:2" x14ac:dyDescent="0.15">
      <c r="A1347" s="178"/>
      <c r="B1347" s="179"/>
    </row>
    <row r="1348" spans="1:2" x14ac:dyDescent="0.15">
      <c r="A1348" s="178"/>
      <c r="B1348" s="179"/>
    </row>
    <row r="1349" spans="1:2" x14ac:dyDescent="0.15">
      <c r="A1349" s="178"/>
      <c r="B1349" s="179"/>
    </row>
    <row r="1350" spans="1:2" x14ac:dyDescent="0.15">
      <c r="A1350" s="178"/>
      <c r="B1350" s="179"/>
    </row>
    <row r="1351" spans="1:2" x14ac:dyDescent="0.15">
      <c r="A1351" s="178"/>
      <c r="B1351" s="179"/>
    </row>
    <row r="1352" spans="1:2" x14ac:dyDescent="0.15">
      <c r="A1352" s="178"/>
      <c r="B1352" s="179"/>
    </row>
    <row r="1353" spans="1:2" x14ac:dyDescent="0.15">
      <c r="A1353" s="178"/>
      <c r="B1353" s="179"/>
    </row>
    <row r="1354" spans="1:2" x14ac:dyDescent="0.15">
      <c r="A1354" s="178"/>
      <c r="B1354" s="179"/>
    </row>
    <row r="1355" spans="1:2" x14ac:dyDescent="0.15">
      <c r="A1355" s="178"/>
      <c r="B1355" s="179"/>
    </row>
    <row r="1356" spans="1:2" x14ac:dyDescent="0.15">
      <c r="A1356" s="178"/>
      <c r="B1356" s="179"/>
    </row>
    <row r="1357" spans="1:2" x14ac:dyDescent="0.15">
      <c r="A1357" s="178"/>
      <c r="B1357" s="179"/>
    </row>
    <row r="1358" spans="1:2" x14ac:dyDescent="0.15">
      <c r="A1358" s="178"/>
      <c r="B1358" s="179"/>
    </row>
    <row r="1359" spans="1:2" x14ac:dyDescent="0.15">
      <c r="A1359" s="178"/>
      <c r="B1359" s="179"/>
    </row>
    <row r="1360" spans="1:2" x14ac:dyDescent="0.15">
      <c r="A1360" s="178"/>
      <c r="B1360" s="179"/>
    </row>
    <row r="1361" spans="1:2" x14ac:dyDescent="0.15">
      <c r="A1361" s="178"/>
      <c r="B1361" s="179"/>
    </row>
    <row r="1362" spans="1:2" x14ac:dyDescent="0.15">
      <c r="A1362" s="178"/>
      <c r="B1362" s="179"/>
    </row>
    <row r="1363" spans="1:2" x14ac:dyDescent="0.15">
      <c r="A1363" s="178"/>
      <c r="B1363" s="179"/>
    </row>
    <row r="1364" spans="1:2" x14ac:dyDescent="0.15">
      <c r="A1364" s="178"/>
      <c r="B1364" s="179"/>
    </row>
    <row r="1365" spans="1:2" x14ac:dyDescent="0.15">
      <c r="A1365" s="178"/>
      <c r="B1365" s="179"/>
    </row>
    <row r="1366" spans="1:2" x14ac:dyDescent="0.15">
      <c r="A1366" s="178"/>
      <c r="B1366" s="179"/>
    </row>
    <row r="1367" spans="1:2" x14ac:dyDescent="0.15">
      <c r="A1367" s="178"/>
      <c r="B1367" s="179"/>
    </row>
    <row r="1368" spans="1:2" x14ac:dyDescent="0.15">
      <c r="A1368" s="178"/>
      <c r="B1368" s="179"/>
    </row>
    <row r="1369" spans="1:2" x14ac:dyDescent="0.15">
      <c r="A1369" s="178"/>
      <c r="B1369" s="179"/>
    </row>
    <row r="1370" spans="1:2" x14ac:dyDescent="0.15">
      <c r="A1370" s="178"/>
      <c r="B1370" s="179"/>
    </row>
    <row r="1371" spans="1:2" x14ac:dyDescent="0.15">
      <c r="A1371" s="178"/>
      <c r="B1371" s="179"/>
    </row>
    <row r="1372" spans="1:2" x14ac:dyDescent="0.15">
      <c r="A1372" s="178"/>
      <c r="B1372" s="179"/>
    </row>
    <row r="1373" spans="1:2" x14ac:dyDescent="0.15">
      <c r="A1373" s="178"/>
      <c r="B1373" s="179"/>
    </row>
    <row r="1374" spans="1:2" x14ac:dyDescent="0.15">
      <c r="A1374" s="178"/>
      <c r="B1374" s="179"/>
    </row>
    <row r="1375" spans="1:2" x14ac:dyDescent="0.15">
      <c r="A1375" s="178"/>
      <c r="B1375" s="179"/>
    </row>
    <row r="1376" spans="1:2" x14ac:dyDescent="0.15">
      <c r="A1376" s="178"/>
      <c r="B1376" s="179"/>
    </row>
    <row r="1377" spans="1:2" x14ac:dyDescent="0.15">
      <c r="A1377" s="178"/>
      <c r="B1377" s="179"/>
    </row>
    <row r="1378" spans="1:2" x14ac:dyDescent="0.15">
      <c r="A1378" s="178"/>
      <c r="B1378" s="179"/>
    </row>
    <row r="1379" spans="1:2" x14ac:dyDescent="0.15">
      <c r="A1379" s="178"/>
      <c r="B1379" s="179"/>
    </row>
    <row r="1380" spans="1:2" x14ac:dyDescent="0.15">
      <c r="A1380" s="178"/>
      <c r="B1380" s="179"/>
    </row>
    <row r="1381" spans="1:2" x14ac:dyDescent="0.15">
      <c r="A1381" s="178"/>
      <c r="B1381" s="179"/>
    </row>
    <row r="1382" spans="1:2" x14ac:dyDescent="0.15">
      <c r="A1382" s="178"/>
      <c r="B1382" s="179"/>
    </row>
    <row r="1383" spans="1:2" x14ac:dyDescent="0.15">
      <c r="A1383" s="178"/>
      <c r="B1383" s="179"/>
    </row>
    <row r="1384" spans="1:2" x14ac:dyDescent="0.15">
      <c r="A1384" s="178"/>
      <c r="B1384" s="179"/>
    </row>
    <row r="1385" spans="1:2" x14ac:dyDescent="0.15">
      <c r="A1385" s="178"/>
      <c r="B1385" s="179"/>
    </row>
    <row r="1386" spans="1:2" x14ac:dyDescent="0.15">
      <c r="A1386" s="178"/>
      <c r="B1386" s="179"/>
    </row>
    <row r="1387" spans="1:2" x14ac:dyDescent="0.15">
      <c r="A1387" s="178"/>
      <c r="B1387" s="179"/>
    </row>
    <row r="1388" spans="1:2" x14ac:dyDescent="0.15">
      <c r="A1388" s="178"/>
      <c r="B1388" s="179"/>
    </row>
    <row r="1389" spans="1:2" x14ac:dyDescent="0.15">
      <c r="A1389" s="178"/>
      <c r="B1389" s="179"/>
    </row>
    <row r="1390" spans="1:2" x14ac:dyDescent="0.15">
      <c r="A1390" s="178"/>
      <c r="B1390" s="179"/>
    </row>
    <row r="1391" spans="1:2" x14ac:dyDescent="0.15">
      <c r="A1391" s="178"/>
      <c r="B1391" s="179"/>
    </row>
    <row r="1392" spans="1:2" x14ac:dyDescent="0.15">
      <c r="A1392" s="178"/>
      <c r="B1392" s="179"/>
    </row>
    <row r="1393" spans="1:4" x14ac:dyDescent="0.15">
      <c r="A1393" s="178"/>
      <c r="B1393" s="179"/>
    </row>
    <row r="1394" spans="1:4" x14ac:dyDescent="0.15">
      <c r="A1394" s="178"/>
      <c r="B1394" s="179"/>
    </row>
    <row r="1395" spans="1:4" x14ac:dyDescent="0.15">
      <c r="A1395" s="178"/>
      <c r="B1395" s="179"/>
    </row>
    <row r="1396" spans="1:4" x14ac:dyDescent="0.15">
      <c r="A1396" s="178"/>
      <c r="B1396" s="179"/>
    </row>
    <row r="1397" spans="1:4" x14ac:dyDescent="0.15">
      <c r="A1397" s="178"/>
      <c r="B1397" s="179"/>
    </row>
    <row r="1398" spans="1:4" x14ac:dyDescent="0.15">
      <c r="A1398" s="178"/>
      <c r="B1398" s="179"/>
    </row>
    <row r="1399" spans="1:4" x14ac:dyDescent="0.15">
      <c r="A1399" s="178"/>
      <c r="B1399" s="179"/>
    </row>
    <row r="1400" spans="1:4" x14ac:dyDescent="0.15">
      <c r="A1400" s="178"/>
      <c r="B1400" s="179"/>
    </row>
    <row r="1401" spans="1:4" x14ac:dyDescent="0.15">
      <c r="A1401" s="178"/>
      <c r="B1401" s="179"/>
    </row>
    <row r="1402" spans="1:4" x14ac:dyDescent="0.15">
      <c r="A1402" s="178"/>
      <c r="B1402" s="179"/>
    </row>
    <row r="1403" spans="1:4" x14ac:dyDescent="0.15">
      <c r="A1403" s="178"/>
      <c r="B1403" s="179"/>
    </row>
    <row r="1404" spans="1:4" x14ac:dyDescent="0.15">
      <c r="A1404" s="178"/>
      <c r="B1404" s="179"/>
    </row>
    <row r="1405" spans="1:4" x14ac:dyDescent="0.15">
      <c r="A1405" s="178"/>
      <c r="B1405" s="179"/>
      <c r="C1405" s="179"/>
      <c r="D1405" s="179"/>
    </row>
    <row r="1406" spans="1:4" x14ac:dyDescent="0.15">
      <c r="A1406" s="178"/>
      <c r="B1406" s="179"/>
    </row>
    <row r="1407" spans="1:4" x14ac:dyDescent="0.15">
      <c r="A1407" s="178"/>
      <c r="B1407" s="179"/>
    </row>
    <row r="1408" spans="1:4" x14ac:dyDescent="0.15">
      <c r="A1408" s="178"/>
      <c r="B1408" s="179"/>
    </row>
    <row r="1409" spans="1:2" x14ac:dyDescent="0.15">
      <c r="A1409" s="178"/>
      <c r="B1409" s="179"/>
    </row>
    <row r="1410" spans="1:2" x14ac:dyDescent="0.15">
      <c r="A1410" s="178"/>
      <c r="B1410" s="179"/>
    </row>
    <row r="1411" spans="1:2" x14ac:dyDescent="0.15">
      <c r="A1411" s="178"/>
      <c r="B1411" s="179"/>
    </row>
    <row r="1412" spans="1:2" x14ac:dyDescent="0.15">
      <c r="A1412" s="178"/>
      <c r="B1412" s="179"/>
    </row>
    <row r="1413" spans="1:2" x14ac:dyDescent="0.15">
      <c r="A1413" s="178"/>
      <c r="B1413" s="179"/>
    </row>
    <row r="1414" spans="1:2" x14ac:dyDescent="0.15">
      <c r="A1414" s="178"/>
      <c r="B1414" s="179"/>
    </row>
    <row r="1415" spans="1:2" x14ac:dyDescent="0.15">
      <c r="A1415" s="178"/>
      <c r="B1415" s="179"/>
    </row>
    <row r="1416" spans="1:2" x14ac:dyDescent="0.15">
      <c r="A1416" s="178"/>
      <c r="B1416" s="179"/>
    </row>
    <row r="1417" spans="1:2" x14ac:dyDescent="0.15">
      <c r="A1417" s="178"/>
      <c r="B1417" s="179"/>
    </row>
    <row r="1418" spans="1:2" x14ac:dyDescent="0.15">
      <c r="A1418" s="178"/>
      <c r="B1418" s="179"/>
    </row>
    <row r="1419" spans="1:2" x14ac:dyDescent="0.15">
      <c r="A1419" s="178"/>
      <c r="B1419" s="179"/>
    </row>
    <row r="1420" spans="1:2" x14ac:dyDescent="0.15">
      <c r="A1420" s="178"/>
      <c r="B1420" s="179"/>
    </row>
    <row r="1421" spans="1:2" x14ac:dyDescent="0.15">
      <c r="A1421" s="178"/>
      <c r="B1421" s="179"/>
    </row>
    <row r="1422" spans="1:2" x14ac:dyDescent="0.15">
      <c r="A1422" s="178"/>
      <c r="B1422" s="179"/>
    </row>
    <row r="1423" spans="1:2" x14ac:dyDescent="0.15">
      <c r="A1423" s="178"/>
      <c r="B1423" s="179"/>
    </row>
    <row r="1424" spans="1:2" x14ac:dyDescent="0.15">
      <c r="A1424" s="178"/>
      <c r="B1424" s="179"/>
    </row>
    <row r="1425" spans="1:2" x14ac:dyDescent="0.15">
      <c r="A1425" s="178"/>
      <c r="B1425" s="179"/>
    </row>
    <row r="1426" spans="1:2" x14ac:dyDescent="0.15">
      <c r="A1426" s="178"/>
      <c r="B1426" s="179"/>
    </row>
    <row r="1427" spans="1:2" x14ac:dyDescent="0.15">
      <c r="A1427" s="178"/>
      <c r="B1427" s="179"/>
    </row>
    <row r="1428" spans="1:2" x14ac:dyDescent="0.15">
      <c r="A1428" s="178"/>
      <c r="B1428" s="179"/>
    </row>
    <row r="1429" spans="1:2" x14ac:dyDescent="0.15">
      <c r="A1429" s="178"/>
      <c r="B1429" s="179"/>
    </row>
    <row r="1430" spans="1:2" x14ac:dyDescent="0.15">
      <c r="A1430" s="178"/>
      <c r="B1430" s="179"/>
    </row>
    <row r="1431" spans="1:2" x14ac:dyDescent="0.15">
      <c r="A1431" s="178"/>
      <c r="B1431" s="179"/>
    </row>
    <row r="1432" spans="1:2" x14ac:dyDescent="0.15">
      <c r="A1432" s="178"/>
      <c r="B1432" s="179"/>
    </row>
    <row r="1433" spans="1:2" x14ac:dyDescent="0.15">
      <c r="A1433" s="178"/>
      <c r="B1433" s="179"/>
    </row>
    <row r="1434" spans="1:2" x14ac:dyDescent="0.15">
      <c r="A1434" s="178"/>
      <c r="B1434" s="179"/>
    </row>
    <row r="1435" spans="1:2" x14ac:dyDescent="0.15">
      <c r="A1435" s="178"/>
      <c r="B1435" s="179"/>
    </row>
    <row r="1436" spans="1:2" x14ac:dyDescent="0.15">
      <c r="A1436" s="178"/>
      <c r="B1436" s="179"/>
    </row>
    <row r="1437" spans="1:2" x14ac:dyDescent="0.15">
      <c r="A1437" s="178"/>
      <c r="B1437" s="179"/>
    </row>
    <row r="1438" spans="1:2" x14ac:dyDescent="0.15">
      <c r="A1438" s="178"/>
      <c r="B1438" s="179"/>
    </row>
    <row r="1439" spans="1:2" x14ac:dyDescent="0.15">
      <c r="A1439" s="178"/>
      <c r="B1439" s="179"/>
    </row>
    <row r="1440" spans="1:2" x14ac:dyDescent="0.15">
      <c r="A1440" s="178"/>
      <c r="B1440" s="179"/>
    </row>
    <row r="1441" spans="1:2" x14ac:dyDescent="0.15">
      <c r="A1441" s="178"/>
      <c r="B1441" s="179"/>
    </row>
    <row r="1442" spans="1:2" x14ac:dyDescent="0.15">
      <c r="A1442" s="178"/>
      <c r="B1442" s="179"/>
    </row>
    <row r="1443" spans="1:2" x14ac:dyDescent="0.15">
      <c r="A1443" s="178"/>
      <c r="B1443" s="179"/>
    </row>
    <row r="1444" spans="1:2" x14ac:dyDescent="0.15">
      <c r="A1444" s="178"/>
      <c r="B1444" s="179"/>
    </row>
    <row r="1445" spans="1:2" x14ac:dyDescent="0.15">
      <c r="A1445" s="178"/>
      <c r="B1445" s="179"/>
    </row>
    <row r="1446" spans="1:2" x14ac:dyDescent="0.15">
      <c r="A1446" s="178"/>
      <c r="B1446" s="179"/>
    </row>
    <row r="1447" spans="1:2" x14ac:dyDescent="0.15">
      <c r="A1447" s="178"/>
      <c r="B1447" s="179"/>
    </row>
    <row r="1448" spans="1:2" x14ac:dyDescent="0.15">
      <c r="A1448" s="178"/>
      <c r="B1448" s="179"/>
    </row>
    <row r="1449" spans="1:2" x14ac:dyDescent="0.15">
      <c r="A1449" s="178"/>
      <c r="B1449" s="179"/>
    </row>
    <row r="1450" spans="1:2" x14ac:dyDescent="0.15">
      <c r="A1450" s="178"/>
      <c r="B1450" s="179"/>
    </row>
    <row r="1451" spans="1:2" x14ac:dyDescent="0.15">
      <c r="A1451" s="178"/>
      <c r="B1451" s="179"/>
    </row>
    <row r="1452" spans="1:2" x14ac:dyDescent="0.15">
      <c r="A1452" s="178"/>
      <c r="B1452" s="179"/>
    </row>
    <row r="1453" spans="1:2" x14ac:dyDescent="0.15">
      <c r="A1453" s="178"/>
      <c r="B1453" s="179"/>
    </row>
    <row r="1454" spans="1:2" x14ac:dyDescent="0.15">
      <c r="A1454" s="178"/>
      <c r="B1454" s="179"/>
    </row>
    <row r="1455" spans="1:2" x14ac:dyDescent="0.15">
      <c r="A1455" s="178"/>
      <c r="B1455" s="179"/>
    </row>
    <row r="1456" spans="1:2" x14ac:dyDescent="0.15">
      <c r="A1456" s="178"/>
      <c r="B1456" s="179"/>
    </row>
    <row r="1457" spans="1:2" x14ac:dyDescent="0.15">
      <c r="A1457" s="178"/>
      <c r="B1457" s="179"/>
    </row>
    <row r="1458" spans="1:2" x14ac:dyDescent="0.15">
      <c r="A1458" s="178"/>
      <c r="B1458" s="179"/>
    </row>
    <row r="1459" spans="1:2" x14ac:dyDescent="0.15">
      <c r="A1459" s="178"/>
      <c r="B1459" s="179"/>
    </row>
    <row r="1460" spans="1:2" x14ac:dyDescent="0.15">
      <c r="A1460" s="178"/>
      <c r="B1460" s="179"/>
    </row>
    <row r="1461" spans="1:2" x14ac:dyDescent="0.15">
      <c r="A1461" s="178"/>
      <c r="B1461" s="179"/>
    </row>
    <row r="1462" spans="1:2" x14ac:dyDescent="0.15">
      <c r="A1462" s="178"/>
      <c r="B1462" s="179"/>
    </row>
    <row r="1463" spans="1:2" x14ac:dyDescent="0.15">
      <c r="A1463" s="178"/>
      <c r="B1463" s="179"/>
    </row>
    <row r="1464" spans="1:2" x14ac:dyDescent="0.15">
      <c r="A1464" s="178"/>
      <c r="B1464" s="179"/>
    </row>
    <row r="1465" spans="1:2" x14ac:dyDescent="0.15">
      <c r="A1465" s="178"/>
      <c r="B1465" s="179"/>
    </row>
    <row r="1466" spans="1:2" x14ac:dyDescent="0.15">
      <c r="A1466" s="178"/>
      <c r="B1466" s="179"/>
    </row>
    <row r="1467" spans="1:2" x14ac:dyDescent="0.15">
      <c r="A1467" s="178"/>
      <c r="B1467" s="179"/>
    </row>
    <row r="1468" spans="1:2" x14ac:dyDescent="0.15">
      <c r="A1468" s="178"/>
      <c r="B1468" s="179"/>
    </row>
    <row r="1469" spans="1:2" x14ac:dyDescent="0.15">
      <c r="A1469" s="178"/>
      <c r="B1469" s="179"/>
    </row>
    <row r="1470" spans="1:2" x14ac:dyDescent="0.15">
      <c r="A1470" s="178"/>
      <c r="B1470" s="179"/>
    </row>
    <row r="1471" spans="1:2" x14ac:dyDescent="0.15">
      <c r="A1471" s="178"/>
      <c r="B1471" s="179"/>
    </row>
    <row r="1472" spans="1:2" x14ac:dyDescent="0.15">
      <c r="A1472" s="178"/>
      <c r="B1472" s="179"/>
    </row>
    <row r="1473" spans="1:2" x14ac:dyDescent="0.15">
      <c r="A1473" s="178"/>
      <c r="B1473" s="179"/>
    </row>
    <row r="1474" spans="1:2" x14ac:dyDescent="0.15">
      <c r="A1474" s="178"/>
      <c r="B1474" s="179"/>
    </row>
    <row r="1475" spans="1:2" x14ac:dyDescent="0.15">
      <c r="A1475" s="178"/>
      <c r="B1475" s="179"/>
    </row>
    <row r="1476" spans="1:2" x14ac:dyDescent="0.15">
      <c r="A1476" s="178"/>
      <c r="B1476" s="179"/>
    </row>
    <row r="1477" spans="1:2" x14ac:dyDescent="0.15">
      <c r="A1477" s="178"/>
      <c r="B1477" s="179"/>
    </row>
    <row r="1478" spans="1:2" x14ac:dyDescent="0.15">
      <c r="A1478" s="178"/>
      <c r="B1478" s="179"/>
    </row>
    <row r="1479" spans="1:2" x14ac:dyDescent="0.15">
      <c r="A1479" s="178"/>
      <c r="B1479" s="179"/>
    </row>
    <row r="1480" spans="1:2" x14ac:dyDescent="0.15">
      <c r="A1480" s="178"/>
      <c r="B1480" s="179"/>
    </row>
    <row r="1481" spans="1:2" x14ac:dyDescent="0.15">
      <c r="A1481" s="178"/>
      <c r="B1481" s="179"/>
    </row>
    <row r="1482" spans="1:2" x14ac:dyDescent="0.15">
      <c r="A1482" s="178"/>
      <c r="B1482" s="179"/>
    </row>
    <row r="1483" spans="1:2" x14ac:dyDescent="0.15">
      <c r="A1483" s="178"/>
      <c r="B1483" s="179"/>
    </row>
    <row r="1484" spans="1:2" x14ac:dyDescent="0.15">
      <c r="A1484" s="178"/>
      <c r="B1484" s="179"/>
    </row>
    <row r="1485" spans="1:2" x14ac:dyDescent="0.15">
      <c r="A1485" s="178"/>
      <c r="B1485" s="179"/>
    </row>
    <row r="1486" spans="1:2" x14ac:dyDescent="0.15">
      <c r="A1486" s="178"/>
      <c r="B1486" s="179"/>
    </row>
    <row r="1487" spans="1:2" x14ac:dyDescent="0.15">
      <c r="A1487" s="178"/>
      <c r="B1487" s="179"/>
    </row>
    <row r="1488" spans="1:2" x14ac:dyDescent="0.15">
      <c r="A1488" s="178"/>
      <c r="B1488" s="179"/>
    </row>
    <row r="1489" spans="1:2" x14ac:dyDescent="0.15">
      <c r="A1489" s="178"/>
      <c r="B1489" s="179"/>
    </row>
    <row r="1490" spans="1:2" x14ac:dyDescent="0.15">
      <c r="A1490" s="178"/>
      <c r="B1490" s="179"/>
    </row>
    <row r="1491" spans="1:2" x14ac:dyDescent="0.15">
      <c r="A1491" s="178"/>
      <c r="B1491" s="179"/>
    </row>
    <row r="1492" spans="1:2" x14ac:dyDescent="0.15">
      <c r="A1492" s="178"/>
      <c r="B1492" s="179"/>
    </row>
    <row r="1493" spans="1:2" x14ac:dyDescent="0.15">
      <c r="A1493" s="178"/>
      <c r="B1493" s="179"/>
    </row>
    <row r="1494" spans="1:2" x14ac:dyDescent="0.15">
      <c r="A1494" s="178"/>
      <c r="B1494" s="179"/>
    </row>
    <row r="1495" spans="1:2" x14ac:dyDescent="0.15">
      <c r="A1495" s="178"/>
      <c r="B1495" s="179"/>
    </row>
    <row r="1496" spans="1:2" x14ac:dyDescent="0.15">
      <c r="A1496" s="178"/>
      <c r="B1496" s="179"/>
    </row>
    <row r="1497" spans="1:2" x14ac:dyDescent="0.15">
      <c r="A1497" s="178"/>
      <c r="B1497" s="179"/>
    </row>
    <row r="1498" spans="1:2" x14ac:dyDescent="0.15">
      <c r="A1498" s="178"/>
      <c r="B1498" s="179"/>
    </row>
    <row r="1499" spans="1:2" x14ac:dyDescent="0.15">
      <c r="A1499" s="178"/>
      <c r="B1499" s="179"/>
    </row>
    <row r="1500" spans="1:2" x14ac:dyDescent="0.15">
      <c r="A1500" s="178"/>
      <c r="B1500" s="179"/>
    </row>
    <row r="1501" spans="1:2" x14ac:dyDescent="0.15">
      <c r="A1501" s="178"/>
      <c r="B1501" s="179"/>
    </row>
    <row r="1502" spans="1:2" x14ac:dyDescent="0.15">
      <c r="A1502" s="178"/>
      <c r="B1502" s="179"/>
    </row>
    <row r="1503" spans="1:2" x14ac:dyDescent="0.15">
      <c r="A1503" s="178"/>
      <c r="B1503" s="179"/>
    </row>
    <row r="1504" spans="1:2" x14ac:dyDescent="0.15">
      <c r="A1504" s="178"/>
      <c r="B1504" s="179"/>
    </row>
    <row r="1505" spans="1:4" x14ac:dyDescent="0.15">
      <c r="A1505" s="178"/>
      <c r="B1505" s="179"/>
      <c r="C1505" s="179"/>
      <c r="D1505" s="179"/>
    </row>
    <row r="1506" spans="1:4" x14ac:dyDescent="0.15">
      <c r="A1506" s="178"/>
      <c r="B1506" s="179"/>
    </row>
    <row r="1507" spans="1:4" x14ac:dyDescent="0.15">
      <c r="A1507" s="178"/>
      <c r="B1507" s="179"/>
    </row>
    <row r="1508" spans="1:4" x14ac:dyDescent="0.15">
      <c r="A1508" s="178"/>
      <c r="B1508" s="179"/>
    </row>
    <row r="1509" spans="1:4" x14ac:dyDescent="0.15">
      <c r="A1509" s="178"/>
      <c r="B1509" s="179"/>
    </row>
    <row r="1510" spans="1:4" x14ac:dyDescent="0.15">
      <c r="A1510" s="178"/>
      <c r="B1510" s="179"/>
    </row>
    <row r="1511" spans="1:4" x14ac:dyDescent="0.15">
      <c r="A1511" s="178"/>
      <c r="B1511" s="179"/>
    </row>
    <row r="1512" spans="1:4" x14ac:dyDescent="0.15">
      <c r="A1512" s="178"/>
      <c r="B1512" s="179"/>
    </row>
    <row r="1513" spans="1:4" x14ac:dyDescent="0.15">
      <c r="A1513" s="178"/>
      <c r="B1513" s="179"/>
    </row>
    <row r="1514" spans="1:4" x14ac:dyDescent="0.15">
      <c r="A1514" s="178"/>
      <c r="B1514" s="179"/>
    </row>
    <row r="1515" spans="1:4" x14ac:dyDescent="0.15">
      <c r="A1515" s="178"/>
      <c r="B1515" s="179"/>
    </row>
    <row r="1516" spans="1:4" x14ac:dyDescent="0.15">
      <c r="A1516" s="178"/>
      <c r="B1516" s="179"/>
    </row>
    <row r="1517" spans="1:4" x14ac:dyDescent="0.15">
      <c r="A1517" s="178"/>
      <c r="B1517" s="179"/>
    </row>
    <row r="1518" spans="1:4" x14ac:dyDescent="0.15">
      <c r="A1518" s="178"/>
      <c r="B1518" s="179"/>
    </row>
    <row r="1519" spans="1:4" x14ac:dyDescent="0.15">
      <c r="A1519" s="178"/>
      <c r="B1519" s="179"/>
    </row>
    <row r="1520" spans="1:4" x14ac:dyDescent="0.15">
      <c r="A1520" s="178"/>
      <c r="B1520" s="179"/>
    </row>
    <row r="1521" spans="1:2" x14ac:dyDescent="0.15">
      <c r="A1521" s="178"/>
      <c r="B1521" s="179"/>
    </row>
    <row r="1522" spans="1:2" x14ac:dyDescent="0.15">
      <c r="A1522" s="178"/>
      <c r="B1522" s="179"/>
    </row>
    <row r="1523" spans="1:2" x14ac:dyDescent="0.15">
      <c r="A1523" s="178"/>
      <c r="B1523" s="179"/>
    </row>
    <row r="1524" spans="1:2" x14ac:dyDescent="0.15">
      <c r="A1524" s="178"/>
      <c r="B1524" s="179"/>
    </row>
    <row r="1525" spans="1:2" x14ac:dyDescent="0.15">
      <c r="A1525" s="178"/>
      <c r="B1525" s="179"/>
    </row>
    <row r="1526" spans="1:2" x14ac:dyDescent="0.15">
      <c r="A1526" s="178"/>
      <c r="B1526" s="179"/>
    </row>
    <row r="1527" spans="1:2" x14ac:dyDescent="0.15">
      <c r="A1527" s="178"/>
      <c r="B1527" s="179"/>
    </row>
    <row r="1528" spans="1:2" x14ac:dyDescent="0.15">
      <c r="A1528" s="178"/>
      <c r="B1528" s="179"/>
    </row>
    <row r="1529" spans="1:2" x14ac:dyDescent="0.15">
      <c r="A1529" s="178"/>
      <c r="B1529" s="179"/>
    </row>
    <row r="1530" spans="1:2" x14ac:dyDescent="0.15">
      <c r="A1530" s="178"/>
      <c r="B1530" s="179"/>
    </row>
    <row r="1531" spans="1:2" x14ac:dyDescent="0.15">
      <c r="A1531" s="178"/>
      <c r="B1531" s="179"/>
    </row>
    <row r="1532" spans="1:2" x14ac:dyDescent="0.15">
      <c r="A1532" s="178"/>
      <c r="B1532" s="179"/>
    </row>
    <row r="1533" spans="1:2" x14ac:dyDescent="0.15">
      <c r="A1533" s="178"/>
      <c r="B1533" s="179"/>
    </row>
    <row r="1534" spans="1:2" x14ac:dyDescent="0.15">
      <c r="A1534" s="178"/>
      <c r="B1534" s="179"/>
    </row>
    <row r="1535" spans="1:2" x14ac:dyDescent="0.15">
      <c r="A1535" s="178"/>
      <c r="B1535" s="179"/>
    </row>
    <row r="1536" spans="1:2" x14ac:dyDescent="0.15">
      <c r="A1536" s="178"/>
      <c r="B1536" s="179"/>
    </row>
    <row r="1537" spans="1:2" x14ac:dyDescent="0.15">
      <c r="A1537" s="178"/>
      <c r="B1537" s="179"/>
    </row>
    <row r="1538" spans="1:2" x14ac:dyDescent="0.15">
      <c r="A1538" s="178"/>
      <c r="B1538" s="179"/>
    </row>
    <row r="1539" spans="1:2" x14ac:dyDescent="0.15">
      <c r="A1539" s="178"/>
      <c r="B1539" s="179"/>
    </row>
    <row r="1540" spans="1:2" x14ac:dyDescent="0.15">
      <c r="A1540" s="178"/>
      <c r="B1540" s="179"/>
    </row>
    <row r="1541" spans="1:2" x14ac:dyDescent="0.15">
      <c r="A1541" s="178"/>
      <c r="B1541" s="179"/>
    </row>
    <row r="1542" spans="1:2" x14ac:dyDescent="0.15">
      <c r="A1542" s="178"/>
      <c r="B1542" s="179"/>
    </row>
    <row r="1543" spans="1:2" x14ac:dyDescent="0.15">
      <c r="A1543" s="178"/>
      <c r="B1543" s="179"/>
    </row>
    <row r="1544" spans="1:2" x14ac:dyDescent="0.15">
      <c r="A1544" s="178"/>
      <c r="B1544" s="179"/>
    </row>
    <row r="1545" spans="1:2" x14ac:dyDescent="0.15">
      <c r="A1545" s="178"/>
      <c r="B1545" s="179"/>
    </row>
    <row r="1546" spans="1:2" x14ac:dyDescent="0.15">
      <c r="A1546" s="178"/>
      <c r="B1546" s="179"/>
    </row>
    <row r="1547" spans="1:2" x14ac:dyDescent="0.15">
      <c r="A1547" s="178"/>
      <c r="B1547" s="179"/>
    </row>
    <row r="1548" spans="1:2" x14ac:dyDescent="0.15">
      <c r="A1548" s="178"/>
      <c r="B1548" s="179"/>
    </row>
    <row r="1549" spans="1:2" x14ac:dyDescent="0.15">
      <c r="A1549" s="178"/>
      <c r="B1549" s="179"/>
    </row>
    <row r="1550" spans="1:2" x14ac:dyDescent="0.15">
      <c r="A1550" s="178"/>
      <c r="B1550" s="179"/>
    </row>
    <row r="1551" spans="1:2" x14ac:dyDescent="0.15">
      <c r="A1551" s="178"/>
      <c r="B1551" s="179"/>
    </row>
    <row r="1552" spans="1:2" x14ac:dyDescent="0.15">
      <c r="A1552" s="178"/>
      <c r="B1552" s="179"/>
    </row>
    <row r="1553" spans="1:2" x14ac:dyDescent="0.15">
      <c r="A1553" s="178"/>
      <c r="B1553" s="179"/>
    </row>
    <row r="1554" spans="1:2" x14ac:dyDescent="0.15">
      <c r="A1554" s="178"/>
      <c r="B1554" s="179"/>
    </row>
    <row r="1555" spans="1:2" x14ac:dyDescent="0.15">
      <c r="A1555" s="178"/>
      <c r="B1555" s="179"/>
    </row>
    <row r="1556" spans="1:2" x14ac:dyDescent="0.15">
      <c r="A1556" s="178"/>
      <c r="B1556" s="179"/>
    </row>
    <row r="1557" spans="1:2" x14ac:dyDescent="0.15">
      <c r="A1557" s="178"/>
      <c r="B1557" s="179"/>
    </row>
    <row r="1558" spans="1:2" x14ac:dyDescent="0.15">
      <c r="A1558" s="178"/>
      <c r="B1558" s="179"/>
    </row>
    <row r="1559" spans="1:2" x14ac:dyDescent="0.15">
      <c r="A1559" s="178"/>
      <c r="B1559" s="179"/>
    </row>
    <row r="1560" spans="1:2" x14ac:dyDescent="0.15">
      <c r="A1560" s="178"/>
      <c r="B1560" s="179"/>
    </row>
    <row r="1561" spans="1:2" x14ac:dyDescent="0.15">
      <c r="A1561" s="178"/>
      <c r="B1561" s="179"/>
    </row>
    <row r="1562" spans="1:2" x14ac:dyDescent="0.15">
      <c r="A1562" s="178"/>
      <c r="B1562" s="179"/>
    </row>
    <row r="1563" spans="1:2" x14ac:dyDescent="0.15">
      <c r="A1563" s="178"/>
      <c r="B1563" s="179"/>
    </row>
    <row r="1564" spans="1:2" x14ac:dyDescent="0.15">
      <c r="A1564" s="178"/>
      <c r="B1564" s="179"/>
    </row>
    <row r="1565" spans="1:2" x14ac:dyDescent="0.15">
      <c r="A1565" s="178"/>
      <c r="B1565" s="179"/>
    </row>
    <row r="1566" spans="1:2" x14ac:dyDescent="0.15">
      <c r="A1566" s="178"/>
      <c r="B1566" s="179"/>
    </row>
    <row r="1567" spans="1:2" x14ac:dyDescent="0.15">
      <c r="A1567" s="178"/>
      <c r="B1567" s="179"/>
    </row>
    <row r="1568" spans="1:2" x14ac:dyDescent="0.15">
      <c r="A1568" s="178"/>
      <c r="B1568" s="179"/>
    </row>
    <row r="1569" spans="1:2" x14ac:dyDescent="0.15">
      <c r="A1569" s="178"/>
      <c r="B1569" s="179"/>
    </row>
    <row r="1570" spans="1:2" x14ac:dyDescent="0.15">
      <c r="A1570" s="178"/>
      <c r="B1570" s="179"/>
    </row>
    <row r="1571" spans="1:2" x14ac:dyDescent="0.15">
      <c r="A1571" s="178"/>
      <c r="B1571" s="179"/>
    </row>
    <row r="1572" spans="1:2" x14ac:dyDescent="0.15">
      <c r="A1572" s="178"/>
      <c r="B1572" s="179"/>
    </row>
    <row r="1573" spans="1:2" x14ac:dyDescent="0.15">
      <c r="A1573" s="178"/>
      <c r="B1573" s="179"/>
    </row>
    <row r="1574" spans="1:2" x14ac:dyDescent="0.15">
      <c r="A1574" s="178"/>
      <c r="B1574" s="179"/>
    </row>
    <row r="1575" spans="1:2" x14ac:dyDescent="0.15">
      <c r="A1575" s="178"/>
      <c r="B1575" s="179"/>
    </row>
    <row r="1576" spans="1:2" x14ac:dyDescent="0.15">
      <c r="A1576" s="178"/>
      <c r="B1576" s="179"/>
    </row>
    <row r="1577" spans="1:2" x14ac:dyDescent="0.15">
      <c r="A1577" s="178"/>
      <c r="B1577" s="179"/>
    </row>
    <row r="1578" spans="1:2" x14ac:dyDescent="0.15">
      <c r="A1578" s="178"/>
      <c r="B1578" s="179"/>
    </row>
    <row r="1579" spans="1:2" x14ac:dyDescent="0.15">
      <c r="A1579" s="178"/>
      <c r="B1579" s="179"/>
    </row>
    <row r="1580" spans="1:2" x14ac:dyDescent="0.15">
      <c r="A1580" s="178"/>
      <c r="B1580" s="179"/>
    </row>
    <row r="1581" spans="1:2" x14ac:dyDescent="0.15">
      <c r="A1581" s="178"/>
      <c r="B1581" s="179"/>
    </row>
    <row r="1582" spans="1:2" x14ac:dyDescent="0.15">
      <c r="A1582" s="178"/>
      <c r="B1582" s="179"/>
    </row>
    <row r="1583" spans="1:2" x14ac:dyDescent="0.15">
      <c r="A1583" s="178"/>
      <c r="B1583" s="179"/>
    </row>
    <row r="1584" spans="1:2" x14ac:dyDescent="0.15">
      <c r="A1584" s="178"/>
      <c r="B1584" s="179"/>
    </row>
    <row r="1585" spans="1:2" x14ac:dyDescent="0.15">
      <c r="A1585" s="178"/>
      <c r="B1585" s="179"/>
    </row>
    <row r="1586" spans="1:2" x14ac:dyDescent="0.15">
      <c r="A1586" s="178"/>
      <c r="B1586" s="179"/>
    </row>
    <row r="1587" spans="1:2" x14ac:dyDescent="0.15">
      <c r="A1587" s="178"/>
      <c r="B1587" s="179"/>
    </row>
    <row r="1588" spans="1:2" x14ac:dyDescent="0.15">
      <c r="A1588" s="178"/>
      <c r="B1588" s="179"/>
    </row>
    <row r="1589" spans="1:2" x14ac:dyDescent="0.15">
      <c r="A1589" s="178"/>
      <c r="B1589" s="179"/>
    </row>
    <row r="1590" spans="1:2" x14ac:dyDescent="0.15">
      <c r="A1590" s="178"/>
      <c r="B1590" s="179"/>
    </row>
    <row r="1591" spans="1:2" x14ac:dyDescent="0.15">
      <c r="A1591" s="178"/>
      <c r="B1591" s="179"/>
    </row>
    <row r="1592" spans="1:2" x14ac:dyDescent="0.15">
      <c r="A1592" s="178"/>
      <c r="B1592" s="179"/>
    </row>
    <row r="1593" spans="1:2" x14ac:dyDescent="0.15">
      <c r="A1593" s="178"/>
      <c r="B1593" s="179"/>
    </row>
    <row r="1594" spans="1:2" x14ac:dyDescent="0.15">
      <c r="A1594" s="178"/>
      <c r="B1594" s="179"/>
    </row>
    <row r="1595" spans="1:2" x14ac:dyDescent="0.15">
      <c r="A1595" s="178"/>
      <c r="B1595" s="179"/>
    </row>
    <row r="1596" spans="1:2" x14ac:dyDescent="0.15">
      <c r="A1596" s="178"/>
      <c r="B1596" s="179"/>
    </row>
    <row r="1597" spans="1:2" x14ac:dyDescent="0.15">
      <c r="A1597" s="178"/>
      <c r="B1597" s="179"/>
    </row>
    <row r="1598" spans="1:2" x14ac:dyDescent="0.15">
      <c r="A1598" s="178"/>
      <c r="B1598" s="179"/>
    </row>
    <row r="1599" spans="1:2" x14ac:dyDescent="0.15">
      <c r="A1599" s="178"/>
      <c r="B1599" s="179"/>
    </row>
    <row r="1600" spans="1:2" x14ac:dyDescent="0.15">
      <c r="A1600" s="178"/>
      <c r="B1600" s="179"/>
    </row>
    <row r="1601" spans="1:4" x14ac:dyDescent="0.15">
      <c r="A1601" s="178"/>
      <c r="B1601" s="179"/>
    </row>
    <row r="1602" spans="1:4" x14ac:dyDescent="0.15">
      <c r="A1602" s="178"/>
      <c r="B1602" s="179"/>
    </row>
    <row r="1603" spans="1:4" x14ac:dyDescent="0.15">
      <c r="A1603" s="178"/>
      <c r="B1603" s="179"/>
    </row>
    <row r="1604" spans="1:4" x14ac:dyDescent="0.15">
      <c r="A1604" s="178"/>
      <c r="B1604" s="179"/>
    </row>
    <row r="1605" spans="1:4" x14ac:dyDescent="0.15">
      <c r="A1605" s="178"/>
      <c r="B1605" s="179"/>
      <c r="C1605" s="179"/>
      <c r="D1605" s="179"/>
    </row>
    <row r="1606" spans="1:4" x14ac:dyDescent="0.15">
      <c r="A1606" s="178"/>
      <c r="B1606" s="179"/>
    </row>
    <row r="1607" spans="1:4" x14ac:dyDescent="0.15">
      <c r="A1607" s="178"/>
      <c r="B1607" s="179"/>
    </row>
    <row r="1608" spans="1:4" x14ac:dyDescent="0.15">
      <c r="A1608" s="178"/>
      <c r="B1608" s="179"/>
    </row>
    <row r="1609" spans="1:4" x14ac:dyDescent="0.15">
      <c r="A1609" s="178"/>
      <c r="B1609" s="179"/>
    </row>
    <row r="1610" spans="1:4" x14ac:dyDescent="0.15">
      <c r="A1610" s="178"/>
      <c r="B1610" s="179"/>
    </row>
    <row r="1611" spans="1:4" x14ac:dyDescent="0.15">
      <c r="A1611" s="178"/>
      <c r="B1611" s="179"/>
    </row>
    <row r="1612" spans="1:4" x14ac:dyDescent="0.15">
      <c r="A1612" s="178"/>
      <c r="B1612" s="179"/>
    </row>
    <row r="1613" spans="1:4" x14ac:dyDescent="0.15">
      <c r="A1613" s="178"/>
      <c r="B1613" s="179"/>
    </row>
    <row r="1614" spans="1:4" x14ac:dyDescent="0.15">
      <c r="A1614" s="178"/>
      <c r="B1614" s="179"/>
    </row>
    <row r="1615" spans="1:4" x14ac:dyDescent="0.15">
      <c r="A1615" s="178"/>
      <c r="B1615" s="179"/>
    </row>
    <row r="1616" spans="1:4" x14ac:dyDescent="0.15">
      <c r="A1616" s="178"/>
      <c r="B1616" s="179"/>
    </row>
    <row r="1617" spans="1:2" x14ac:dyDescent="0.15">
      <c r="A1617" s="178"/>
      <c r="B1617" s="179"/>
    </row>
    <row r="1618" spans="1:2" x14ac:dyDescent="0.15">
      <c r="A1618" s="178"/>
      <c r="B1618" s="179"/>
    </row>
    <row r="1619" spans="1:2" x14ac:dyDescent="0.15">
      <c r="A1619" s="178"/>
      <c r="B1619" s="179"/>
    </row>
    <row r="1620" spans="1:2" x14ac:dyDescent="0.15">
      <c r="A1620" s="178"/>
      <c r="B1620" s="179"/>
    </row>
    <row r="1621" spans="1:2" x14ac:dyDescent="0.15">
      <c r="A1621" s="178"/>
      <c r="B1621" s="179"/>
    </row>
    <row r="1622" spans="1:2" x14ac:dyDescent="0.15">
      <c r="A1622" s="178"/>
      <c r="B1622" s="179"/>
    </row>
    <row r="1623" spans="1:2" x14ac:dyDescent="0.15">
      <c r="A1623" s="178"/>
      <c r="B1623" s="179"/>
    </row>
    <row r="1624" spans="1:2" x14ac:dyDescent="0.15">
      <c r="A1624" s="178"/>
      <c r="B1624" s="179"/>
    </row>
    <row r="1625" spans="1:2" x14ac:dyDescent="0.15">
      <c r="A1625" s="178"/>
      <c r="B1625" s="179"/>
    </row>
    <row r="1626" spans="1:2" x14ac:dyDescent="0.15">
      <c r="A1626" s="178"/>
      <c r="B1626" s="179"/>
    </row>
    <row r="1627" spans="1:2" x14ac:dyDescent="0.15">
      <c r="A1627" s="178"/>
      <c r="B1627" s="179"/>
    </row>
    <row r="1628" spans="1:2" x14ac:dyDescent="0.15">
      <c r="A1628" s="178"/>
      <c r="B1628" s="179"/>
    </row>
    <row r="1629" spans="1:2" x14ac:dyDescent="0.15">
      <c r="A1629" s="178"/>
      <c r="B1629" s="179"/>
    </row>
    <row r="1630" spans="1:2" x14ac:dyDescent="0.15">
      <c r="A1630" s="178"/>
      <c r="B1630" s="179"/>
    </row>
    <row r="1631" spans="1:2" x14ac:dyDescent="0.15">
      <c r="A1631" s="178"/>
      <c r="B1631" s="179"/>
    </row>
    <row r="1632" spans="1:2" x14ac:dyDescent="0.15">
      <c r="A1632" s="178"/>
      <c r="B1632" s="179"/>
    </row>
    <row r="1633" spans="1:2" x14ac:dyDescent="0.15">
      <c r="A1633" s="178"/>
      <c r="B1633" s="179"/>
    </row>
    <row r="1634" spans="1:2" x14ac:dyDescent="0.15">
      <c r="A1634" s="178"/>
      <c r="B1634" s="179"/>
    </row>
    <row r="1635" spans="1:2" x14ac:dyDescent="0.15">
      <c r="A1635" s="178"/>
      <c r="B1635" s="179"/>
    </row>
    <row r="1636" spans="1:2" x14ac:dyDescent="0.15">
      <c r="A1636" s="178"/>
      <c r="B1636" s="179"/>
    </row>
    <row r="1637" spans="1:2" x14ac:dyDescent="0.15">
      <c r="A1637" s="178"/>
      <c r="B1637" s="179"/>
    </row>
    <row r="1638" spans="1:2" x14ac:dyDescent="0.15">
      <c r="A1638" s="178"/>
      <c r="B1638" s="179"/>
    </row>
    <row r="1639" spans="1:2" x14ac:dyDescent="0.15">
      <c r="A1639" s="178"/>
      <c r="B1639" s="179"/>
    </row>
    <row r="1640" spans="1:2" x14ac:dyDescent="0.15">
      <c r="A1640" s="178"/>
      <c r="B1640" s="179"/>
    </row>
    <row r="1641" spans="1:2" x14ac:dyDescent="0.15">
      <c r="A1641" s="178"/>
      <c r="B1641" s="179"/>
    </row>
    <row r="1642" spans="1:2" x14ac:dyDescent="0.15">
      <c r="A1642" s="178"/>
      <c r="B1642" s="179"/>
    </row>
    <row r="1643" spans="1:2" x14ac:dyDescent="0.15">
      <c r="A1643" s="178"/>
      <c r="B1643" s="179"/>
    </row>
    <row r="1644" spans="1:2" x14ac:dyDescent="0.15">
      <c r="A1644" s="178"/>
      <c r="B1644" s="179"/>
    </row>
    <row r="1645" spans="1:2" x14ac:dyDescent="0.15">
      <c r="A1645" s="178"/>
      <c r="B1645" s="179"/>
    </row>
    <row r="1646" spans="1:2" x14ac:dyDescent="0.15">
      <c r="A1646" s="178"/>
      <c r="B1646" s="179"/>
    </row>
    <row r="1647" spans="1:2" x14ac:dyDescent="0.15">
      <c r="A1647" s="178"/>
      <c r="B1647" s="179"/>
    </row>
    <row r="1648" spans="1:2" x14ac:dyDescent="0.15">
      <c r="A1648" s="178"/>
      <c r="B1648" s="179"/>
    </row>
    <row r="1649" spans="1:2" x14ac:dyDescent="0.15">
      <c r="A1649" s="178"/>
      <c r="B1649" s="179"/>
    </row>
    <row r="1650" spans="1:2" x14ac:dyDescent="0.15">
      <c r="A1650" s="178"/>
      <c r="B1650" s="179"/>
    </row>
    <row r="1651" spans="1:2" x14ac:dyDescent="0.15">
      <c r="A1651" s="178"/>
      <c r="B1651" s="179"/>
    </row>
    <row r="1652" spans="1:2" x14ac:dyDescent="0.15">
      <c r="A1652" s="178"/>
      <c r="B1652" s="179"/>
    </row>
    <row r="1653" spans="1:2" x14ac:dyDescent="0.15">
      <c r="A1653" s="178"/>
      <c r="B1653" s="179"/>
    </row>
    <row r="1654" spans="1:2" x14ac:dyDescent="0.15">
      <c r="A1654" s="178"/>
      <c r="B1654" s="179"/>
    </row>
    <row r="1655" spans="1:2" x14ac:dyDescent="0.15">
      <c r="A1655" s="178"/>
      <c r="B1655" s="179"/>
    </row>
    <row r="1656" spans="1:2" x14ac:dyDescent="0.15">
      <c r="A1656" s="178"/>
      <c r="B1656" s="179"/>
    </row>
    <row r="1657" spans="1:2" x14ac:dyDescent="0.15">
      <c r="A1657" s="178"/>
      <c r="B1657" s="179"/>
    </row>
    <row r="1658" spans="1:2" x14ac:dyDescent="0.15">
      <c r="A1658" s="178"/>
      <c r="B1658" s="179"/>
    </row>
    <row r="1659" spans="1:2" x14ac:dyDescent="0.15">
      <c r="A1659" s="178"/>
      <c r="B1659" s="179"/>
    </row>
    <row r="1660" spans="1:2" x14ac:dyDescent="0.15">
      <c r="A1660" s="178"/>
      <c r="B1660" s="179"/>
    </row>
    <row r="1661" spans="1:2" x14ac:dyDescent="0.15">
      <c r="A1661" s="178"/>
      <c r="B1661" s="179"/>
    </row>
    <row r="1662" spans="1:2" x14ac:dyDescent="0.15">
      <c r="A1662" s="178"/>
      <c r="B1662" s="179"/>
    </row>
    <row r="1663" spans="1:2" x14ac:dyDescent="0.15">
      <c r="A1663" s="178"/>
      <c r="B1663" s="179"/>
    </row>
    <row r="1664" spans="1:2" x14ac:dyDescent="0.15">
      <c r="A1664" s="178"/>
      <c r="B1664" s="179"/>
    </row>
    <row r="1665" spans="1:2" x14ac:dyDescent="0.15">
      <c r="A1665" s="178"/>
      <c r="B1665" s="179"/>
    </row>
    <row r="1666" spans="1:2" x14ac:dyDescent="0.15">
      <c r="A1666" s="178"/>
      <c r="B1666" s="179"/>
    </row>
    <row r="1667" spans="1:2" x14ac:dyDescent="0.15">
      <c r="A1667" s="178"/>
      <c r="B1667" s="179"/>
    </row>
    <row r="1668" spans="1:2" x14ac:dyDescent="0.15">
      <c r="A1668" s="178"/>
      <c r="B1668" s="179"/>
    </row>
    <row r="1669" spans="1:2" x14ac:dyDescent="0.15">
      <c r="A1669" s="178"/>
      <c r="B1669" s="179"/>
    </row>
    <row r="1670" spans="1:2" x14ac:dyDescent="0.15">
      <c r="A1670" s="178"/>
      <c r="B1670" s="179"/>
    </row>
    <row r="1671" spans="1:2" x14ac:dyDescent="0.15">
      <c r="A1671" s="178"/>
      <c r="B1671" s="179"/>
    </row>
    <row r="1672" spans="1:2" x14ac:dyDescent="0.15">
      <c r="A1672" s="178"/>
      <c r="B1672" s="179"/>
    </row>
    <row r="1673" spans="1:2" x14ac:dyDescent="0.15">
      <c r="A1673" s="178"/>
      <c r="B1673" s="179"/>
    </row>
    <row r="1674" spans="1:2" x14ac:dyDescent="0.15">
      <c r="A1674" s="178"/>
      <c r="B1674" s="179"/>
    </row>
    <row r="1675" spans="1:2" x14ac:dyDescent="0.15">
      <c r="A1675" s="178"/>
      <c r="B1675" s="179"/>
    </row>
    <row r="1676" spans="1:2" x14ac:dyDescent="0.15">
      <c r="A1676" s="178"/>
      <c r="B1676" s="179"/>
    </row>
    <row r="1677" spans="1:2" x14ac:dyDescent="0.15">
      <c r="A1677" s="178"/>
      <c r="B1677" s="179"/>
    </row>
    <row r="1678" spans="1:2" x14ac:dyDescent="0.15">
      <c r="A1678" s="178"/>
      <c r="B1678" s="179"/>
    </row>
    <row r="1679" spans="1:2" x14ac:dyDescent="0.15">
      <c r="A1679" s="178"/>
      <c r="B1679" s="179"/>
    </row>
    <row r="1680" spans="1:2" x14ac:dyDescent="0.15">
      <c r="A1680" s="178"/>
      <c r="B1680" s="179"/>
    </row>
    <row r="1681" spans="1:2" x14ac:dyDescent="0.15">
      <c r="A1681" s="178"/>
      <c r="B1681" s="179"/>
    </row>
    <row r="1682" spans="1:2" x14ac:dyDescent="0.15">
      <c r="A1682" s="178"/>
      <c r="B1682" s="179"/>
    </row>
    <row r="1683" spans="1:2" x14ac:dyDescent="0.15">
      <c r="A1683" s="178"/>
      <c r="B1683" s="179"/>
    </row>
    <row r="1684" spans="1:2" x14ac:dyDescent="0.15">
      <c r="A1684" s="178"/>
      <c r="B1684" s="179"/>
    </row>
    <row r="1685" spans="1:2" x14ac:dyDescent="0.15">
      <c r="A1685" s="178"/>
      <c r="B1685" s="179"/>
    </row>
    <row r="1686" spans="1:2" x14ac:dyDescent="0.15">
      <c r="A1686" s="178"/>
      <c r="B1686" s="179"/>
    </row>
    <row r="1687" spans="1:2" x14ac:dyDescent="0.15">
      <c r="A1687" s="178"/>
      <c r="B1687" s="179"/>
    </row>
    <row r="1688" spans="1:2" x14ac:dyDescent="0.15">
      <c r="A1688" s="178"/>
      <c r="B1688" s="179"/>
    </row>
    <row r="1689" spans="1:2" x14ac:dyDescent="0.15">
      <c r="A1689" s="178"/>
      <c r="B1689" s="179"/>
    </row>
    <row r="1690" spans="1:2" x14ac:dyDescent="0.15">
      <c r="A1690" s="178"/>
      <c r="B1690" s="179"/>
    </row>
    <row r="1691" spans="1:2" x14ac:dyDescent="0.15">
      <c r="A1691" s="178"/>
      <c r="B1691" s="179"/>
    </row>
    <row r="1692" spans="1:2" x14ac:dyDescent="0.15">
      <c r="A1692" s="178"/>
      <c r="B1692" s="179"/>
    </row>
    <row r="1693" spans="1:2" x14ac:dyDescent="0.15">
      <c r="A1693" s="178"/>
      <c r="B1693" s="179"/>
    </row>
    <row r="1694" spans="1:2" x14ac:dyDescent="0.15">
      <c r="A1694" s="178"/>
      <c r="B1694" s="179"/>
    </row>
    <row r="1695" spans="1:2" x14ac:dyDescent="0.15">
      <c r="A1695" s="178"/>
      <c r="B1695" s="179"/>
    </row>
    <row r="1696" spans="1:2" x14ac:dyDescent="0.15">
      <c r="A1696" s="178"/>
      <c r="B1696" s="179"/>
    </row>
    <row r="1697" spans="1:4" x14ac:dyDescent="0.15">
      <c r="A1697" s="178"/>
      <c r="B1697" s="179"/>
    </row>
    <row r="1698" spans="1:4" x14ac:dyDescent="0.15">
      <c r="A1698" s="178"/>
      <c r="B1698" s="179"/>
    </row>
    <row r="1699" spans="1:4" x14ac:dyDescent="0.15">
      <c r="A1699" s="178"/>
      <c r="B1699" s="179"/>
    </row>
    <row r="1700" spans="1:4" x14ac:dyDescent="0.15">
      <c r="A1700" s="178"/>
      <c r="B1700" s="179"/>
    </row>
    <row r="1701" spans="1:4" x14ac:dyDescent="0.15">
      <c r="A1701" s="178"/>
      <c r="B1701" s="179"/>
    </row>
    <row r="1702" spans="1:4" x14ac:dyDescent="0.15">
      <c r="A1702" s="178"/>
      <c r="B1702" s="179"/>
    </row>
    <row r="1703" spans="1:4" x14ac:dyDescent="0.15">
      <c r="A1703" s="178"/>
      <c r="B1703" s="179"/>
    </row>
    <row r="1704" spans="1:4" x14ac:dyDescent="0.15">
      <c r="A1704" s="178"/>
      <c r="B1704" s="179"/>
    </row>
    <row r="1705" spans="1:4" x14ac:dyDescent="0.15">
      <c r="A1705" s="178"/>
      <c r="B1705" s="179"/>
      <c r="C1705" s="179"/>
      <c r="D1705" s="179"/>
    </row>
    <row r="1706" spans="1:4" x14ac:dyDescent="0.15">
      <c r="A1706" s="178"/>
      <c r="B1706" s="179"/>
    </row>
    <row r="1707" spans="1:4" x14ac:dyDescent="0.15">
      <c r="A1707" s="178"/>
      <c r="B1707" s="179"/>
    </row>
    <row r="1708" spans="1:4" x14ac:dyDescent="0.15">
      <c r="A1708" s="178"/>
      <c r="B1708" s="179"/>
    </row>
    <row r="1709" spans="1:4" x14ac:dyDescent="0.15">
      <c r="A1709" s="178"/>
      <c r="B1709" s="179"/>
    </row>
    <row r="1710" spans="1:4" x14ac:dyDescent="0.15">
      <c r="A1710" s="178"/>
      <c r="B1710" s="179"/>
    </row>
    <row r="1711" spans="1:4" x14ac:dyDescent="0.15">
      <c r="A1711" s="178"/>
      <c r="B1711" s="179"/>
    </row>
    <row r="1712" spans="1:4" x14ac:dyDescent="0.15">
      <c r="A1712" s="178"/>
      <c r="B1712" s="179"/>
    </row>
    <row r="1713" spans="1:2" x14ac:dyDescent="0.15">
      <c r="A1713" s="178"/>
      <c r="B1713" s="179"/>
    </row>
    <row r="1714" spans="1:2" x14ac:dyDescent="0.15">
      <c r="A1714" s="178"/>
      <c r="B1714" s="179"/>
    </row>
    <row r="1715" spans="1:2" x14ac:dyDescent="0.15">
      <c r="A1715" s="178"/>
      <c r="B1715" s="179"/>
    </row>
    <row r="1716" spans="1:2" x14ac:dyDescent="0.15">
      <c r="A1716" s="178"/>
      <c r="B1716" s="179"/>
    </row>
    <row r="1717" spans="1:2" x14ac:dyDescent="0.15">
      <c r="A1717" s="178"/>
      <c r="B1717" s="179"/>
    </row>
    <row r="1718" spans="1:2" x14ac:dyDescent="0.15">
      <c r="A1718" s="178"/>
      <c r="B1718" s="179"/>
    </row>
    <row r="1719" spans="1:2" x14ac:dyDescent="0.15">
      <c r="A1719" s="178"/>
      <c r="B1719" s="179"/>
    </row>
    <row r="1720" spans="1:2" x14ac:dyDescent="0.15">
      <c r="A1720" s="178"/>
      <c r="B1720" s="179"/>
    </row>
    <row r="1721" spans="1:2" x14ac:dyDescent="0.15">
      <c r="A1721" s="178"/>
      <c r="B1721" s="179"/>
    </row>
    <row r="1722" spans="1:2" x14ac:dyDescent="0.15">
      <c r="A1722" s="178"/>
      <c r="B1722" s="179"/>
    </row>
    <row r="1723" spans="1:2" x14ac:dyDescent="0.15">
      <c r="A1723" s="178"/>
      <c r="B1723" s="179"/>
    </row>
    <row r="1724" spans="1:2" x14ac:dyDescent="0.15">
      <c r="A1724" s="178"/>
      <c r="B1724" s="179"/>
    </row>
    <row r="1725" spans="1:2" x14ac:dyDescent="0.15">
      <c r="A1725" s="178"/>
      <c r="B1725" s="179"/>
    </row>
    <row r="1726" spans="1:2" x14ac:dyDescent="0.15">
      <c r="A1726" s="178"/>
      <c r="B1726" s="179"/>
    </row>
    <row r="1727" spans="1:2" x14ac:dyDescent="0.15">
      <c r="A1727" s="178"/>
      <c r="B1727" s="179"/>
    </row>
    <row r="1728" spans="1:2" x14ac:dyDescent="0.15">
      <c r="A1728" s="178"/>
      <c r="B1728" s="179"/>
    </row>
    <row r="1729" spans="1:2" x14ac:dyDescent="0.15">
      <c r="A1729" s="178"/>
      <c r="B1729" s="179"/>
    </row>
    <row r="1730" spans="1:2" x14ac:dyDescent="0.15">
      <c r="A1730" s="178"/>
      <c r="B1730" s="179"/>
    </row>
    <row r="1731" spans="1:2" x14ac:dyDescent="0.15">
      <c r="A1731" s="178"/>
      <c r="B1731" s="179"/>
    </row>
    <row r="1732" spans="1:2" x14ac:dyDescent="0.15">
      <c r="A1732" s="178"/>
      <c r="B1732" s="179"/>
    </row>
    <row r="1733" spans="1:2" x14ac:dyDescent="0.15">
      <c r="A1733" s="178"/>
      <c r="B1733" s="179"/>
    </row>
    <row r="1734" spans="1:2" x14ac:dyDescent="0.15">
      <c r="A1734" s="178"/>
      <c r="B1734" s="179"/>
    </row>
    <row r="1735" spans="1:2" x14ac:dyDescent="0.15">
      <c r="A1735" s="178"/>
      <c r="B1735" s="179"/>
    </row>
    <row r="1736" spans="1:2" x14ac:dyDescent="0.15">
      <c r="A1736" s="178"/>
      <c r="B1736" s="179"/>
    </row>
    <row r="1737" spans="1:2" x14ac:dyDescent="0.15">
      <c r="A1737" s="178"/>
      <c r="B1737" s="179"/>
    </row>
    <row r="1738" spans="1:2" x14ac:dyDescent="0.15">
      <c r="A1738" s="178"/>
      <c r="B1738" s="179"/>
    </row>
    <row r="1739" spans="1:2" x14ac:dyDescent="0.15">
      <c r="A1739" s="178"/>
      <c r="B1739" s="179"/>
    </row>
    <row r="1740" spans="1:2" x14ac:dyDescent="0.15">
      <c r="A1740" s="178"/>
      <c r="B1740" s="179"/>
    </row>
    <row r="1741" spans="1:2" x14ac:dyDescent="0.15">
      <c r="A1741" s="178"/>
      <c r="B1741" s="179"/>
    </row>
    <row r="1742" spans="1:2" x14ac:dyDescent="0.15">
      <c r="A1742" s="178"/>
      <c r="B1742" s="179"/>
    </row>
    <row r="1743" spans="1:2" x14ac:dyDescent="0.15">
      <c r="A1743" s="178"/>
      <c r="B1743" s="179"/>
    </row>
    <row r="1744" spans="1:2" x14ac:dyDescent="0.15">
      <c r="A1744" s="178"/>
      <c r="B1744" s="179"/>
    </row>
    <row r="1745" spans="1:2" x14ac:dyDescent="0.15">
      <c r="A1745" s="178"/>
      <c r="B1745" s="179"/>
    </row>
    <row r="1746" spans="1:2" x14ac:dyDescent="0.15">
      <c r="A1746" s="178"/>
      <c r="B1746" s="179"/>
    </row>
    <row r="1747" spans="1:2" x14ac:dyDescent="0.15">
      <c r="A1747" s="178"/>
      <c r="B1747" s="179"/>
    </row>
    <row r="1748" spans="1:2" x14ac:dyDescent="0.15">
      <c r="A1748" s="178"/>
      <c r="B1748" s="179"/>
    </row>
    <row r="1749" spans="1:2" x14ac:dyDescent="0.15">
      <c r="A1749" s="178"/>
      <c r="B1749" s="179"/>
    </row>
    <row r="1750" spans="1:2" x14ac:dyDescent="0.15">
      <c r="A1750" s="178"/>
      <c r="B1750" s="179"/>
    </row>
    <row r="1751" spans="1:2" x14ac:dyDescent="0.15">
      <c r="A1751" s="178"/>
      <c r="B1751" s="179"/>
    </row>
    <row r="1752" spans="1:2" x14ac:dyDescent="0.15">
      <c r="A1752" s="178"/>
      <c r="B1752" s="179"/>
    </row>
    <row r="1753" spans="1:2" x14ac:dyDescent="0.15">
      <c r="A1753" s="178"/>
      <c r="B1753" s="179"/>
    </row>
    <row r="1754" spans="1:2" x14ac:dyDescent="0.15">
      <c r="A1754" s="178"/>
      <c r="B1754" s="179"/>
    </row>
    <row r="1755" spans="1:2" x14ac:dyDescent="0.15">
      <c r="A1755" s="178"/>
      <c r="B1755" s="179"/>
    </row>
    <row r="1756" spans="1:2" x14ac:dyDescent="0.15">
      <c r="A1756" s="178"/>
      <c r="B1756" s="179"/>
    </row>
    <row r="1757" spans="1:2" x14ac:dyDescent="0.15">
      <c r="A1757" s="178"/>
      <c r="B1757" s="179"/>
    </row>
    <row r="1758" spans="1:2" x14ac:dyDescent="0.15">
      <c r="A1758" s="178"/>
      <c r="B1758" s="179"/>
    </row>
    <row r="1759" spans="1:2" x14ac:dyDescent="0.15">
      <c r="A1759" s="178"/>
      <c r="B1759" s="179"/>
    </row>
    <row r="1760" spans="1:2" x14ac:dyDescent="0.15">
      <c r="A1760" s="178"/>
      <c r="B1760" s="179"/>
    </row>
    <row r="1761" spans="1:2" x14ac:dyDescent="0.15">
      <c r="A1761" s="178"/>
      <c r="B1761" s="179"/>
    </row>
    <row r="1762" spans="1:2" x14ac:dyDescent="0.15">
      <c r="A1762" s="178"/>
      <c r="B1762" s="179"/>
    </row>
    <row r="1763" spans="1:2" x14ac:dyDescent="0.15">
      <c r="A1763" s="178"/>
      <c r="B1763" s="179"/>
    </row>
    <row r="1764" spans="1:2" x14ac:dyDescent="0.15">
      <c r="A1764" s="178"/>
      <c r="B1764" s="179"/>
    </row>
    <row r="1765" spans="1:2" x14ac:dyDescent="0.15">
      <c r="A1765" s="178"/>
      <c r="B1765" s="179"/>
    </row>
    <row r="1766" spans="1:2" x14ac:dyDescent="0.15">
      <c r="A1766" s="178"/>
      <c r="B1766" s="179"/>
    </row>
    <row r="1767" spans="1:2" x14ac:dyDescent="0.15">
      <c r="A1767" s="178"/>
      <c r="B1767" s="179"/>
    </row>
    <row r="1768" spans="1:2" x14ac:dyDescent="0.15">
      <c r="A1768" s="178"/>
      <c r="B1768" s="179"/>
    </row>
    <row r="1769" spans="1:2" x14ac:dyDescent="0.15">
      <c r="A1769" s="178"/>
      <c r="B1769" s="179"/>
    </row>
    <row r="1770" spans="1:2" x14ac:dyDescent="0.15">
      <c r="A1770" s="178"/>
      <c r="B1770" s="179"/>
    </row>
    <row r="1771" spans="1:2" x14ac:dyDescent="0.15">
      <c r="A1771" s="178"/>
      <c r="B1771" s="179"/>
    </row>
    <row r="1772" spans="1:2" x14ac:dyDescent="0.15">
      <c r="A1772" s="178"/>
      <c r="B1772" s="179"/>
    </row>
    <row r="1773" spans="1:2" x14ac:dyDescent="0.15">
      <c r="A1773" s="178"/>
      <c r="B1773" s="179"/>
    </row>
    <row r="1774" spans="1:2" x14ac:dyDescent="0.15">
      <c r="A1774" s="178"/>
      <c r="B1774" s="179"/>
    </row>
    <row r="1775" spans="1:2" x14ac:dyDescent="0.15">
      <c r="A1775" s="178"/>
      <c r="B1775" s="179"/>
    </row>
    <row r="1776" spans="1:2" x14ac:dyDescent="0.15">
      <c r="A1776" s="178"/>
      <c r="B1776" s="179"/>
    </row>
    <row r="1777" spans="1:2" x14ac:dyDescent="0.15">
      <c r="A1777" s="178"/>
      <c r="B1777" s="179"/>
    </row>
    <row r="1778" spans="1:2" x14ac:dyDescent="0.15">
      <c r="A1778" s="178"/>
      <c r="B1778" s="179"/>
    </row>
    <row r="1779" spans="1:2" x14ac:dyDescent="0.15">
      <c r="A1779" s="178"/>
      <c r="B1779" s="179"/>
    </row>
    <row r="1780" spans="1:2" x14ac:dyDescent="0.15">
      <c r="A1780" s="178"/>
      <c r="B1780" s="179"/>
    </row>
    <row r="1781" spans="1:2" x14ac:dyDescent="0.15">
      <c r="A1781" s="178"/>
      <c r="B1781" s="179"/>
    </row>
    <row r="1782" spans="1:2" x14ac:dyDescent="0.15">
      <c r="A1782" s="178"/>
      <c r="B1782" s="179"/>
    </row>
    <row r="1783" spans="1:2" x14ac:dyDescent="0.15">
      <c r="A1783" s="178"/>
      <c r="B1783" s="179"/>
    </row>
    <row r="1784" spans="1:2" x14ac:dyDescent="0.15">
      <c r="A1784" s="178"/>
      <c r="B1784" s="179"/>
    </row>
    <row r="1785" spans="1:2" x14ac:dyDescent="0.15">
      <c r="A1785" s="178"/>
      <c r="B1785" s="179"/>
    </row>
    <row r="1786" spans="1:2" x14ac:dyDescent="0.15">
      <c r="A1786" s="178"/>
      <c r="B1786" s="179"/>
    </row>
    <row r="1787" spans="1:2" x14ac:dyDescent="0.15">
      <c r="A1787" s="178"/>
      <c r="B1787" s="179"/>
    </row>
    <row r="1788" spans="1:2" x14ac:dyDescent="0.15">
      <c r="A1788" s="178"/>
      <c r="B1788" s="179"/>
    </row>
    <row r="1789" spans="1:2" x14ac:dyDescent="0.15">
      <c r="A1789" s="178"/>
      <c r="B1789" s="179"/>
    </row>
    <row r="1790" spans="1:2" x14ac:dyDescent="0.15">
      <c r="A1790" s="178"/>
      <c r="B1790" s="179"/>
    </row>
    <row r="1791" spans="1:2" x14ac:dyDescent="0.15">
      <c r="A1791" s="178"/>
      <c r="B1791" s="179"/>
    </row>
    <row r="1792" spans="1:2" x14ac:dyDescent="0.15">
      <c r="A1792" s="178"/>
      <c r="B1792" s="179"/>
    </row>
    <row r="1793" spans="1:4" x14ac:dyDescent="0.15">
      <c r="A1793" s="178"/>
      <c r="B1793" s="179"/>
    </row>
    <row r="1794" spans="1:4" x14ac:dyDescent="0.15">
      <c r="A1794" s="178"/>
      <c r="B1794" s="179"/>
    </row>
    <row r="1795" spans="1:4" x14ac:dyDescent="0.15">
      <c r="A1795" s="178"/>
      <c r="B1795" s="179"/>
    </row>
    <row r="1796" spans="1:4" x14ac:dyDescent="0.15">
      <c r="A1796" s="178"/>
      <c r="B1796" s="179"/>
    </row>
    <row r="1797" spans="1:4" x14ac:dyDescent="0.15">
      <c r="A1797" s="178"/>
      <c r="B1797" s="179"/>
    </row>
    <row r="1798" spans="1:4" x14ac:dyDescent="0.15">
      <c r="A1798" s="178"/>
      <c r="B1798" s="179"/>
    </row>
    <row r="1799" spans="1:4" x14ac:dyDescent="0.15">
      <c r="A1799" s="178"/>
      <c r="B1799" s="179"/>
    </row>
    <row r="1800" spans="1:4" x14ac:dyDescent="0.15">
      <c r="A1800" s="178"/>
      <c r="B1800" s="179"/>
    </row>
    <row r="1801" spans="1:4" x14ac:dyDescent="0.15">
      <c r="A1801" s="178"/>
      <c r="B1801" s="179"/>
    </row>
    <row r="1802" spans="1:4" x14ac:dyDescent="0.15">
      <c r="A1802" s="178"/>
      <c r="B1802" s="179"/>
    </row>
    <row r="1803" spans="1:4" x14ac:dyDescent="0.15">
      <c r="A1803" s="178"/>
      <c r="B1803" s="179"/>
    </row>
    <row r="1804" spans="1:4" x14ac:dyDescent="0.15">
      <c r="A1804" s="178"/>
      <c r="B1804" s="179"/>
    </row>
    <row r="1805" spans="1:4" x14ac:dyDescent="0.15">
      <c r="A1805" s="178"/>
      <c r="B1805" s="179"/>
      <c r="C1805" s="179"/>
      <c r="D1805" s="179"/>
    </row>
    <row r="1806" spans="1:4" x14ac:dyDescent="0.15">
      <c r="A1806" s="178"/>
      <c r="B1806" s="179"/>
    </row>
    <row r="1807" spans="1:4" x14ac:dyDescent="0.15">
      <c r="A1807" s="178"/>
      <c r="B1807" s="179"/>
    </row>
    <row r="1808" spans="1:4" x14ac:dyDescent="0.15">
      <c r="A1808" s="178"/>
      <c r="B1808" s="179"/>
    </row>
    <row r="1809" spans="1:2" x14ac:dyDescent="0.15">
      <c r="A1809" s="178"/>
      <c r="B1809" s="179"/>
    </row>
    <row r="1810" spans="1:2" x14ac:dyDescent="0.15">
      <c r="A1810" s="178"/>
      <c r="B1810" s="179"/>
    </row>
    <row r="1811" spans="1:2" x14ac:dyDescent="0.15">
      <c r="A1811" s="178"/>
      <c r="B1811" s="179"/>
    </row>
    <row r="1812" spans="1:2" x14ac:dyDescent="0.15">
      <c r="A1812" s="178"/>
      <c r="B1812" s="179"/>
    </row>
    <row r="1813" spans="1:2" x14ac:dyDescent="0.15">
      <c r="A1813" s="178"/>
      <c r="B1813" s="179"/>
    </row>
    <row r="1814" spans="1:2" x14ac:dyDescent="0.15">
      <c r="A1814" s="178"/>
      <c r="B1814" s="179"/>
    </row>
    <row r="1815" spans="1:2" x14ac:dyDescent="0.15">
      <c r="A1815" s="178"/>
      <c r="B1815" s="179"/>
    </row>
    <row r="1816" spans="1:2" x14ac:dyDescent="0.15">
      <c r="A1816" s="178"/>
      <c r="B1816" s="179"/>
    </row>
    <row r="1817" spans="1:2" x14ac:dyDescent="0.15">
      <c r="A1817" s="178"/>
      <c r="B1817" s="179"/>
    </row>
    <row r="1818" spans="1:2" x14ac:dyDescent="0.15">
      <c r="A1818" s="178"/>
      <c r="B1818" s="179"/>
    </row>
    <row r="1819" spans="1:2" x14ac:dyDescent="0.15">
      <c r="A1819" s="178"/>
      <c r="B1819" s="179"/>
    </row>
    <row r="1820" spans="1:2" x14ac:dyDescent="0.15">
      <c r="A1820" s="178"/>
      <c r="B1820" s="179"/>
    </row>
    <row r="1821" spans="1:2" x14ac:dyDescent="0.15">
      <c r="A1821" s="178"/>
      <c r="B1821" s="179"/>
    </row>
    <row r="1822" spans="1:2" x14ac:dyDescent="0.15">
      <c r="A1822" s="178"/>
      <c r="B1822" s="179"/>
    </row>
    <row r="1823" spans="1:2" x14ac:dyDescent="0.15">
      <c r="A1823" s="178"/>
      <c r="B1823" s="179"/>
    </row>
    <row r="1824" spans="1:2" x14ac:dyDescent="0.15">
      <c r="A1824" s="178"/>
      <c r="B1824" s="179"/>
    </row>
    <row r="1825" spans="1:2" x14ac:dyDescent="0.15">
      <c r="A1825" s="178"/>
      <c r="B1825" s="179"/>
    </row>
    <row r="1826" spans="1:2" x14ac:dyDescent="0.15">
      <c r="A1826" s="178"/>
      <c r="B1826" s="179"/>
    </row>
    <row r="1827" spans="1:2" x14ac:dyDescent="0.15">
      <c r="A1827" s="178"/>
      <c r="B1827" s="179"/>
    </row>
    <row r="1828" spans="1:2" x14ac:dyDescent="0.15">
      <c r="A1828" s="178"/>
      <c r="B1828" s="179"/>
    </row>
    <row r="1829" spans="1:2" x14ac:dyDescent="0.15">
      <c r="A1829" s="178"/>
      <c r="B1829" s="179"/>
    </row>
    <row r="1830" spans="1:2" x14ac:dyDescent="0.15">
      <c r="A1830" s="178"/>
      <c r="B1830" s="179"/>
    </row>
    <row r="1831" spans="1:2" x14ac:dyDescent="0.15">
      <c r="A1831" s="178"/>
      <c r="B1831" s="179"/>
    </row>
    <row r="1832" spans="1:2" x14ac:dyDescent="0.15">
      <c r="A1832" s="178"/>
      <c r="B1832" s="179"/>
    </row>
    <row r="1833" spans="1:2" x14ac:dyDescent="0.15">
      <c r="A1833" s="178"/>
      <c r="B1833" s="179"/>
    </row>
    <row r="1834" spans="1:2" x14ac:dyDescent="0.15">
      <c r="A1834" s="178"/>
      <c r="B1834" s="179"/>
    </row>
    <row r="1835" spans="1:2" x14ac:dyDescent="0.15">
      <c r="A1835" s="178"/>
      <c r="B1835" s="179"/>
    </row>
    <row r="1836" spans="1:2" x14ac:dyDescent="0.15">
      <c r="A1836" s="178"/>
      <c r="B1836" s="179"/>
    </row>
    <row r="1837" spans="1:2" x14ac:dyDescent="0.15">
      <c r="A1837" s="178"/>
      <c r="B1837" s="179"/>
    </row>
    <row r="1838" spans="1:2" x14ac:dyDescent="0.15">
      <c r="A1838" s="178"/>
      <c r="B1838" s="179"/>
    </row>
    <row r="1839" spans="1:2" x14ac:dyDescent="0.15">
      <c r="A1839" s="178"/>
      <c r="B1839" s="179"/>
    </row>
    <row r="1840" spans="1:2" x14ac:dyDescent="0.15">
      <c r="A1840" s="178"/>
      <c r="B1840" s="179"/>
    </row>
    <row r="1841" spans="1:2" x14ac:dyDescent="0.15">
      <c r="A1841" s="178"/>
      <c r="B1841" s="179"/>
    </row>
    <row r="1842" spans="1:2" x14ac:dyDescent="0.15">
      <c r="A1842" s="178"/>
      <c r="B1842" s="179"/>
    </row>
    <row r="1843" spans="1:2" x14ac:dyDescent="0.15">
      <c r="A1843" s="178"/>
      <c r="B1843" s="179"/>
    </row>
    <row r="1844" spans="1:2" x14ac:dyDescent="0.15">
      <c r="A1844" s="178"/>
      <c r="B1844" s="179"/>
    </row>
    <row r="1845" spans="1:2" x14ac:dyDescent="0.15">
      <c r="A1845" s="178"/>
      <c r="B1845" s="179"/>
    </row>
    <row r="1846" spans="1:2" x14ac:dyDescent="0.15">
      <c r="A1846" s="178"/>
      <c r="B1846" s="179"/>
    </row>
    <row r="1847" spans="1:2" x14ac:dyDescent="0.15">
      <c r="A1847" s="178"/>
      <c r="B1847" s="179"/>
    </row>
    <row r="1848" spans="1:2" x14ac:dyDescent="0.15">
      <c r="A1848" s="178"/>
      <c r="B1848" s="179"/>
    </row>
    <row r="1849" spans="1:2" x14ac:dyDescent="0.15">
      <c r="A1849" s="178"/>
      <c r="B1849" s="179"/>
    </row>
    <row r="1850" spans="1:2" x14ac:dyDescent="0.15">
      <c r="A1850" s="178"/>
      <c r="B1850" s="179"/>
    </row>
    <row r="1851" spans="1:2" x14ac:dyDescent="0.15">
      <c r="A1851" s="178"/>
      <c r="B1851" s="179"/>
    </row>
    <row r="1852" spans="1:2" x14ac:dyDescent="0.15">
      <c r="A1852" s="178"/>
      <c r="B1852" s="179"/>
    </row>
    <row r="1853" spans="1:2" x14ac:dyDescent="0.15">
      <c r="A1853" s="178"/>
      <c r="B1853" s="179"/>
    </row>
    <row r="1854" spans="1:2" x14ac:dyDescent="0.15">
      <c r="A1854" s="178"/>
      <c r="B1854" s="179"/>
    </row>
    <row r="1855" spans="1:2" x14ac:dyDescent="0.15">
      <c r="A1855" s="178"/>
      <c r="B1855" s="179"/>
    </row>
    <row r="1856" spans="1:2" x14ac:dyDescent="0.15">
      <c r="A1856" s="178"/>
      <c r="B1856" s="179"/>
    </row>
    <row r="1857" spans="1:2" x14ac:dyDescent="0.15">
      <c r="A1857" s="178"/>
      <c r="B1857" s="179"/>
    </row>
    <row r="1858" spans="1:2" x14ac:dyDescent="0.15">
      <c r="A1858" s="178"/>
      <c r="B1858" s="179"/>
    </row>
    <row r="1859" spans="1:2" x14ac:dyDescent="0.15">
      <c r="A1859" s="178"/>
      <c r="B1859" s="179"/>
    </row>
    <row r="1860" spans="1:2" x14ac:dyDescent="0.15">
      <c r="A1860" s="178"/>
      <c r="B1860" s="179"/>
    </row>
    <row r="1861" spans="1:2" x14ac:dyDescent="0.15">
      <c r="A1861" s="178"/>
      <c r="B1861" s="179"/>
    </row>
    <row r="1862" spans="1:2" x14ac:dyDescent="0.15">
      <c r="A1862" s="178"/>
      <c r="B1862" s="179"/>
    </row>
    <row r="1863" spans="1:2" x14ac:dyDescent="0.15">
      <c r="A1863" s="178"/>
      <c r="B1863" s="179"/>
    </row>
    <row r="1864" spans="1:2" x14ac:dyDescent="0.15">
      <c r="A1864" s="178"/>
      <c r="B1864" s="179"/>
    </row>
    <row r="1865" spans="1:2" x14ac:dyDescent="0.15">
      <c r="A1865" s="178"/>
      <c r="B1865" s="179"/>
    </row>
    <row r="1866" spans="1:2" x14ac:dyDescent="0.15">
      <c r="A1866" s="178"/>
      <c r="B1866" s="179"/>
    </row>
    <row r="1867" spans="1:2" x14ac:dyDescent="0.15">
      <c r="A1867" s="178"/>
      <c r="B1867" s="179"/>
    </row>
    <row r="1868" spans="1:2" x14ac:dyDescent="0.15">
      <c r="A1868" s="178"/>
      <c r="B1868" s="179"/>
    </row>
    <row r="1869" spans="1:2" x14ac:dyDescent="0.15">
      <c r="A1869" s="178"/>
      <c r="B1869" s="179"/>
    </row>
    <row r="1870" spans="1:2" x14ac:dyDescent="0.15">
      <c r="A1870" s="178"/>
      <c r="B1870" s="179"/>
    </row>
    <row r="1871" spans="1:2" x14ac:dyDescent="0.15">
      <c r="A1871" s="178"/>
      <c r="B1871" s="179"/>
    </row>
    <row r="1872" spans="1:2" x14ac:dyDescent="0.15">
      <c r="A1872" s="178"/>
      <c r="B1872" s="179"/>
    </row>
    <row r="1873" spans="1:2" x14ac:dyDescent="0.15">
      <c r="A1873" s="178"/>
      <c r="B1873" s="179"/>
    </row>
    <row r="1874" spans="1:2" x14ac:dyDescent="0.15">
      <c r="A1874" s="178"/>
      <c r="B1874" s="179"/>
    </row>
    <row r="1875" spans="1:2" x14ac:dyDescent="0.15">
      <c r="A1875" s="178"/>
      <c r="B1875" s="179"/>
    </row>
    <row r="1876" spans="1:2" x14ac:dyDescent="0.15">
      <c r="A1876" s="178"/>
      <c r="B1876" s="179"/>
    </row>
    <row r="1877" spans="1:2" x14ac:dyDescent="0.15">
      <c r="A1877" s="178"/>
      <c r="B1877" s="179"/>
    </row>
    <row r="1878" spans="1:2" x14ac:dyDescent="0.15">
      <c r="A1878" s="178"/>
      <c r="B1878" s="179"/>
    </row>
    <row r="1879" spans="1:2" x14ac:dyDescent="0.15">
      <c r="A1879" s="178"/>
      <c r="B1879" s="179"/>
    </row>
    <row r="1880" spans="1:2" x14ac:dyDescent="0.15">
      <c r="A1880" s="178"/>
      <c r="B1880" s="179"/>
    </row>
    <row r="1881" spans="1:2" x14ac:dyDescent="0.15">
      <c r="A1881" s="178"/>
      <c r="B1881" s="179"/>
    </row>
    <row r="1882" spans="1:2" x14ac:dyDescent="0.15">
      <c r="A1882" s="178"/>
      <c r="B1882" s="179"/>
    </row>
    <row r="1883" spans="1:2" x14ac:dyDescent="0.15">
      <c r="A1883" s="178"/>
      <c r="B1883" s="179"/>
    </row>
    <row r="1884" spans="1:2" x14ac:dyDescent="0.15">
      <c r="A1884" s="178"/>
      <c r="B1884" s="179"/>
    </row>
    <row r="1885" spans="1:2" x14ac:dyDescent="0.15">
      <c r="A1885" s="178"/>
      <c r="B1885" s="179"/>
    </row>
    <row r="1886" spans="1:2" x14ac:dyDescent="0.15">
      <c r="A1886" s="178"/>
      <c r="B1886" s="179"/>
    </row>
    <row r="1887" spans="1:2" x14ac:dyDescent="0.15">
      <c r="A1887" s="178"/>
      <c r="B1887" s="179"/>
    </row>
    <row r="1888" spans="1:2" x14ac:dyDescent="0.15">
      <c r="A1888" s="178"/>
      <c r="B1888" s="179"/>
    </row>
    <row r="1889" spans="1:2" x14ac:dyDescent="0.15">
      <c r="A1889" s="178"/>
      <c r="B1889" s="179"/>
    </row>
    <row r="1890" spans="1:2" x14ac:dyDescent="0.15">
      <c r="A1890" s="178"/>
      <c r="B1890" s="179"/>
    </row>
    <row r="1891" spans="1:2" x14ac:dyDescent="0.15">
      <c r="A1891" s="178"/>
      <c r="B1891" s="179"/>
    </row>
    <row r="1892" spans="1:2" x14ac:dyDescent="0.15">
      <c r="A1892" s="178"/>
      <c r="B1892" s="179"/>
    </row>
    <row r="1893" spans="1:2" x14ac:dyDescent="0.15">
      <c r="A1893" s="178"/>
      <c r="B1893" s="179"/>
    </row>
    <row r="1894" spans="1:2" x14ac:dyDescent="0.15">
      <c r="A1894" s="178"/>
      <c r="B1894" s="179"/>
    </row>
    <row r="1895" spans="1:2" x14ac:dyDescent="0.15">
      <c r="A1895" s="178"/>
      <c r="B1895" s="179"/>
    </row>
    <row r="1896" spans="1:2" x14ac:dyDescent="0.15">
      <c r="A1896" s="178"/>
      <c r="B1896" s="179"/>
    </row>
    <row r="1897" spans="1:2" x14ac:dyDescent="0.15">
      <c r="A1897" s="178"/>
      <c r="B1897" s="179"/>
    </row>
    <row r="1898" spans="1:2" x14ac:dyDescent="0.15">
      <c r="A1898" s="178"/>
      <c r="B1898" s="179"/>
    </row>
    <row r="1899" spans="1:2" x14ac:dyDescent="0.15">
      <c r="A1899" s="178"/>
      <c r="B1899" s="179"/>
    </row>
    <row r="1900" spans="1:2" x14ac:dyDescent="0.15">
      <c r="A1900" s="178"/>
      <c r="B1900" s="179"/>
    </row>
    <row r="1901" spans="1:2" x14ac:dyDescent="0.15">
      <c r="A1901" s="178"/>
      <c r="B1901" s="179"/>
    </row>
    <row r="1902" spans="1:2" x14ac:dyDescent="0.15">
      <c r="A1902" s="178"/>
      <c r="B1902" s="179"/>
    </row>
    <row r="1903" spans="1:2" x14ac:dyDescent="0.15">
      <c r="A1903" s="178"/>
      <c r="B1903" s="179"/>
    </row>
    <row r="1904" spans="1:2" x14ac:dyDescent="0.15">
      <c r="A1904" s="178"/>
      <c r="B1904" s="179"/>
    </row>
    <row r="1905" spans="1:4" x14ac:dyDescent="0.15">
      <c r="A1905" s="178"/>
      <c r="B1905" s="179"/>
      <c r="C1905" s="179"/>
      <c r="D1905" s="179"/>
    </row>
    <row r="1906" spans="1:4" x14ac:dyDescent="0.15">
      <c r="A1906" s="178"/>
      <c r="B1906" s="179"/>
    </row>
    <row r="1907" spans="1:4" x14ac:dyDescent="0.15">
      <c r="A1907" s="178"/>
      <c r="B1907" s="179"/>
    </row>
    <row r="1908" spans="1:4" x14ac:dyDescent="0.15">
      <c r="A1908" s="178"/>
      <c r="B1908" s="179"/>
    </row>
    <row r="1909" spans="1:4" x14ac:dyDescent="0.15">
      <c r="A1909" s="178"/>
      <c r="B1909" s="179"/>
    </row>
    <row r="1910" spans="1:4" x14ac:dyDescent="0.15">
      <c r="A1910" s="178"/>
      <c r="B1910" s="179"/>
    </row>
    <row r="1911" spans="1:4" x14ac:dyDescent="0.15">
      <c r="A1911" s="178"/>
      <c r="B1911" s="179"/>
    </row>
    <row r="1912" spans="1:4" x14ac:dyDescent="0.15">
      <c r="A1912" s="178"/>
      <c r="B1912" s="179"/>
    </row>
    <row r="1913" spans="1:4" x14ac:dyDescent="0.15">
      <c r="A1913" s="178"/>
      <c r="B1913" s="179"/>
    </row>
    <row r="1914" spans="1:4" x14ac:dyDescent="0.15">
      <c r="A1914" s="178"/>
      <c r="B1914" s="179"/>
    </row>
    <row r="1915" spans="1:4" x14ac:dyDescent="0.15">
      <c r="A1915" s="178"/>
      <c r="B1915" s="179"/>
    </row>
    <row r="1916" spans="1:4" x14ac:dyDescent="0.15">
      <c r="A1916" s="178"/>
      <c r="B1916" s="179"/>
    </row>
    <row r="1917" spans="1:4" x14ac:dyDescent="0.15">
      <c r="A1917" s="178"/>
      <c r="B1917" s="179"/>
    </row>
    <row r="1918" spans="1:4" x14ac:dyDescent="0.15">
      <c r="A1918" s="178"/>
      <c r="B1918" s="179"/>
    </row>
    <row r="1919" spans="1:4" x14ac:dyDescent="0.15">
      <c r="A1919" s="178"/>
      <c r="B1919" s="179"/>
    </row>
    <row r="1920" spans="1:4" x14ac:dyDescent="0.15">
      <c r="A1920" s="178"/>
      <c r="B1920" s="179"/>
    </row>
    <row r="1921" spans="1:2" x14ac:dyDescent="0.15">
      <c r="A1921" s="178"/>
      <c r="B1921" s="179"/>
    </row>
    <row r="1922" spans="1:2" x14ac:dyDescent="0.15">
      <c r="A1922" s="178"/>
      <c r="B1922" s="179"/>
    </row>
    <row r="1923" spans="1:2" x14ac:dyDescent="0.15">
      <c r="A1923" s="178"/>
      <c r="B1923" s="179"/>
    </row>
    <row r="1924" spans="1:2" x14ac:dyDescent="0.15">
      <c r="A1924" s="178"/>
      <c r="B1924" s="179"/>
    </row>
    <row r="1925" spans="1:2" x14ac:dyDescent="0.15">
      <c r="A1925" s="178"/>
      <c r="B1925" s="179"/>
    </row>
    <row r="1926" spans="1:2" x14ac:dyDescent="0.15">
      <c r="A1926" s="178"/>
      <c r="B1926" s="179"/>
    </row>
    <row r="1927" spans="1:2" x14ac:dyDescent="0.15">
      <c r="A1927" s="178"/>
      <c r="B1927" s="179"/>
    </row>
    <row r="1928" spans="1:2" x14ac:dyDescent="0.15">
      <c r="A1928" s="178"/>
      <c r="B1928" s="179"/>
    </row>
    <row r="1929" spans="1:2" x14ac:dyDescent="0.15">
      <c r="A1929" s="178"/>
      <c r="B1929" s="179"/>
    </row>
    <row r="1930" spans="1:2" x14ac:dyDescent="0.15">
      <c r="A1930" s="178"/>
      <c r="B1930" s="179"/>
    </row>
    <row r="1931" spans="1:2" x14ac:dyDescent="0.15">
      <c r="A1931" s="178"/>
      <c r="B1931" s="179"/>
    </row>
    <row r="1932" spans="1:2" x14ac:dyDescent="0.15">
      <c r="A1932" s="178"/>
      <c r="B1932" s="179"/>
    </row>
    <row r="1933" spans="1:2" x14ac:dyDescent="0.15">
      <c r="A1933" s="178"/>
      <c r="B1933" s="179"/>
    </row>
    <row r="1934" spans="1:2" x14ac:dyDescent="0.15">
      <c r="A1934" s="178"/>
      <c r="B1934" s="179"/>
    </row>
    <row r="1935" spans="1:2" x14ac:dyDescent="0.15">
      <c r="A1935" s="178"/>
      <c r="B1935" s="179"/>
    </row>
    <row r="1936" spans="1:2" x14ac:dyDescent="0.15">
      <c r="A1936" s="178"/>
      <c r="B1936" s="179"/>
    </row>
    <row r="1937" spans="1:2" x14ac:dyDescent="0.15">
      <c r="A1937" s="178"/>
      <c r="B1937" s="179"/>
    </row>
    <row r="1938" spans="1:2" x14ac:dyDescent="0.15">
      <c r="A1938" s="178"/>
      <c r="B1938" s="179"/>
    </row>
    <row r="1939" spans="1:2" x14ac:dyDescent="0.15">
      <c r="A1939" s="178"/>
      <c r="B1939" s="179"/>
    </row>
    <row r="1940" spans="1:2" x14ac:dyDescent="0.15">
      <c r="A1940" s="178"/>
      <c r="B1940" s="179"/>
    </row>
    <row r="1941" spans="1:2" x14ac:dyDescent="0.15">
      <c r="A1941" s="178"/>
      <c r="B1941" s="179"/>
    </row>
    <row r="1942" spans="1:2" x14ac:dyDescent="0.15">
      <c r="A1942" s="178"/>
      <c r="B1942" s="179"/>
    </row>
    <row r="1943" spans="1:2" x14ac:dyDescent="0.15">
      <c r="A1943" s="178"/>
      <c r="B1943" s="179"/>
    </row>
    <row r="1944" spans="1:2" x14ac:dyDescent="0.15">
      <c r="A1944" s="178"/>
      <c r="B1944" s="179"/>
    </row>
    <row r="1945" spans="1:2" x14ac:dyDescent="0.15">
      <c r="A1945" s="178"/>
      <c r="B1945" s="179"/>
    </row>
    <row r="1946" spans="1:2" x14ac:dyDescent="0.15">
      <c r="A1946" s="178"/>
      <c r="B1946" s="179"/>
    </row>
    <row r="1947" spans="1:2" x14ac:dyDescent="0.15">
      <c r="A1947" s="178"/>
      <c r="B1947" s="179"/>
    </row>
    <row r="1948" spans="1:2" x14ac:dyDescent="0.15">
      <c r="A1948" s="178"/>
      <c r="B1948" s="179"/>
    </row>
    <row r="1949" spans="1:2" x14ac:dyDescent="0.15">
      <c r="A1949" s="178"/>
      <c r="B1949" s="179"/>
    </row>
    <row r="1950" spans="1:2" x14ac:dyDescent="0.15">
      <c r="A1950" s="178"/>
      <c r="B1950" s="179"/>
    </row>
    <row r="1951" spans="1:2" x14ac:dyDescent="0.15">
      <c r="A1951" s="178"/>
      <c r="B1951" s="179"/>
    </row>
    <row r="1952" spans="1:2" x14ac:dyDescent="0.15">
      <c r="A1952" s="178"/>
      <c r="B1952" s="179"/>
    </row>
    <row r="1953" spans="1:2" x14ac:dyDescent="0.15">
      <c r="A1953" s="178"/>
      <c r="B1953" s="179"/>
    </row>
    <row r="1954" spans="1:2" x14ac:dyDescent="0.15">
      <c r="A1954" s="178"/>
      <c r="B1954" s="179"/>
    </row>
    <row r="1955" spans="1:2" x14ac:dyDescent="0.15">
      <c r="A1955" s="178"/>
      <c r="B1955" s="179"/>
    </row>
    <row r="1956" spans="1:2" x14ac:dyDescent="0.15">
      <c r="A1956" s="178"/>
      <c r="B1956" s="179"/>
    </row>
    <row r="1957" spans="1:2" x14ac:dyDescent="0.15">
      <c r="A1957" s="178"/>
      <c r="B1957" s="179"/>
    </row>
    <row r="1958" spans="1:2" x14ac:dyDescent="0.15">
      <c r="A1958" s="178"/>
      <c r="B1958" s="179"/>
    </row>
    <row r="1959" spans="1:2" x14ac:dyDescent="0.15">
      <c r="A1959" s="178"/>
      <c r="B1959" s="179"/>
    </row>
    <row r="1960" spans="1:2" x14ac:dyDescent="0.15">
      <c r="A1960" s="178"/>
      <c r="B1960" s="179"/>
    </row>
    <row r="1961" spans="1:2" x14ac:dyDescent="0.15">
      <c r="A1961" s="178"/>
      <c r="B1961" s="179"/>
    </row>
    <row r="1962" spans="1:2" x14ac:dyDescent="0.15">
      <c r="A1962" s="178"/>
      <c r="B1962" s="179"/>
    </row>
    <row r="1963" spans="1:2" x14ac:dyDescent="0.15">
      <c r="A1963" s="178"/>
      <c r="B1963" s="179"/>
    </row>
    <row r="1964" spans="1:2" x14ac:dyDescent="0.15">
      <c r="A1964" s="178"/>
      <c r="B1964" s="179"/>
    </row>
    <row r="1965" spans="1:2" x14ac:dyDescent="0.15">
      <c r="A1965" s="178"/>
      <c r="B1965" s="179"/>
    </row>
    <row r="1966" spans="1:2" x14ac:dyDescent="0.15">
      <c r="A1966" s="178"/>
      <c r="B1966" s="179"/>
    </row>
    <row r="1967" spans="1:2" x14ac:dyDescent="0.15">
      <c r="A1967" s="178"/>
      <c r="B1967" s="179"/>
    </row>
    <row r="1968" spans="1:2" x14ac:dyDescent="0.15">
      <c r="A1968" s="178"/>
      <c r="B1968" s="179"/>
    </row>
    <row r="1969" spans="1:2" x14ac:dyDescent="0.15">
      <c r="A1969" s="178"/>
      <c r="B1969" s="179"/>
    </row>
    <row r="1970" spans="1:2" x14ac:dyDescent="0.15">
      <c r="A1970" s="178"/>
      <c r="B1970" s="179"/>
    </row>
    <row r="1971" spans="1:2" x14ac:dyDescent="0.15">
      <c r="A1971" s="178"/>
      <c r="B1971" s="179"/>
    </row>
    <row r="1972" spans="1:2" x14ac:dyDescent="0.15">
      <c r="A1972" s="178"/>
      <c r="B1972" s="179"/>
    </row>
    <row r="1973" spans="1:2" x14ac:dyDescent="0.15">
      <c r="A1973" s="178"/>
      <c r="B1973" s="179"/>
    </row>
    <row r="1974" spans="1:2" x14ac:dyDescent="0.15">
      <c r="A1974" s="178"/>
      <c r="B1974" s="179"/>
    </row>
    <row r="1975" spans="1:2" x14ac:dyDescent="0.15">
      <c r="A1975" s="178"/>
      <c r="B1975" s="179"/>
    </row>
    <row r="1976" spans="1:2" x14ac:dyDescent="0.15">
      <c r="A1976" s="178"/>
      <c r="B1976" s="179"/>
    </row>
    <row r="1977" spans="1:2" x14ac:dyDescent="0.15">
      <c r="A1977" s="178"/>
      <c r="B1977" s="179"/>
    </row>
    <row r="1978" spans="1:2" x14ac:dyDescent="0.15">
      <c r="A1978" s="178"/>
      <c r="B1978" s="179"/>
    </row>
    <row r="1979" spans="1:2" x14ac:dyDescent="0.15">
      <c r="A1979" s="178"/>
      <c r="B1979" s="179"/>
    </row>
    <row r="1980" spans="1:2" x14ac:dyDescent="0.15">
      <c r="A1980" s="178"/>
      <c r="B1980" s="179"/>
    </row>
    <row r="1981" spans="1:2" x14ac:dyDescent="0.15">
      <c r="A1981" s="178"/>
      <c r="B1981" s="179"/>
    </row>
    <row r="1982" spans="1:2" x14ac:dyDescent="0.15">
      <c r="A1982" s="178"/>
      <c r="B1982" s="179"/>
    </row>
    <row r="1983" spans="1:2" x14ac:dyDescent="0.15">
      <c r="A1983" s="178"/>
      <c r="B1983" s="179"/>
    </row>
    <row r="1984" spans="1:2" x14ac:dyDescent="0.15">
      <c r="A1984" s="178"/>
      <c r="B1984" s="179"/>
    </row>
    <row r="1985" spans="1:2" x14ac:dyDescent="0.15">
      <c r="A1985" s="178"/>
      <c r="B1985" s="179"/>
    </row>
    <row r="1986" spans="1:2" x14ac:dyDescent="0.15">
      <c r="A1986" s="178"/>
      <c r="B1986" s="179"/>
    </row>
    <row r="1987" spans="1:2" x14ac:dyDescent="0.15">
      <c r="A1987" s="178"/>
      <c r="B1987" s="179"/>
    </row>
    <row r="1988" spans="1:2" x14ac:dyDescent="0.15">
      <c r="A1988" s="178"/>
      <c r="B1988" s="179"/>
    </row>
    <row r="1989" spans="1:2" x14ac:dyDescent="0.15">
      <c r="A1989" s="178"/>
      <c r="B1989" s="179"/>
    </row>
    <row r="1990" spans="1:2" x14ac:dyDescent="0.15">
      <c r="A1990" s="178"/>
      <c r="B1990" s="179"/>
    </row>
    <row r="1991" spans="1:2" x14ac:dyDescent="0.15">
      <c r="A1991" s="178"/>
      <c r="B1991" s="179"/>
    </row>
    <row r="1992" spans="1:2" x14ac:dyDescent="0.15">
      <c r="A1992" s="178"/>
      <c r="B1992" s="179"/>
    </row>
    <row r="1993" spans="1:2" x14ac:dyDescent="0.15">
      <c r="A1993" s="178"/>
      <c r="B1993" s="179"/>
    </row>
    <row r="1994" spans="1:2" x14ac:dyDescent="0.15">
      <c r="A1994" s="178"/>
      <c r="B1994" s="179"/>
    </row>
    <row r="1995" spans="1:2" x14ac:dyDescent="0.15">
      <c r="A1995" s="178"/>
      <c r="B1995" s="179"/>
    </row>
    <row r="1996" spans="1:2" x14ac:dyDescent="0.15">
      <c r="A1996" s="178"/>
      <c r="B1996" s="179"/>
    </row>
    <row r="1997" spans="1:2" x14ac:dyDescent="0.15">
      <c r="A1997" s="178"/>
      <c r="B1997" s="179"/>
    </row>
    <row r="1998" spans="1:2" x14ac:dyDescent="0.15">
      <c r="A1998" s="178"/>
      <c r="B1998" s="179"/>
    </row>
    <row r="1999" spans="1:2" x14ac:dyDescent="0.15">
      <c r="A1999" s="178"/>
      <c r="B1999" s="179"/>
    </row>
    <row r="2000" spans="1:2" x14ac:dyDescent="0.15">
      <c r="A2000" s="178"/>
      <c r="B2000" s="179"/>
    </row>
    <row r="2001" spans="1:4" x14ac:dyDescent="0.15">
      <c r="A2001" s="178"/>
      <c r="B2001" s="179"/>
    </row>
    <row r="2002" spans="1:4" x14ac:dyDescent="0.15">
      <c r="A2002" s="178"/>
      <c r="B2002" s="179"/>
    </row>
    <row r="2003" spans="1:4" x14ac:dyDescent="0.15">
      <c r="A2003" s="178"/>
      <c r="B2003" s="179"/>
    </row>
    <row r="2004" spans="1:4" x14ac:dyDescent="0.15">
      <c r="A2004" s="178"/>
      <c r="B2004" s="179"/>
    </row>
    <row r="2005" spans="1:4" x14ac:dyDescent="0.15">
      <c r="A2005" s="178"/>
      <c r="B2005" s="179"/>
      <c r="C2005" s="179"/>
      <c r="D2005" s="179"/>
    </row>
    <row r="2006" spans="1:4" x14ac:dyDescent="0.15">
      <c r="A2006" s="178"/>
      <c r="B2006" s="179"/>
    </row>
    <row r="2007" spans="1:4" x14ac:dyDescent="0.15">
      <c r="A2007" s="178"/>
      <c r="B2007" s="179"/>
    </row>
    <row r="2008" spans="1:4" x14ac:dyDescent="0.15">
      <c r="A2008" s="178"/>
      <c r="B2008" s="179"/>
    </row>
    <row r="2009" spans="1:4" x14ac:dyDescent="0.15">
      <c r="A2009" s="178"/>
      <c r="B2009" s="179"/>
    </row>
    <row r="2010" spans="1:4" x14ac:dyDescent="0.15">
      <c r="A2010" s="178"/>
      <c r="B2010" s="179"/>
    </row>
    <row r="2011" spans="1:4" x14ac:dyDescent="0.15">
      <c r="A2011" s="178"/>
      <c r="B2011" s="179"/>
    </row>
    <row r="2012" spans="1:4" x14ac:dyDescent="0.15">
      <c r="A2012" s="178"/>
      <c r="B2012" s="179"/>
    </row>
    <row r="2013" spans="1:4" x14ac:dyDescent="0.15">
      <c r="A2013" s="178"/>
      <c r="B2013" s="179"/>
    </row>
    <row r="2014" spans="1:4" x14ac:dyDescent="0.15">
      <c r="A2014" s="178"/>
      <c r="B2014" s="179"/>
    </row>
    <row r="2015" spans="1:4" x14ac:dyDescent="0.15">
      <c r="A2015" s="178"/>
      <c r="B2015" s="179"/>
    </row>
    <row r="2016" spans="1:4" x14ac:dyDescent="0.15">
      <c r="A2016" s="178"/>
      <c r="B2016" s="179"/>
    </row>
    <row r="2017" spans="1:2" x14ac:dyDescent="0.15">
      <c r="A2017" s="178"/>
      <c r="B2017" s="179"/>
    </row>
    <row r="2018" spans="1:2" x14ac:dyDescent="0.15">
      <c r="A2018" s="178"/>
      <c r="B2018" s="179"/>
    </row>
    <row r="2019" spans="1:2" x14ac:dyDescent="0.15">
      <c r="A2019" s="178"/>
      <c r="B2019" s="179"/>
    </row>
    <row r="2020" spans="1:2" x14ac:dyDescent="0.15">
      <c r="A2020" s="178"/>
      <c r="B2020" s="179"/>
    </row>
    <row r="2021" spans="1:2" x14ac:dyDescent="0.15">
      <c r="A2021" s="178"/>
      <c r="B2021" s="179"/>
    </row>
    <row r="2022" spans="1:2" x14ac:dyDescent="0.15">
      <c r="A2022" s="178"/>
      <c r="B2022" s="179"/>
    </row>
    <row r="2023" spans="1:2" x14ac:dyDescent="0.15">
      <c r="A2023" s="178"/>
      <c r="B2023" s="179"/>
    </row>
    <row r="2024" spans="1:2" x14ac:dyDescent="0.15">
      <c r="A2024" s="178"/>
      <c r="B2024" s="179"/>
    </row>
    <row r="2025" spans="1:2" x14ac:dyDescent="0.15">
      <c r="A2025" s="178"/>
      <c r="B2025" s="179"/>
    </row>
    <row r="2026" spans="1:2" x14ac:dyDescent="0.15">
      <c r="A2026" s="178"/>
      <c r="B2026" s="179"/>
    </row>
    <row r="2027" spans="1:2" x14ac:dyDescent="0.15">
      <c r="A2027" s="178"/>
      <c r="B2027" s="179"/>
    </row>
    <row r="2028" spans="1:2" x14ac:dyDescent="0.15">
      <c r="A2028" s="178"/>
      <c r="B2028" s="179"/>
    </row>
    <row r="2029" spans="1:2" x14ac:dyDescent="0.15">
      <c r="A2029" s="178"/>
      <c r="B2029" s="179"/>
    </row>
    <row r="2030" spans="1:2" x14ac:dyDescent="0.15">
      <c r="A2030" s="178"/>
      <c r="B2030" s="179"/>
    </row>
    <row r="2031" spans="1:2" x14ac:dyDescent="0.15">
      <c r="A2031" s="178"/>
      <c r="B2031" s="179"/>
    </row>
    <row r="2032" spans="1:2" x14ac:dyDescent="0.15">
      <c r="A2032" s="178"/>
      <c r="B2032" s="179"/>
    </row>
    <row r="2033" spans="1:2" x14ac:dyDescent="0.15">
      <c r="A2033" s="178"/>
      <c r="B2033" s="179"/>
    </row>
    <row r="2034" spans="1:2" x14ac:dyDescent="0.15">
      <c r="A2034" s="178"/>
      <c r="B2034" s="179"/>
    </row>
    <row r="2035" spans="1:2" x14ac:dyDescent="0.15">
      <c r="A2035" s="178"/>
      <c r="B2035" s="179"/>
    </row>
    <row r="2036" spans="1:2" x14ac:dyDescent="0.15">
      <c r="A2036" s="178"/>
      <c r="B2036" s="179"/>
    </row>
    <row r="2037" spans="1:2" x14ac:dyDescent="0.15">
      <c r="A2037" s="178"/>
      <c r="B2037" s="179"/>
    </row>
    <row r="2038" spans="1:2" x14ac:dyDescent="0.15">
      <c r="A2038" s="178"/>
      <c r="B2038" s="179"/>
    </row>
    <row r="2039" spans="1:2" x14ac:dyDescent="0.15">
      <c r="A2039" s="178"/>
      <c r="B2039" s="179"/>
    </row>
    <row r="2040" spans="1:2" x14ac:dyDescent="0.15">
      <c r="A2040" s="178"/>
      <c r="B2040" s="179"/>
    </row>
    <row r="2041" spans="1:2" x14ac:dyDescent="0.15">
      <c r="A2041" s="178"/>
      <c r="B2041" s="179"/>
    </row>
    <row r="2042" spans="1:2" x14ac:dyDescent="0.15">
      <c r="A2042" s="178"/>
      <c r="B2042" s="179"/>
    </row>
    <row r="2043" spans="1:2" x14ac:dyDescent="0.15">
      <c r="A2043" s="178"/>
      <c r="B2043" s="179"/>
    </row>
    <row r="2044" spans="1:2" x14ac:dyDescent="0.15">
      <c r="A2044" s="178"/>
      <c r="B2044" s="179"/>
    </row>
    <row r="2045" spans="1:2" x14ac:dyDescent="0.15">
      <c r="A2045" s="178"/>
      <c r="B2045" s="179"/>
    </row>
    <row r="2046" spans="1:2" x14ac:dyDescent="0.15">
      <c r="A2046" s="178"/>
      <c r="B2046" s="179"/>
    </row>
    <row r="2047" spans="1:2" x14ac:dyDescent="0.15">
      <c r="A2047" s="178"/>
      <c r="B2047" s="179"/>
    </row>
    <row r="2048" spans="1:2" x14ac:dyDescent="0.15">
      <c r="A2048" s="178"/>
      <c r="B2048" s="179"/>
    </row>
    <row r="2049" spans="1:2" x14ac:dyDescent="0.15">
      <c r="A2049" s="178"/>
      <c r="B2049" s="179"/>
    </row>
    <row r="2050" spans="1:2" x14ac:dyDescent="0.15">
      <c r="A2050" s="178"/>
      <c r="B2050" s="179"/>
    </row>
    <row r="2051" spans="1:2" x14ac:dyDescent="0.15">
      <c r="A2051" s="178"/>
      <c r="B2051" s="179"/>
    </row>
    <row r="2052" spans="1:2" x14ac:dyDescent="0.15">
      <c r="A2052" s="178"/>
      <c r="B2052" s="179"/>
    </row>
    <row r="2053" spans="1:2" x14ac:dyDescent="0.15">
      <c r="A2053" s="178"/>
      <c r="B2053" s="179"/>
    </row>
    <row r="2054" spans="1:2" x14ac:dyDescent="0.15">
      <c r="A2054" s="178"/>
      <c r="B2054" s="179"/>
    </row>
    <row r="2055" spans="1:2" x14ac:dyDescent="0.15">
      <c r="A2055" s="178"/>
      <c r="B2055" s="179"/>
    </row>
    <row r="2056" spans="1:2" x14ac:dyDescent="0.15">
      <c r="A2056" s="178"/>
      <c r="B2056" s="179"/>
    </row>
    <row r="2057" spans="1:2" x14ac:dyDescent="0.15">
      <c r="A2057" s="178"/>
      <c r="B2057" s="179"/>
    </row>
    <row r="2058" spans="1:2" x14ac:dyDescent="0.15">
      <c r="A2058" s="178"/>
      <c r="B2058" s="179"/>
    </row>
    <row r="2059" spans="1:2" x14ac:dyDescent="0.15">
      <c r="A2059" s="178"/>
      <c r="B2059" s="179"/>
    </row>
    <row r="2060" spans="1:2" x14ac:dyDescent="0.15">
      <c r="A2060" s="178"/>
      <c r="B2060" s="179"/>
    </row>
    <row r="2061" spans="1:2" x14ac:dyDescent="0.15">
      <c r="A2061" s="178"/>
      <c r="B2061" s="179"/>
    </row>
    <row r="2062" spans="1:2" x14ac:dyDescent="0.15">
      <c r="A2062" s="178"/>
      <c r="B2062" s="179"/>
    </row>
    <row r="2063" spans="1:2" x14ac:dyDescent="0.15">
      <c r="A2063" s="178"/>
      <c r="B2063" s="179"/>
    </row>
    <row r="2064" spans="1:2" x14ac:dyDescent="0.15">
      <c r="A2064" s="178"/>
      <c r="B2064" s="179"/>
    </row>
    <row r="2065" spans="1:2" x14ac:dyDescent="0.15">
      <c r="A2065" s="178"/>
      <c r="B2065" s="179"/>
    </row>
    <row r="2066" spans="1:2" x14ac:dyDescent="0.15">
      <c r="A2066" s="178"/>
      <c r="B2066" s="179"/>
    </row>
    <row r="2067" spans="1:2" x14ac:dyDescent="0.15">
      <c r="A2067" s="178"/>
      <c r="B2067" s="179"/>
    </row>
    <row r="2068" spans="1:2" x14ac:dyDescent="0.15">
      <c r="A2068" s="178"/>
      <c r="B2068" s="179"/>
    </row>
    <row r="2069" spans="1:2" x14ac:dyDescent="0.15">
      <c r="A2069" s="178"/>
      <c r="B2069" s="179"/>
    </row>
    <row r="2070" spans="1:2" x14ac:dyDescent="0.15">
      <c r="A2070" s="178"/>
      <c r="B2070" s="179"/>
    </row>
    <row r="2071" spans="1:2" x14ac:dyDescent="0.15">
      <c r="A2071" s="178"/>
      <c r="B2071" s="179"/>
    </row>
    <row r="2072" spans="1:2" x14ac:dyDescent="0.15">
      <c r="A2072" s="178"/>
      <c r="B2072" s="179"/>
    </row>
    <row r="2073" spans="1:2" x14ac:dyDescent="0.15">
      <c r="A2073" s="178"/>
      <c r="B2073" s="179"/>
    </row>
    <row r="2074" spans="1:2" x14ac:dyDescent="0.15">
      <c r="A2074" s="178"/>
      <c r="B2074" s="179"/>
    </row>
    <row r="2075" spans="1:2" x14ac:dyDescent="0.15">
      <c r="A2075" s="178"/>
      <c r="B2075" s="179"/>
    </row>
    <row r="2076" spans="1:2" x14ac:dyDescent="0.15">
      <c r="A2076" s="178"/>
      <c r="B2076" s="179"/>
    </row>
    <row r="2077" spans="1:2" x14ac:dyDescent="0.15">
      <c r="A2077" s="178"/>
      <c r="B2077" s="179"/>
    </row>
    <row r="2078" spans="1:2" x14ac:dyDescent="0.15">
      <c r="A2078" s="178"/>
      <c r="B2078" s="179"/>
    </row>
    <row r="2079" spans="1:2" x14ac:dyDescent="0.15">
      <c r="A2079" s="178"/>
      <c r="B2079" s="179"/>
    </row>
    <row r="2080" spans="1:2" x14ac:dyDescent="0.15">
      <c r="A2080" s="178"/>
      <c r="B2080" s="179"/>
    </row>
    <row r="2081" spans="1:2" x14ac:dyDescent="0.15">
      <c r="A2081" s="178"/>
      <c r="B2081" s="179"/>
    </row>
    <row r="2082" spans="1:2" x14ac:dyDescent="0.15">
      <c r="A2082" s="178"/>
      <c r="B2082" s="179"/>
    </row>
    <row r="2083" spans="1:2" x14ac:dyDescent="0.15">
      <c r="A2083" s="178"/>
      <c r="B2083" s="179"/>
    </row>
    <row r="2084" spans="1:2" x14ac:dyDescent="0.15">
      <c r="A2084" s="178"/>
      <c r="B2084" s="179"/>
    </row>
    <row r="2085" spans="1:2" x14ac:dyDescent="0.15">
      <c r="A2085" s="178"/>
      <c r="B2085" s="179"/>
    </row>
    <row r="2086" spans="1:2" x14ac:dyDescent="0.15">
      <c r="A2086" s="178"/>
      <c r="B2086" s="179"/>
    </row>
    <row r="2087" spans="1:2" x14ac:dyDescent="0.15">
      <c r="A2087" s="178"/>
      <c r="B2087" s="179"/>
    </row>
    <row r="2088" spans="1:2" x14ac:dyDescent="0.15">
      <c r="A2088" s="178"/>
      <c r="B2088" s="179"/>
    </row>
    <row r="2089" spans="1:2" x14ac:dyDescent="0.15">
      <c r="A2089" s="178"/>
      <c r="B2089" s="179"/>
    </row>
    <row r="2090" spans="1:2" x14ac:dyDescent="0.15">
      <c r="A2090" s="178"/>
      <c r="B2090" s="179"/>
    </row>
    <row r="2091" spans="1:2" x14ac:dyDescent="0.15">
      <c r="A2091" s="178"/>
      <c r="B2091" s="179"/>
    </row>
    <row r="2092" spans="1:2" x14ac:dyDescent="0.15">
      <c r="A2092" s="178"/>
      <c r="B2092" s="179"/>
    </row>
    <row r="2093" spans="1:2" x14ac:dyDescent="0.15">
      <c r="A2093" s="178"/>
      <c r="B2093" s="179"/>
    </row>
    <row r="2094" spans="1:2" x14ac:dyDescent="0.15">
      <c r="A2094" s="178"/>
      <c r="B2094" s="179"/>
    </row>
    <row r="2095" spans="1:2" x14ac:dyDescent="0.15">
      <c r="A2095" s="178"/>
      <c r="B2095" s="179"/>
    </row>
    <row r="2096" spans="1:2" x14ac:dyDescent="0.15">
      <c r="A2096" s="178"/>
      <c r="B2096" s="179"/>
    </row>
    <row r="2097" spans="1:4" x14ac:dyDescent="0.15">
      <c r="A2097" s="178"/>
      <c r="B2097" s="179"/>
    </row>
    <row r="2098" spans="1:4" x14ac:dyDescent="0.15">
      <c r="A2098" s="178"/>
      <c r="B2098" s="179"/>
    </row>
    <row r="2099" spans="1:4" x14ac:dyDescent="0.15">
      <c r="A2099" s="178"/>
      <c r="B2099" s="179"/>
    </row>
    <row r="2100" spans="1:4" x14ac:dyDescent="0.15">
      <c r="A2100" s="178"/>
      <c r="B2100" s="179"/>
    </row>
    <row r="2101" spans="1:4" x14ac:dyDescent="0.15">
      <c r="A2101" s="178"/>
      <c r="B2101" s="179"/>
    </row>
    <row r="2102" spans="1:4" x14ac:dyDescent="0.15">
      <c r="A2102" s="178"/>
      <c r="B2102" s="179"/>
    </row>
    <row r="2103" spans="1:4" x14ac:dyDescent="0.15">
      <c r="A2103" s="178"/>
      <c r="B2103" s="179"/>
    </row>
    <row r="2104" spans="1:4" x14ac:dyDescent="0.15">
      <c r="A2104" s="178"/>
      <c r="B2104" s="179"/>
    </row>
    <row r="2105" spans="1:4" x14ac:dyDescent="0.15">
      <c r="A2105" s="178"/>
      <c r="B2105" s="179"/>
      <c r="C2105" s="179"/>
      <c r="D2105" s="179"/>
    </row>
    <row r="2106" spans="1:4" x14ac:dyDescent="0.15">
      <c r="A2106" s="178"/>
      <c r="B2106" s="179"/>
    </row>
    <row r="2107" spans="1:4" x14ac:dyDescent="0.15">
      <c r="A2107" s="178"/>
      <c r="B2107" s="179"/>
    </row>
    <row r="2108" spans="1:4" x14ac:dyDescent="0.15">
      <c r="A2108" s="178"/>
      <c r="B2108" s="179"/>
    </row>
    <row r="2109" spans="1:4" x14ac:dyDescent="0.15">
      <c r="A2109" s="178"/>
      <c r="B2109" s="179"/>
    </row>
    <row r="2110" spans="1:4" x14ac:dyDescent="0.15">
      <c r="A2110" s="178"/>
      <c r="B2110" s="179"/>
    </row>
    <row r="2111" spans="1:4" x14ac:dyDescent="0.15">
      <c r="A2111" s="178"/>
      <c r="B2111" s="179"/>
    </row>
    <row r="2112" spans="1:4" x14ac:dyDescent="0.15">
      <c r="A2112" s="178"/>
      <c r="B2112" s="179"/>
    </row>
    <row r="2113" spans="1:2" x14ac:dyDescent="0.15">
      <c r="A2113" s="178"/>
      <c r="B2113" s="179"/>
    </row>
    <row r="2114" spans="1:2" x14ac:dyDescent="0.15">
      <c r="A2114" s="178"/>
      <c r="B2114" s="179"/>
    </row>
    <row r="2115" spans="1:2" x14ac:dyDescent="0.15">
      <c r="A2115" s="178"/>
      <c r="B2115" s="179"/>
    </row>
    <row r="2116" spans="1:2" x14ac:dyDescent="0.15">
      <c r="A2116" s="178"/>
      <c r="B2116" s="179"/>
    </row>
    <row r="2117" spans="1:2" x14ac:dyDescent="0.15">
      <c r="A2117" s="178"/>
      <c r="B2117" s="179"/>
    </row>
    <row r="2118" spans="1:2" x14ac:dyDescent="0.15">
      <c r="A2118" s="178"/>
      <c r="B2118" s="179"/>
    </row>
    <row r="2119" spans="1:2" x14ac:dyDescent="0.15">
      <c r="A2119" s="178"/>
      <c r="B2119" s="179"/>
    </row>
    <row r="2120" spans="1:2" x14ac:dyDescent="0.15">
      <c r="A2120" s="178"/>
      <c r="B2120" s="179"/>
    </row>
    <row r="2121" spans="1:2" x14ac:dyDescent="0.15">
      <c r="A2121" s="178"/>
      <c r="B2121" s="179"/>
    </row>
    <row r="2122" spans="1:2" x14ac:dyDescent="0.15">
      <c r="A2122" s="178"/>
      <c r="B2122" s="179"/>
    </row>
    <row r="2123" spans="1:2" x14ac:dyDescent="0.15">
      <c r="A2123" s="178"/>
      <c r="B2123" s="179"/>
    </row>
    <row r="2124" spans="1:2" x14ac:dyDescent="0.15">
      <c r="A2124" s="178"/>
      <c r="B2124" s="179"/>
    </row>
    <row r="2125" spans="1:2" x14ac:dyDescent="0.15">
      <c r="A2125" s="178"/>
      <c r="B2125" s="179"/>
    </row>
    <row r="2126" spans="1:2" x14ac:dyDescent="0.15">
      <c r="A2126" s="178"/>
      <c r="B2126" s="179"/>
    </row>
    <row r="2127" spans="1:2" x14ac:dyDescent="0.15">
      <c r="A2127" s="178"/>
      <c r="B2127" s="179"/>
    </row>
    <row r="2128" spans="1:2" x14ac:dyDescent="0.15">
      <c r="A2128" s="178"/>
      <c r="B2128" s="179"/>
    </row>
    <row r="2129" spans="1:2" x14ac:dyDescent="0.15">
      <c r="A2129" s="178"/>
      <c r="B2129" s="179"/>
    </row>
    <row r="2130" spans="1:2" x14ac:dyDescent="0.15">
      <c r="A2130" s="178"/>
      <c r="B2130" s="179"/>
    </row>
    <row r="2131" spans="1:2" x14ac:dyDescent="0.15">
      <c r="A2131" s="178"/>
      <c r="B2131" s="179"/>
    </row>
    <row r="2132" spans="1:2" x14ac:dyDescent="0.15">
      <c r="A2132" s="178"/>
      <c r="B2132" s="179"/>
    </row>
    <row r="2133" spans="1:2" x14ac:dyDescent="0.15">
      <c r="A2133" s="178"/>
      <c r="B2133" s="179"/>
    </row>
    <row r="2134" spans="1:2" x14ac:dyDescent="0.15">
      <c r="A2134" s="178"/>
      <c r="B2134" s="179"/>
    </row>
    <row r="2135" spans="1:2" x14ac:dyDescent="0.15">
      <c r="A2135" s="178"/>
      <c r="B2135" s="179"/>
    </row>
    <row r="2136" spans="1:2" x14ac:dyDescent="0.15">
      <c r="A2136" s="178"/>
      <c r="B2136" s="179"/>
    </row>
    <row r="2137" spans="1:2" x14ac:dyDescent="0.15">
      <c r="A2137" s="178"/>
      <c r="B2137" s="179"/>
    </row>
    <row r="2138" spans="1:2" x14ac:dyDescent="0.15">
      <c r="A2138" s="178"/>
      <c r="B2138" s="179"/>
    </row>
    <row r="2139" spans="1:2" x14ac:dyDescent="0.15">
      <c r="A2139" s="178"/>
      <c r="B2139" s="179"/>
    </row>
    <row r="2140" spans="1:2" x14ac:dyDescent="0.15">
      <c r="A2140" s="178"/>
      <c r="B2140" s="179"/>
    </row>
    <row r="2141" spans="1:2" x14ac:dyDescent="0.15">
      <c r="A2141" s="178"/>
      <c r="B2141" s="179"/>
    </row>
    <row r="2142" spans="1:2" x14ac:dyDescent="0.15">
      <c r="A2142" s="178"/>
      <c r="B2142" s="179"/>
    </row>
    <row r="2143" spans="1:2" x14ac:dyDescent="0.15">
      <c r="A2143" s="178"/>
      <c r="B2143" s="179"/>
    </row>
    <row r="2144" spans="1:2" x14ac:dyDescent="0.15">
      <c r="A2144" s="178"/>
      <c r="B2144" s="179"/>
    </row>
    <row r="2145" spans="1:2" x14ac:dyDescent="0.15">
      <c r="A2145" s="178"/>
      <c r="B2145" s="179"/>
    </row>
    <row r="2146" spans="1:2" x14ac:dyDescent="0.15">
      <c r="A2146" s="178"/>
      <c r="B2146" s="179"/>
    </row>
    <row r="2147" spans="1:2" x14ac:dyDescent="0.15">
      <c r="A2147" s="178"/>
      <c r="B2147" s="179"/>
    </row>
    <row r="2148" spans="1:2" x14ac:dyDescent="0.15">
      <c r="A2148" s="178"/>
      <c r="B2148" s="179"/>
    </row>
    <row r="2149" spans="1:2" x14ac:dyDescent="0.15">
      <c r="A2149" s="178"/>
      <c r="B2149" s="179"/>
    </row>
    <row r="2150" spans="1:2" x14ac:dyDescent="0.15">
      <c r="A2150" s="178"/>
      <c r="B2150" s="179"/>
    </row>
    <row r="2151" spans="1:2" x14ac:dyDescent="0.15">
      <c r="A2151" s="178"/>
      <c r="B2151" s="179"/>
    </row>
    <row r="2152" spans="1:2" x14ac:dyDescent="0.15">
      <c r="A2152" s="178"/>
      <c r="B2152" s="179"/>
    </row>
    <row r="2153" spans="1:2" x14ac:dyDescent="0.15">
      <c r="A2153" s="178"/>
      <c r="B2153" s="179"/>
    </row>
    <row r="2154" spans="1:2" x14ac:dyDescent="0.15">
      <c r="A2154" s="178"/>
      <c r="B2154" s="179"/>
    </row>
    <row r="2155" spans="1:2" x14ac:dyDescent="0.15">
      <c r="A2155" s="178"/>
      <c r="B2155" s="179"/>
    </row>
    <row r="2156" spans="1:2" x14ac:dyDescent="0.15">
      <c r="A2156" s="178"/>
      <c r="B2156" s="179"/>
    </row>
    <row r="2157" spans="1:2" x14ac:dyDescent="0.15">
      <c r="A2157" s="178"/>
      <c r="B2157" s="179"/>
    </row>
    <row r="2158" spans="1:2" x14ac:dyDescent="0.15">
      <c r="A2158" s="178"/>
      <c r="B2158" s="179"/>
    </row>
    <row r="2159" spans="1:2" x14ac:dyDescent="0.15">
      <c r="A2159" s="178"/>
      <c r="B2159" s="179"/>
    </row>
    <row r="2160" spans="1:2" x14ac:dyDescent="0.15">
      <c r="A2160" s="178"/>
      <c r="B2160" s="179"/>
    </row>
    <row r="2161" spans="1:2" x14ac:dyDescent="0.15">
      <c r="A2161" s="178"/>
      <c r="B2161" s="179"/>
    </row>
    <row r="2162" spans="1:2" x14ac:dyDescent="0.15">
      <c r="A2162" s="178"/>
      <c r="B2162" s="179"/>
    </row>
    <row r="2163" spans="1:2" x14ac:dyDescent="0.15">
      <c r="A2163" s="178"/>
      <c r="B2163" s="179"/>
    </row>
    <row r="2164" spans="1:2" x14ac:dyDescent="0.15">
      <c r="A2164" s="178"/>
      <c r="B2164" s="179"/>
    </row>
    <row r="2165" spans="1:2" x14ac:dyDescent="0.15">
      <c r="A2165" s="178"/>
      <c r="B2165" s="179"/>
    </row>
    <row r="2166" spans="1:2" x14ac:dyDescent="0.15">
      <c r="A2166" s="178"/>
      <c r="B2166" s="179"/>
    </row>
    <row r="2167" spans="1:2" x14ac:dyDescent="0.15">
      <c r="A2167" s="178"/>
      <c r="B2167" s="179"/>
    </row>
    <row r="2168" spans="1:2" x14ac:dyDescent="0.15">
      <c r="A2168" s="178"/>
      <c r="B2168" s="179"/>
    </row>
    <row r="2169" spans="1:2" x14ac:dyDescent="0.15">
      <c r="A2169" s="178"/>
      <c r="B2169" s="179"/>
    </row>
    <row r="2170" spans="1:2" x14ac:dyDescent="0.15">
      <c r="A2170" s="178"/>
      <c r="B2170" s="179"/>
    </row>
    <row r="2171" spans="1:2" x14ac:dyDescent="0.15">
      <c r="A2171" s="178"/>
      <c r="B2171" s="179"/>
    </row>
    <row r="2172" spans="1:2" x14ac:dyDescent="0.15">
      <c r="A2172" s="178"/>
      <c r="B2172" s="179"/>
    </row>
    <row r="2173" spans="1:2" x14ac:dyDescent="0.15">
      <c r="A2173" s="178"/>
      <c r="B2173" s="179"/>
    </row>
    <row r="2174" spans="1:2" x14ac:dyDescent="0.15">
      <c r="A2174" s="178"/>
      <c r="B2174" s="179"/>
    </row>
    <row r="2175" spans="1:2" x14ac:dyDescent="0.15">
      <c r="A2175" s="178"/>
      <c r="B2175" s="179"/>
    </row>
    <row r="2176" spans="1:2" x14ac:dyDescent="0.15">
      <c r="A2176" s="178"/>
      <c r="B2176" s="179"/>
    </row>
    <row r="2177" spans="1:2" x14ac:dyDescent="0.15">
      <c r="A2177" s="178"/>
      <c r="B2177" s="179"/>
    </row>
    <row r="2178" spans="1:2" x14ac:dyDescent="0.15">
      <c r="A2178" s="178"/>
      <c r="B2178" s="179"/>
    </row>
    <row r="2179" spans="1:2" x14ac:dyDescent="0.15">
      <c r="A2179" s="178"/>
      <c r="B2179" s="179"/>
    </row>
    <row r="2180" spans="1:2" x14ac:dyDescent="0.15">
      <c r="A2180" s="178"/>
      <c r="B2180" s="179"/>
    </row>
    <row r="2181" spans="1:2" x14ac:dyDescent="0.15">
      <c r="A2181" s="178"/>
      <c r="B2181" s="179"/>
    </row>
    <row r="2182" spans="1:2" x14ac:dyDescent="0.15">
      <c r="A2182" s="178"/>
      <c r="B2182" s="179"/>
    </row>
    <row r="2183" spans="1:2" x14ac:dyDescent="0.15">
      <c r="A2183" s="178"/>
      <c r="B2183" s="179"/>
    </row>
    <row r="2184" spans="1:2" x14ac:dyDescent="0.15">
      <c r="A2184" s="178"/>
      <c r="B2184" s="179"/>
    </row>
    <row r="2185" spans="1:2" x14ac:dyDescent="0.15">
      <c r="A2185" s="178"/>
      <c r="B2185" s="179"/>
    </row>
    <row r="2186" spans="1:2" x14ac:dyDescent="0.15">
      <c r="A2186" s="178"/>
      <c r="B2186" s="179"/>
    </row>
    <row r="2187" spans="1:2" x14ac:dyDescent="0.15">
      <c r="A2187" s="178"/>
      <c r="B2187" s="179"/>
    </row>
    <row r="2188" spans="1:2" x14ac:dyDescent="0.15">
      <c r="A2188" s="178"/>
      <c r="B2188" s="179"/>
    </row>
    <row r="2189" spans="1:2" x14ac:dyDescent="0.15">
      <c r="A2189" s="178"/>
      <c r="B2189" s="179"/>
    </row>
    <row r="2190" spans="1:2" x14ac:dyDescent="0.15">
      <c r="A2190" s="178"/>
      <c r="B2190" s="179"/>
    </row>
    <row r="2191" spans="1:2" x14ac:dyDescent="0.15">
      <c r="A2191" s="178"/>
      <c r="B2191" s="179"/>
    </row>
    <row r="2192" spans="1:2" x14ac:dyDescent="0.15">
      <c r="A2192" s="178"/>
      <c r="B2192" s="179"/>
    </row>
    <row r="2193" spans="1:4" x14ac:dyDescent="0.15">
      <c r="A2193" s="178"/>
      <c r="B2193" s="179"/>
    </row>
    <row r="2194" spans="1:4" x14ac:dyDescent="0.15">
      <c r="A2194" s="178"/>
      <c r="B2194" s="179"/>
    </row>
    <row r="2195" spans="1:4" x14ac:dyDescent="0.15">
      <c r="A2195" s="178"/>
      <c r="B2195" s="179"/>
    </row>
    <row r="2196" spans="1:4" x14ac:dyDescent="0.15">
      <c r="A2196" s="178"/>
      <c r="B2196" s="179"/>
    </row>
    <row r="2197" spans="1:4" x14ac:dyDescent="0.15">
      <c r="A2197" s="178"/>
      <c r="B2197" s="179"/>
    </row>
    <row r="2198" spans="1:4" x14ac:dyDescent="0.15">
      <c r="A2198" s="178"/>
      <c r="B2198" s="179"/>
    </row>
    <row r="2199" spans="1:4" x14ac:dyDescent="0.15">
      <c r="A2199" s="178"/>
      <c r="B2199" s="179"/>
    </row>
    <row r="2200" spans="1:4" x14ac:dyDescent="0.15">
      <c r="A2200" s="178"/>
      <c r="B2200" s="179"/>
    </row>
    <row r="2201" spans="1:4" x14ac:dyDescent="0.15">
      <c r="A2201" s="178"/>
      <c r="B2201" s="179"/>
    </row>
    <row r="2202" spans="1:4" x14ac:dyDescent="0.15">
      <c r="A2202" s="178"/>
      <c r="B2202" s="179"/>
    </row>
    <row r="2203" spans="1:4" x14ac:dyDescent="0.15">
      <c r="A2203" s="178"/>
      <c r="B2203" s="179"/>
    </row>
    <row r="2204" spans="1:4" x14ac:dyDescent="0.15">
      <c r="A2204" s="178"/>
      <c r="B2204" s="179"/>
    </row>
    <row r="2205" spans="1:4" x14ac:dyDescent="0.15">
      <c r="A2205" s="178"/>
      <c r="B2205" s="179"/>
      <c r="C2205" s="179"/>
      <c r="D2205" s="179"/>
    </row>
    <row r="2206" spans="1:4" x14ac:dyDescent="0.15">
      <c r="A2206" s="178"/>
      <c r="B2206" s="179"/>
    </row>
    <row r="2207" spans="1:4" x14ac:dyDescent="0.15">
      <c r="A2207" s="178"/>
      <c r="B2207" s="179"/>
    </row>
    <row r="2208" spans="1:4" x14ac:dyDescent="0.15">
      <c r="A2208" s="178"/>
      <c r="B2208" s="179"/>
    </row>
    <row r="2209" spans="1:2" x14ac:dyDescent="0.15">
      <c r="A2209" s="178"/>
      <c r="B2209" s="179"/>
    </row>
    <row r="2210" spans="1:2" x14ac:dyDescent="0.15">
      <c r="A2210" s="178"/>
      <c r="B2210" s="179"/>
    </row>
    <row r="2211" spans="1:2" x14ac:dyDescent="0.15">
      <c r="A2211" s="178"/>
      <c r="B2211" s="179"/>
    </row>
    <row r="2212" spans="1:2" x14ac:dyDescent="0.15">
      <c r="A2212" s="178"/>
      <c r="B2212" s="179"/>
    </row>
    <row r="2213" spans="1:2" x14ac:dyDescent="0.15">
      <c r="A2213" s="178"/>
      <c r="B2213" s="179"/>
    </row>
    <row r="2214" spans="1:2" x14ac:dyDescent="0.15">
      <c r="A2214" s="178"/>
      <c r="B2214" s="179"/>
    </row>
    <row r="2215" spans="1:2" x14ac:dyDescent="0.15">
      <c r="A2215" s="178"/>
      <c r="B2215" s="179"/>
    </row>
    <row r="2216" spans="1:2" x14ac:dyDescent="0.15">
      <c r="A2216" s="178"/>
      <c r="B2216" s="179"/>
    </row>
    <row r="2217" spans="1:2" x14ac:dyDescent="0.15">
      <c r="A2217" s="178"/>
      <c r="B2217" s="179"/>
    </row>
    <row r="2218" spans="1:2" x14ac:dyDescent="0.15">
      <c r="A2218" s="178"/>
      <c r="B2218" s="179"/>
    </row>
    <row r="2219" spans="1:2" x14ac:dyDescent="0.15">
      <c r="A2219" s="178"/>
      <c r="B2219" s="179"/>
    </row>
    <row r="2220" spans="1:2" x14ac:dyDescent="0.15">
      <c r="A2220" s="178"/>
      <c r="B2220" s="179"/>
    </row>
    <row r="2221" spans="1:2" x14ac:dyDescent="0.15">
      <c r="A2221" s="178"/>
      <c r="B2221" s="179"/>
    </row>
    <row r="2222" spans="1:2" x14ac:dyDescent="0.15">
      <c r="A2222" s="178"/>
      <c r="B2222" s="179"/>
    </row>
    <row r="2223" spans="1:2" x14ac:dyDescent="0.15">
      <c r="A2223" s="178"/>
      <c r="B2223" s="179"/>
    </row>
    <row r="2224" spans="1:2" x14ac:dyDescent="0.15">
      <c r="A2224" s="178"/>
      <c r="B2224" s="179"/>
    </row>
    <row r="2225" spans="1:2" x14ac:dyDescent="0.15">
      <c r="A2225" s="178"/>
      <c r="B2225" s="179"/>
    </row>
    <row r="2226" spans="1:2" x14ac:dyDescent="0.15">
      <c r="A2226" s="178"/>
      <c r="B2226" s="179"/>
    </row>
    <row r="2227" spans="1:2" x14ac:dyDescent="0.15">
      <c r="A2227" s="178"/>
      <c r="B2227" s="179"/>
    </row>
    <row r="2228" spans="1:2" x14ac:dyDescent="0.15">
      <c r="A2228" s="178"/>
      <c r="B2228" s="179"/>
    </row>
    <row r="2229" spans="1:2" x14ac:dyDescent="0.15">
      <c r="A2229" s="178"/>
      <c r="B2229" s="179"/>
    </row>
    <row r="2230" spans="1:2" x14ac:dyDescent="0.15">
      <c r="A2230" s="178"/>
      <c r="B2230" s="179"/>
    </row>
    <row r="2231" spans="1:2" x14ac:dyDescent="0.15">
      <c r="A2231" s="178"/>
      <c r="B2231" s="179"/>
    </row>
    <row r="2232" spans="1:2" x14ac:dyDescent="0.15">
      <c r="A2232" s="178"/>
      <c r="B2232" s="179"/>
    </row>
    <row r="2233" spans="1:2" x14ac:dyDescent="0.15">
      <c r="A2233" s="178"/>
      <c r="B2233" s="179"/>
    </row>
    <row r="2234" spans="1:2" x14ac:dyDescent="0.15">
      <c r="A2234" s="178"/>
      <c r="B2234" s="179"/>
    </row>
    <row r="2235" spans="1:2" x14ac:dyDescent="0.15">
      <c r="A2235" s="178"/>
      <c r="B2235" s="179"/>
    </row>
    <row r="2236" spans="1:2" x14ac:dyDescent="0.15">
      <c r="A2236" s="178"/>
      <c r="B2236" s="179"/>
    </row>
    <row r="2237" spans="1:2" x14ac:dyDescent="0.15">
      <c r="A2237" s="178"/>
      <c r="B2237" s="179"/>
    </row>
    <row r="2238" spans="1:2" x14ac:dyDescent="0.15">
      <c r="A2238" s="178"/>
      <c r="B2238" s="179"/>
    </row>
    <row r="2239" spans="1:2" x14ac:dyDescent="0.15">
      <c r="A2239" s="178"/>
      <c r="B2239" s="179"/>
    </row>
    <row r="2240" spans="1:2" x14ac:dyDescent="0.15">
      <c r="A2240" s="178"/>
      <c r="B2240" s="179"/>
    </row>
    <row r="2241" spans="1:2" x14ac:dyDescent="0.15">
      <c r="A2241" s="178"/>
      <c r="B2241" s="179"/>
    </row>
    <row r="2242" spans="1:2" x14ac:dyDescent="0.15">
      <c r="A2242" s="178"/>
      <c r="B2242" s="179"/>
    </row>
    <row r="2243" spans="1:2" x14ac:dyDescent="0.15">
      <c r="A2243" s="178"/>
      <c r="B2243" s="179"/>
    </row>
    <row r="2244" spans="1:2" x14ac:dyDescent="0.15">
      <c r="A2244" s="178"/>
      <c r="B2244" s="179"/>
    </row>
    <row r="2245" spans="1:2" x14ac:dyDescent="0.15">
      <c r="A2245" s="178"/>
      <c r="B2245" s="179"/>
    </row>
    <row r="2246" spans="1:2" x14ac:dyDescent="0.15">
      <c r="A2246" s="178"/>
      <c r="B2246" s="179"/>
    </row>
    <row r="2247" spans="1:2" x14ac:dyDescent="0.15">
      <c r="A2247" s="178"/>
      <c r="B2247" s="179"/>
    </row>
    <row r="2248" spans="1:2" x14ac:dyDescent="0.15">
      <c r="A2248" s="178"/>
      <c r="B2248" s="179"/>
    </row>
    <row r="2249" spans="1:2" x14ac:dyDescent="0.15">
      <c r="A2249" s="178"/>
      <c r="B2249" s="179"/>
    </row>
    <row r="2250" spans="1:2" x14ac:dyDescent="0.15">
      <c r="A2250" s="178"/>
      <c r="B2250" s="179"/>
    </row>
    <row r="2251" spans="1:2" x14ac:dyDescent="0.15">
      <c r="A2251" s="178"/>
      <c r="B2251" s="179"/>
    </row>
    <row r="2252" spans="1:2" x14ac:dyDescent="0.15">
      <c r="A2252" s="178"/>
      <c r="B2252" s="179"/>
    </row>
    <row r="2253" spans="1:2" x14ac:dyDescent="0.15">
      <c r="A2253" s="178"/>
      <c r="B2253" s="179"/>
    </row>
    <row r="2254" spans="1:2" x14ac:dyDescent="0.15">
      <c r="A2254" s="178"/>
      <c r="B2254" s="179"/>
    </row>
    <row r="2255" spans="1:2" x14ac:dyDescent="0.15">
      <c r="A2255" s="178"/>
      <c r="B2255" s="179"/>
    </row>
    <row r="2256" spans="1:2" x14ac:dyDescent="0.15">
      <c r="A2256" s="178"/>
      <c r="B2256" s="179"/>
    </row>
    <row r="2257" spans="1:2" x14ac:dyDescent="0.15">
      <c r="A2257" s="178"/>
      <c r="B2257" s="179"/>
    </row>
    <row r="2258" spans="1:2" x14ac:dyDescent="0.15">
      <c r="A2258" s="178"/>
      <c r="B2258" s="179"/>
    </row>
    <row r="2259" spans="1:2" x14ac:dyDescent="0.15">
      <c r="A2259" s="178"/>
      <c r="B2259" s="179"/>
    </row>
    <row r="2260" spans="1:2" x14ac:dyDescent="0.15">
      <c r="A2260" s="178"/>
      <c r="B2260" s="179"/>
    </row>
    <row r="2261" spans="1:2" x14ac:dyDescent="0.15">
      <c r="A2261" s="178"/>
      <c r="B2261" s="179"/>
    </row>
    <row r="2262" spans="1:2" x14ac:dyDescent="0.15">
      <c r="A2262" s="178"/>
      <c r="B2262" s="179"/>
    </row>
    <row r="2263" spans="1:2" x14ac:dyDescent="0.15">
      <c r="A2263" s="178"/>
      <c r="B2263" s="179"/>
    </row>
    <row r="2264" spans="1:2" x14ac:dyDescent="0.15">
      <c r="A2264" s="178"/>
      <c r="B2264" s="179"/>
    </row>
    <row r="2265" spans="1:2" x14ac:dyDescent="0.15">
      <c r="A2265" s="178"/>
      <c r="B2265" s="179"/>
    </row>
    <row r="2266" spans="1:2" x14ac:dyDescent="0.15">
      <c r="A2266" s="178"/>
      <c r="B2266" s="179"/>
    </row>
    <row r="2267" spans="1:2" x14ac:dyDescent="0.15">
      <c r="A2267" s="178"/>
      <c r="B2267" s="179"/>
    </row>
    <row r="2268" spans="1:2" x14ac:dyDescent="0.15">
      <c r="A2268" s="178"/>
      <c r="B2268" s="179"/>
    </row>
    <row r="2269" spans="1:2" x14ac:dyDescent="0.15">
      <c r="A2269" s="178"/>
      <c r="B2269" s="179"/>
    </row>
    <row r="2270" spans="1:2" x14ac:dyDescent="0.15">
      <c r="A2270" s="178"/>
      <c r="B2270" s="179"/>
    </row>
    <row r="2271" spans="1:2" x14ac:dyDescent="0.15">
      <c r="A2271" s="178"/>
      <c r="B2271" s="179"/>
    </row>
    <row r="2272" spans="1:2" x14ac:dyDescent="0.15">
      <c r="A2272" s="178"/>
      <c r="B2272" s="179"/>
    </row>
    <row r="2273" spans="1:2" x14ac:dyDescent="0.15">
      <c r="A2273" s="178"/>
      <c r="B2273" s="179"/>
    </row>
    <row r="2274" spans="1:2" x14ac:dyDescent="0.15">
      <c r="A2274" s="178"/>
      <c r="B2274" s="179"/>
    </row>
    <row r="2275" spans="1:2" x14ac:dyDescent="0.15">
      <c r="A2275" s="178"/>
      <c r="B2275" s="179"/>
    </row>
    <row r="2276" spans="1:2" x14ac:dyDescent="0.15">
      <c r="A2276" s="178"/>
      <c r="B2276" s="179"/>
    </row>
    <row r="2277" spans="1:2" x14ac:dyDescent="0.15">
      <c r="A2277" s="178"/>
      <c r="B2277" s="179"/>
    </row>
    <row r="2278" spans="1:2" x14ac:dyDescent="0.15">
      <c r="A2278" s="178"/>
      <c r="B2278" s="179"/>
    </row>
    <row r="2279" spans="1:2" x14ac:dyDescent="0.15">
      <c r="A2279" s="178"/>
      <c r="B2279" s="179"/>
    </row>
    <row r="2280" spans="1:2" x14ac:dyDescent="0.15">
      <c r="A2280" s="178"/>
      <c r="B2280" s="179"/>
    </row>
    <row r="2281" spans="1:2" x14ac:dyDescent="0.15">
      <c r="A2281" s="178"/>
      <c r="B2281" s="179"/>
    </row>
    <row r="2282" spans="1:2" x14ac:dyDescent="0.15">
      <c r="A2282" s="178"/>
      <c r="B2282" s="179"/>
    </row>
    <row r="2283" spans="1:2" x14ac:dyDescent="0.15">
      <c r="A2283" s="178"/>
      <c r="B2283" s="179"/>
    </row>
    <row r="2284" spans="1:2" x14ac:dyDescent="0.15">
      <c r="A2284" s="178"/>
      <c r="B2284" s="179"/>
    </row>
    <row r="2285" spans="1:2" x14ac:dyDescent="0.15">
      <c r="A2285" s="178"/>
      <c r="B2285" s="179"/>
    </row>
    <row r="2286" spans="1:2" x14ac:dyDescent="0.15">
      <c r="A2286" s="178"/>
      <c r="B2286" s="179"/>
    </row>
    <row r="2287" spans="1:2" x14ac:dyDescent="0.15">
      <c r="A2287" s="178"/>
      <c r="B2287" s="179"/>
    </row>
    <row r="2288" spans="1:2" x14ac:dyDescent="0.15">
      <c r="A2288" s="178"/>
      <c r="B2288" s="179"/>
    </row>
    <row r="2289" spans="1:2" x14ac:dyDescent="0.15">
      <c r="A2289" s="178"/>
      <c r="B2289" s="179"/>
    </row>
    <row r="2290" spans="1:2" x14ac:dyDescent="0.15">
      <c r="A2290" s="178"/>
      <c r="B2290" s="179"/>
    </row>
    <row r="2291" spans="1:2" x14ac:dyDescent="0.15">
      <c r="A2291" s="178"/>
      <c r="B2291" s="179"/>
    </row>
    <row r="2292" spans="1:2" x14ac:dyDescent="0.15">
      <c r="A2292" s="178"/>
      <c r="B2292" s="179"/>
    </row>
    <row r="2293" spans="1:2" x14ac:dyDescent="0.15">
      <c r="A2293" s="178"/>
      <c r="B2293" s="179"/>
    </row>
    <row r="2294" spans="1:2" x14ac:dyDescent="0.15">
      <c r="A2294" s="178"/>
      <c r="B2294" s="179"/>
    </row>
    <row r="2295" spans="1:2" x14ac:dyDescent="0.15">
      <c r="A2295" s="178"/>
      <c r="B2295" s="179"/>
    </row>
    <row r="2296" spans="1:2" x14ac:dyDescent="0.15">
      <c r="A2296" s="178"/>
      <c r="B2296" s="179"/>
    </row>
    <row r="2297" spans="1:2" x14ac:dyDescent="0.15">
      <c r="A2297" s="178"/>
      <c r="B2297" s="179"/>
    </row>
    <row r="2298" spans="1:2" x14ac:dyDescent="0.15">
      <c r="A2298" s="178"/>
      <c r="B2298" s="179"/>
    </row>
    <row r="2299" spans="1:2" x14ac:dyDescent="0.15">
      <c r="A2299" s="178"/>
      <c r="B2299" s="179"/>
    </row>
    <row r="2300" spans="1:2" x14ac:dyDescent="0.15">
      <c r="A2300" s="178"/>
      <c r="B2300" s="179"/>
    </row>
    <row r="2301" spans="1:2" x14ac:dyDescent="0.15">
      <c r="A2301" s="178"/>
      <c r="B2301" s="179"/>
    </row>
    <row r="2302" spans="1:2" x14ac:dyDescent="0.15">
      <c r="A2302" s="178"/>
      <c r="B2302" s="179"/>
    </row>
    <row r="2303" spans="1:2" x14ac:dyDescent="0.15">
      <c r="A2303" s="178"/>
      <c r="B2303" s="179"/>
    </row>
    <row r="2304" spans="1:2" x14ac:dyDescent="0.15">
      <c r="A2304" s="178"/>
      <c r="B2304" s="179"/>
    </row>
    <row r="2305" spans="1:4" x14ac:dyDescent="0.15">
      <c r="A2305" s="178"/>
      <c r="B2305" s="179"/>
      <c r="C2305" s="179"/>
      <c r="D2305" s="179"/>
    </row>
    <row r="2306" spans="1:4" x14ac:dyDescent="0.15">
      <c r="A2306" s="178"/>
      <c r="B2306" s="179"/>
    </row>
    <row r="2307" spans="1:4" x14ac:dyDescent="0.15">
      <c r="A2307" s="178"/>
      <c r="B2307" s="179"/>
    </row>
    <row r="2308" spans="1:4" x14ac:dyDescent="0.15">
      <c r="A2308" s="178"/>
      <c r="B2308" s="179"/>
    </row>
    <row r="2309" spans="1:4" x14ac:dyDescent="0.15">
      <c r="A2309" s="178"/>
      <c r="B2309" s="179"/>
    </row>
    <row r="2310" spans="1:4" x14ac:dyDescent="0.15">
      <c r="A2310" s="178"/>
      <c r="B2310" s="179"/>
    </row>
    <row r="2311" spans="1:4" x14ac:dyDescent="0.15">
      <c r="A2311" s="178"/>
      <c r="B2311" s="179"/>
    </row>
    <row r="2312" spans="1:4" x14ac:dyDescent="0.15">
      <c r="A2312" s="178"/>
      <c r="B2312" s="179"/>
    </row>
    <row r="2313" spans="1:4" x14ac:dyDescent="0.15">
      <c r="A2313" s="178"/>
      <c r="B2313" s="179"/>
    </row>
    <row r="2314" spans="1:4" x14ac:dyDescent="0.15">
      <c r="A2314" s="178"/>
      <c r="B2314" s="179"/>
    </row>
    <row r="2315" spans="1:4" x14ac:dyDescent="0.15">
      <c r="A2315" s="178"/>
      <c r="B2315" s="179"/>
    </row>
    <row r="2316" spans="1:4" x14ac:dyDescent="0.15">
      <c r="A2316" s="178"/>
      <c r="B2316" s="179"/>
    </row>
    <row r="2317" spans="1:4" x14ac:dyDescent="0.15">
      <c r="A2317" s="178"/>
      <c r="B2317" s="179"/>
    </row>
    <row r="2318" spans="1:4" x14ac:dyDescent="0.15">
      <c r="A2318" s="178"/>
      <c r="B2318" s="179"/>
    </row>
    <row r="2319" spans="1:4" x14ac:dyDescent="0.15">
      <c r="A2319" s="178"/>
      <c r="B2319" s="179"/>
    </row>
    <row r="2320" spans="1:4" x14ac:dyDescent="0.15">
      <c r="A2320" s="178"/>
      <c r="B2320" s="179"/>
    </row>
    <row r="2321" spans="1:2" x14ac:dyDescent="0.15">
      <c r="A2321" s="178"/>
      <c r="B2321" s="179"/>
    </row>
    <row r="2322" spans="1:2" x14ac:dyDescent="0.15">
      <c r="A2322" s="178"/>
      <c r="B2322" s="179"/>
    </row>
    <row r="2323" spans="1:2" x14ac:dyDescent="0.15">
      <c r="A2323" s="178"/>
      <c r="B2323" s="179"/>
    </row>
    <row r="2324" spans="1:2" x14ac:dyDescent="0.15">
      <c r="A2324" s="178"/>
      <c r="B2324" s="179"/>
    </row>
    <row r="2325" spans="1:2" x14ac:dyDescent="0.15">
      <c r="A2325" s="178"/>
      <c r="B2325" s="179"/>
    </row>
    <row r="2326" spans="1:2" x14ac:dyDescent="0.15">
      <c r="A2326" s="178"/>
      <c r="B2326" s="179"/>
    </row>
    <row r="2327" spans="1:2" x14ac:dyDescent="0.15">
      <c r="A2327" s="178"/>
      <c r="B2327" s="179"/>
    </row>
    <row r="2328" spans="1:2" x14ac:dyDescent="0.15">
      <c r="A2328" s="178"/>
      <c r="B2328" s="179"/>
    </row>
    <row r="2329" spans="1:2" x14ac:dyDescent="0.15">
      <c r="A2329" s="178"/>
      <c r="B2329" s="179"/>
    </row>
    <row r="2330" spans="1:2" x14ac:dyDescent="0.15">
      <c r="A2330" s="178"/>
      <c r="B2330" s="179"/>
    </row>
    <row r="2331" spans="1:2" x14ac:dyDescent="0.15">
      <c r="A2331" s="178"/>
      <c r="B2331" s="179"/>
    </row>
    <row r="2332" spans="1:2" x14ac:dyDescent="0.15">
      <c r="A2332" s="178"/>
      <c r="B2332" s="179"/>
    </row>
    <row r="2333" spans="1:2" x14ac:dyDescent="0.15">
      <c r="A2333" s="178"/>
      <c r="B2333" s="179"/>
    </row>
    <row r="2334" spans="1:2" x14ac:dyDescent="0.15">
      <c r="A2334" s="178"/>
      <c r="B2334" s="179"/>
    </row>
    <row r="2335" spans="1:2" x14ac:dyDescent="0.15">
      <c r="A2335" s="178"/>
      <c r="B2335" s="179"/>
    </row>
    <row r="2336" spans="1:2" x14ac:dyDescent="0.15">
      <c r="A2336" s="178"/>
      <c r="B2336" s="179"/>
    </row>
    <row r="2337" spans="1:2" x14ac:dyDescent="0.15">
      <c r="A2337" s="178"/>
      <c r="B2337" s="179"/>
    </row>
    <row r="2338" spans="1:2" x14ac:dyDescent="0.15">
      <c r="A2338" s="178"/>
      <c r="B2338" s="179"/>
    </row>
    <row r="2339" spans="1:2" x14ac:dyDescent="0.15">
      <c r="A2339" s="178"/>
      <c r="B2339" s="179"/>
    </row>
    <row r="2340" spans="1:2" x14ac:dyDescent="0.15">
      <c r="A2340" s="178"/>
      <c r="B2340" s="179"/>
    </row>
    <row r="2341" spans="1:2" x14ac:dyDescent="0.15">
      <c r="A2341" s="178"/>
      <c r="B2341" s="179"/>
    </row>
    <row r="2342" spans="1:2" x14ac:dyDescent="0.15">
      <c r="A2342" s="178"/>
      <c r="B2342" s="179"/>
    </row>
    <row r="2343" spans="1:2" x14ac:dyDescent="0.15">
      <c r="A2343" s="178"/>
      <c r="B2343" s="179"/>
    </row>
    <row r="2344" spans="1:2" x14ac:dyDescent="0.15">
      <c r="A2344" s="178"/>
      <c r="B2344" s="179"/>
    </row>
    <row r="2345" spans="1:2" x14ac:dyDescent="0.15">
      <c r="A2345" s="178"/>
      <c r="B2345" s="179"/>
    </row>
    <row r="2346" spans="1:2" x14ac:dyDescent="0.15">
      <c r="A2346" s="178"/>
      <c r="B2346" s="179"/>
    </row>
    <row r="2347" spans="1:2" x14ac:dyDescent="0.15">
      <c r="A2347" s="178"/>
      <c r="B2347" s="179"/>
    </row>
    <row r="2348" spans="1:2" x14ac:dyDescent="0.15">
      <c r="A2348" s="178"/>
      <c r="B2348" s="179"/>
    </row>
    <row r="2349" spans="1:2" x14ac:dyDescent="0.15">
      <c r="A2349" s="178"/>
      <c r="B2349" s="179"/>
    </row>
    <row r="2350" spans="1:2" x14ac:dyDescent="0.15">
      <c r="A2350" s="178"/>
      <c r="B2350" s="179"/>
    </row>
    <row r="2351" spans="1:2" x14ac:dyDescent="0.15">
      <c r="A2351" s="178"/>
      <c r="B2351" s="179"/>
    </row>
    <row r="2352" spans="1:2" x14ac:dyDescent="0.15">
      <c r="A2352" s="178"/>
      <c r="B2352" s="179"/>
    </row>
    <row r="2353" spans="1:2" x14ac:dyDescent="0.15">
      <c r="A2353" s="178"/>
      <c r="B2353" s="179"/>
    </row>
    <row r="2354" spans="1:2" x14ac:dyDescent="0.15">
      <c r="A2354" s="178"/>
      <c r="B2354" s="179"/>
    </row>
    <row r="2355" spans="1:2" x14ac:dyDescent="0.15">
      <c r="A2355" s="178"/>
      <c r="B2355" s="179"/>
    </row>
    <row r="2356" spans="1:2" x14ac:dyDescent="0.15">
      <c r="A2356" s="178"/>
      <c r="B2356" s="179"/>
    </row>
    <row r="2357" spans="1:2" x14ac:dyDescent="0.15">
      <c r="A2357" s="178"/>
      <c r="B2357" s="179"/>
    </row>
    <row r="2358" spans="1:2" x14ac:dyDescent="0.15">
      <c r="A2358" s="178"/>
      <c r="B2358" s="179"/>
    </row>
    <row r="2359" spans="1:2" x14ac:dyDescent="0.15">
      <c r="A2359" s="178"/>
      <c r="B2359" s="179"/>
    </row>
    <row r="2360" spans="1:2" x14ac:dyDescent="0.15">
      <c r="A2360" s="178"/>
      <c r="B2360" s="179"/>
    </row>
    <row r="2361" spans="1:2" x14ac:dyDescent="0.15">
      <c r="A2361" s="178"/>
      <c r="B2361" s="179"/>
    </row>
    <row r="2362" spans="1:2" x14ac:dyDescent="0.15">
      <c r="A2362" s="178"/>
      <c r="B2362" s="179"/>
    </row>
    <row r="2363" spans="1:2" x14ac:dyDescent="0.15">
      <c r="A2363" s="178"/>
      <c r="B2363" s="179"/>
    </row>
    <row r="2364" spans="1:2" x14ac:dyDescent="0.15">
      <c r="A2364" s="178"/>
      <c r="B2364" s="179"/>
    </row>
    <row r="2365" spans="1:2" x14ac:dyDescent="0.15">
      <c r="A2365" s="178"/>
      <c r="B2365" s="179"/>
    </row>
    <row r="2366" spans="1:2" x14ac:dyDescent="0.15">
      <c r="A2366" s="178"/>
      <c r="B2366" s="179"/>
    </row>
    <row r="2367" spans="1:2" x14ac:dyDescent="0.15">
      <c r="A2367" s="178"/>
      <c r="B2367" s="179"/>
    </row>
    <row r="2368" spans="1:2" x14ac:dyDescent="0.15">
      <c r="A2368" s="178"/>
      <c r="B2368" s="179"/>
    </row>
    <row r="2369" spans="1:2" x14ac:dyDescent="0.15">
      <c r="A2369" s="178"/>
      <c r="B2369" s="179"/>
    </row>
    <row r="2370" spans="1:2" x14ac:dyDescent="0.15">
      <c r="A2370" s="178"/>
      <c r="B2370" s="179"/>
    </row>
    <row r="2371" spans="1:2" x14ac:dyDescent="0.15">
      <c r="A2371" s="178"/>
      <c r="B2371" s="179"/>
    </row>
    <row r="2372" spans="1:2" x14ac:dyDescent="0.15">
      <c r="A2372" s="178"/>
      <c r="B2372" s="179"/>
    </row>
    <row r="2373" spans="1:2" x14ac:dyDescent="0.15">
      <c r="A2373" s="178"/>
      <c r="B2373" s="179"/>
    </row>
    <row r="2374" spans="1:2" x14ac:dyDescent="0.15">
      <c r="A2374" s="178"/>
      <c r="B2374" s="179"/>
    </row>
    <row r="2375" spans="1:2" x14ac:dyDescent="0.15">
      <c r="A2375" s="178"/>
      <c r="B2375" s="179"/>
    </row>
    <row r="2376" spans="1:2" x14ac:dyDescent="0.15">
      <c r="A2376" s="178"/>
      <c r="B2376" s="179"/>
    </row>
    <row r="2377" spans="1:2" x14ac:dyDescent="0.15">
      <c r="A2377" s="178"/>
      <c r="B2377" s="179"/>
    </row>
    <row r="2378" spans="1:2" x14ac:dyDescent="0.15">
      <c r="A2378" s="178"/>
      <c r="B2378" s="179"/>
    </row>
    <row r="2379" spans="1:2" x14ac:dyDescent="0.15">
      <c r="A2379" s="178"/>
      <c r="B2379" s="179"/>
    </row>
    <row r="2380" spans="1:2" x14ac:dyDescent="0.15">
      <c r="A2380" s="178"/>
      <c r="B2380" s="179"/>
    </row>
    <row r="2381" spans="1:2" x14ac:dyDescent="0.15">
      <c r="A2381" s="178"/>
      <c r="B2381" s="179"/>
    </row>
    <row r="2382" spans="1:2" x14ac:dyDescent="0.15">
      <c r="A2382" s="178"/>
      <c r="B2382" s="179"/>
    </row>
    <row r="2383" spans="1:2" x14ac:dyDescent="0.15">
      <c r="A2383" s="178"/>
      <c r="B2383" s="179"/>
    </row>
    <row r="2384" spans="1:2" x14ac:dyDescent="0.15">
      <c r="A2384" s="178"/>
      <c r="B2384" s="179"/>
    </row>
    <row r="2385" spans="1:2" x14ac:dyDescent="0.15">
      <c r="A2385" s="178"/>
      <c r="B2385" s="179"/>
    </row>
    <row r="2386" spans="1:2" x14ac:dyDescent="0.15">
      <c r="A2386" s="178"/>
      <c r="B2386" s="179"/>
    </row>
    <row r="2387" spans="1:2" x14ac:dyDescent="0.15">
      <c r="A2387" s="178"/>
      <c r="B2387" s="179"/>
    </row>
    <row r="2388" spans="1:2" x14ac:dyDescent="0.15">
      <c r="A2388" s="178"/>
      <c r="B2388" s="179"/>
    </row>
    <row r="2389" spans="1:2" x14ac:dyDescent="0.15">
      <c r="A2389" s="178"/>
      <c r="B2389" s="179"/>
    </row>
    <row r="2390" spans="1:2" x14ac:dyDescent="0.15">
      <c r="A2390" s="178"/>
      <c r="B2390" s="179"/>
    </row>
    <row r="2391" spans="1:2" x14ac:dyDescent="0.15">
      <c r="A2391" s="178"/>
      <c r="B2391" s="179"/>
    </row>
    <row r="2392" spans="1:2" x14ac:dyDescent="0.15">
      <c r="A2392" s="178"/>
      <c r="B2392" s="179"/>
    </row>
    <row r="2393" spans="1:2" x14ac:dyDescent="0.15">
      <c r="A2393" s="178"/>
      <c r="B2393" s="179"/>
    </row>
    <row r="2394" spans="1:2" x14ac:dyDescent="0.15">
      <c r="A2394" s="178"/>
      <c r="B2394" s="179"/>
    </row>
    <row r="2395" spans="1:2" x14ac:dyDescent="0.15">
      <c r="A2395" s="178"/>
      <c r="B2395" s="179"/>
    </row>
    <row r="2396" spans="1:2" x14ac:dyDescent="0.15">
      <c r="A2396" s="178"/>
      <c r="B2396" s="179"/>
    </row>
    <row r="2397" spans="1:2" x14ac:dyDescent="0.15">
      <c r="A2397" s="178"/>
      <c r="B2397" s="179"/>
    </row>
    <row r="2398" spans="1:2" x14ac:dyDescent="0.15">
      <c r="A2398" s="178"/>
      <c r="B2398" s="179"/>
    </row>
    <row r="2399" spans="1:2" x14ac:dyDescent="0.15">
      <c r="A2399" s="178"/>
      <c r="B2399" s="179"/>
    </row>
    <row r="2400" spans="1:2" x14ac:dyDescent="0.15">
      <c r="A2400" s="178"/>
      <c r="B2400" s="179"/>
    </row>
    <row r="2401" spans="1:4" x14ac:dyDescent="0.15">
      <c r="A2401" s="178"/>
      <c r="B2401" s="179"/>
    </row>
    <row r="2402" spans="1:4" x14ac:dyDescent="0.15">
      <c r="A2402" s="178"/>
      <c r="B2402" s="179"/>
    </row>
    <row r="2403" spans="1:4" x14ac:dyDescent="0.15">
      <c r="A2403" s="178"/>
      <c r="B2403" s="179"/>
    </row>
    <row r="2404" spans="1:4" x14ac:dyDescent="0.15">
      <c r="A2404" s="178"/>
      <c r="B2404" s="179"/>
    </row>
    <row r="2405" spans="1:4" x14ac:dyDescent="0.15">
      <c r="A2405" s="178"/>
      <c r="B2405" s="179"/>
      <c r="C2405" s="179"/>
      <c r="D2405" s="179"/>
    </row>
    <row r="2406" spans="1:4" x14ac:dyDescent="0.15">
      <c r="A2406" s="178"/>
      <c r="B2406" s="179"/>
    </row>
    <row r="2407" spans="1:4" x14ac:dyDescent="0.15">
      <c r="A2407" s="178"/>
      <c r="B2407" s="179"/>
    </row>
    <row r="2408" spans="1:4" x14ac:dyDescent="0.15">
      <c r="A2408" s="178"/>
      <c r="B2408" s="179"/>
    </row>
    <row r="2409" spans="1:4" x14ac:dyDescent="0.15">
      <c r="A2409" s="178"/>
      <c r="B2409" s="179"/>
    </row>
    <row r="2410" spans="1:4" x14ac:dyDescent="0.15">
      <c r="A2410" s="178"/>
      <c r="B2410" s="179"/>
    </row>
    <row r="2411" spans="1:4" x14ac:dyDescent="0.15">
      <c r="A2411" s="178"/>
      <c r="B2411" s="179"/>
    </row>
    <row r="2412" spans="1:4" x14ac:dyDescent="0.15">
      <c r="A2412" s="178"/>
      <c r="B2412" s="179"/>
    </row>
    <row r="2413" spans="1:4" x14ac:dyDescent="0.15">
      <c r="A2413" s="178"/>
      <c r="B2413" s="179"/>
    </row>
    <row r="2414" spans="1:4" x14ac:dyDescent="0.15">
      <c r="A2414" s="178"/>
      <c r="B2414" s="179"/>
    </row>
    <row r="2415" spans="1:4" x14ac:dyDescent="0.15">
      <c r="A2415" s="178"/>
      <c r="B2415" s="179"/>
    </row>
    <row r="2416" spans="1:4" x14ac:dyDescent="0.15">
      <c r="A2416" s="178"/>
      <c r="B2416" s="179"/>
    </row>
    <row r="2417" spans="1:2" x14ac:dyDescent="0.15">
      <c r="A2417" s="178"/>
      <c r="B2417" s="179"/>
    </row>
    <row r="2418" spans="1:2" x14ac:dyDescent="0.15">
      <c r="A2418" s="178"/>
      <c r="B2418" s="179"/>
    </row>
    <row r="2419" spans="1:2" x14ac:dyDescent="0.15">
      <c r="A2419" s="178"/>
      <c r="B2419" s="179"/>
    </row>
    <row r="2420" spans="1:2" x14ac:dyDescent="0.15">
      <c r="A2420" s="178"/>
      <c r="B2420" s="179"/>
    </row>
    <row r="2421" spans="1:2" x14ac:dyDescent="0.15">
      <c r="A2421" s="178"/>
      <c r="B2421" s="179"/>
    </row>
    <row r="2422" spans="1:2" x14ac:dyDescent="0.15">
      <c r="A2422" s="178"/>
      <c r="B2422" s="179"/>
    </row>
    <row r="2423" spans="1:2" x14ac:dyDescent="0.15">
      <c r="A2423" s="178"/>
      <c r="B2423" s="179"/>
    </row>
    <row r="2424" spans="1:2" x14ac:dyDescent="0.15">
      <c r="A2424" s="178"/>
      <c r="B2424" s="179"/>
    </row>
    <row r="2425" spans="1:2" x14ac:dyDescent="0.15">
      <c r="A2425" s="178"/>
      <c r="B2425" s="179"/>
    </row>
    <row r="2426" spans="1:2" x14ac:dyDescent="0.15">
      <c r="A2426" s="178"/>
      <c r="B2426" s="179"/>
    </row>
    <row r="2427" spans="1:2" x14ac:dyDescent="0.15">
      <c r="A2427" s="178"/>
      <c r="B2427" s="179"/>
    </row>
    <row r="2428" spans="1:2" x14ac:dyDescent="0.15">
      <c r="A2428" s="178"/>
      <c r="B2428" s="179"/>
    </row>
    <row r="2429" spans="1:2" x14ac:dyDescent="0.15">
      <c r="A2429" s="178"/>
      <c r="B2429" s="179"/>
    </row>
    <row r="2430" spans="1:2" x14ac:dyDescent="0.15">
      <c r="A2430" s="178"/>
      <c r="B2430" s="179"/>
    </row>
    <row r="2431" spans="1:2" x14ac:dyDescent="0.15">
      <c r="A2431" s="178"/>
      <c r="B2431" s="179"/>
    </row>
    <row r="2432" spans="1:2" x14ac:dyDescent="0.15">
      <c r="A2432" s="178"/>
      <c r="B2432" s="179"/>
    </row>
    <row r="2433" spans="1:2" x14ac:dyDescent="0.15">
      <c r="A2433" s="178"/>
      <c r="B2433" s="179"/>
    </row>
    <row r="2434" spans="1:2" x14ac:dyDescent="0.15">
      <c r="A2434" s="178"/>
      <c r="B2434" s="179"/>
    </row>
    <row r="2435" spans="1:2" x14ac:dyDescent="0.15">
      <c r="A2435" s="178"/>
      <c r="B2435" s="179"/>
    </row>
    <row r="2436" spans="1:2" x14ac:dyDescent="0.15">
      <c r="A2436" s="178"/>
      <c r="B2436" s="179"/>
    </row>
    <row r="2437" spans="1:2" x14ac:dyDescent="0.15">
      <c r="A2437" s="178"/>
      <c r="B2437" s="179"/>
    </row>
    <row r="2438" spans="1:2" x14ac:dyDescent="0.15">
      <c r="A2438" s="178"/>
      <c r="B2438" s="179"/>
    </row>
    <row r="2439" spans="1:2" x14ac:dyDescent="0.15">
      <c r="A2439" s="178"/>
      <c r="B2439" s="179"/>
    </row>
    <row r="2440" spans="1:2" x14ac:dyDescent="0.15">
      <c r="A2440" s="178"/>
      <c r="B2440" s="179"/>
    </row>
    <row r="2441" spans="1:2" x14ac:dyDescent="0.15">
      <c r="A2441" s="178"/>
      <c r="B2441" s="179"/>
    </row>
    <row r="2442" spans="1:2" x14ac:dyDescent="0.15">
      <c r="A2442" s="178"/>
      <c r="B2442" s="179"/>
    </row>
    <row r="2443" spans="1:2" x14ac:dyDescent="0.15">
      <c r="A2443" s="178"/>
      <c r="B2443" s="179"/>
    </row>
    <row r="2444" spans="1:2" x14ac:dyDescent="0.15">
      <c r="A2444" s="178"/>
      <c r="B2444" s="179"/>
    </row>
    <row r="2445" spans="1:2" x14ac:dyDescent="0.15">
      <c r="A2445" s="178"/>
      <c r="B2445" s="179"/>
    </row>
    <row r="2446" spans="1:2" x14ac:dyDescent="0.15">
      <c r="A2446" s="178"/>
      <c r="B2446" s="179"/>
    </row>
    <row r="2447" spans="1:2" x14ac:dyDescent="0.15">
      <c r="A2447" s="178"/>
      <c r="B2447" s="179"/>
    </row>
    <row r="2448" spans="1:2" x14ac:dyDescent="0.15">
      <c r="A2448" s="178"/>
      <c r="B2448" s="179"/>
    </row>
    <row r="2449" spans="1:2" x14ac:dyDescent="0.15">
      <c r="A2449" s="178"/>
      <c r="B2449" s="179"/>
    </row>
    <row r="2450" spans="1:2" x14ac:dyDescent="0.15">
      <c r="A2450" s="178"/>
      <c r="B2450" s="179"/>
    </row>
    <row r="2451" spans="1:2" x14ac:dyDescent="0.15">
      <c r="A2451" s="178"/>
      <c r="B2451" s="179"/>
    </row>
    <row r="2452" spans="1:2" x14ac:dyDescent="0.15">
      <c r="A2452" s="178"/>
      <c r="B2452" s="179"/>
    </row>
    <row r="2453" spans="1:2" x14ac:dyDescent="0.15">
      <c r="A2453" s="178"/>
      <c r="B2453" s="179"/>
    </row>
    <row r="2454" spans="1:2" x14ac:dyDescent="0.15">
      <c r="A2454" s="178"/>
      <c r="B2454" s="179"/>
    </row>
    <row r="2455" spans="1:2" x14ac:dyDescent="0.15">
      <c r="A2455" s="178"/>
      <c r="B2455" s="179"/>
    </row>
    <row r="2456" spans="1:2" x14ac:dyDescent="0.15">
      <c r="A2456" s="178"/>
      <c r="B2456" s="179"/>
    </row>
    <row r="2457" spans="1:2" x14ac:dyDescent="0.15">
      <c r="A2457" s="178"/>
      <c r="B2457" s="179"/>
    </row>
    <row r="2458" spans="1:2" x14ac:dyDescent="0.15">
      <c r="A2458" s="178"/>
      <c r="B2458" s="179"/>
    </row>
    <row r="2459" spans="1:2" x14ac:dyDescent="0.15">
      <c r="A2459" s="178"/>
      <c r="B2459" s="179"/>
    </row>
    <row r="2460" spans="1:2" x14ac:dyDescent="0.15">
      <c r="A2460" s="178"/>
      <c r="B2460" s="179"/>
    </row>
    <row r="2461" spans="1:2" x14ac:dyDescent="0.15">
      <c r="A2461" s="178"/>
      <c r="B2461" s="179"/>
    </row>
    <row r="2462" spans="1:2" x14ac:dyDescent="0.15">
      <c r="A2462" s="178"/>
      <c r="B2462" s="179"/>
    </row>
    <row r="2463" spans="1:2" x14ac:dyDescent="0.15">
      <c r="A2463" s="178"/>
      <c r="B2463" s="179"/>
    </row>
    <row r="2464" spans="1:2" x14ac:dyDescent="0.15">
      <c r="A2464" s="178"/>
      <c r="B2464" s="179"/>
    </row>
    <row r="2465" spans="1:2" x14ac:dyDescent="0.15">
      <c r="A2465" s="178"/>
      <c r="B2465" s="179"/>
    </row>
    <row r="2466" spans="1:2" x14ac:dyDescent="0.15">
      <c r="A2466" s="178"/>
      <c r="B2466" s="179"/>
    </row>
    <row r="2467" spans="1:2" x14ac:dyDescent="0.15">
      <c r="A2467" s="178"/>
      <c r="B2467" s="179"/>
    </row>
    <row r="2468" spans="1:2" x14ac:dyDescent="0.15">
      <c r="A2468" s="178"/>
      <c r="B2468" s="179"/>
    </row>
    <row r="2469" spans="1:2" x14ac:dyDescent="0.15">
      <c r="A2469" s="178"/>
      <c r="B2469" s="179"/>
    </row>
    <row r="2470" spans="1:2" x14ac:dyDescent="0.15">
      <c r="A2470" s="178"/>
      <c r="B2470" s="179"/>
    </row>
    <row r="2471" spans="1:2" x14ac:dyDescent="0.15">
      <c r="A2471" s="178"/>
      <c r="B2471" s="179"/>
    </row>
    <row r="2472" spans="1:2" x14ac:dyDescent="0.15">
      <c r="A2472" s="178"/>
      <c r="B2472" s="179"/>
    </row>
    <row r="2473" spans="1:2" x14ac:dyDescent="0.15">
      <c r="A2473" s="178"/>
      <c r="B2473" s="179"/>
    </row>
    <row r="2474" spans="1:2" x14ac:dyDescent="0.15">
      <c r="A2474" s="178"/>
      <c r="B2474" s="179"/>
    </row>
    <row r="2475" spans="1:2" x14ac:dyDescent="0.15">
      <c r="A2475" s="178"/>
      <c r="B2475" s="179"/>
    </row>
    <row r="2476" spans="1:2" x14ac:dyDescent="0.15">
      <c r="A2476" s="178"/>
      <c r="B2476" s="179"/>
    </row>
    <row r="2477" spans="1:2" x14ac:dyDescent="0.15">
      <c r="A2477" s="178"/>
      <c r="B2477" s="179"/>
    </row>
    <row r="2478" spans="1:2" x14ac:dyDescent="0.15">
      <c r="A2478" s="178"/>
      <c r="B2478" s="179"/>
    </row>
    <row r="2479" spans="1:2" x14ac:dyDescent="0.15">
      <c r="A2479" s="178"/>
      <c r="B2479" s="179"/>
    </row>
    <row r="2480" spans="1:2" x14ac:dyDescent="0.15">
      <c r="A2480" s="178"/>
      <c r="B2480" s="179"/>
    </row>
    <row r="2481" spans="1:2" x14ac:dyDescent="0.15">
      <c r="A2481" s="178"/>
      <c r="B2481" s="179"/>
    </row>
    <row r="2482" spans="1:2" x14ac:dyDescent="0.15">
      <c r="A2482" s="178"/>
      <c r="B2482" s="179"/>
    </row>
    <row r="2483" spans="1:2" x14ac:dyDescent="0.15">
      <c r="A2483" s="178"/>
      <c r="B2483" s="179"/>
    </row>
    <row r="2484" spans="1:2" x14ac:dyDescent="0.15">
      <c r="A2484" s="178"/>
      <c r="B2484" s="179"/>
    </row>
    <row r="2485" spans="1:2" x14ac:dyDescent="0.15">
      <c r="A2485" s="178"/>
      <c r="B2485" s="179"/>
    </row>
    <row r="2486" spans="1:2" x14ac:dyDescent="0.15">
      <c r="A2486" s="178"/>
      <c r="B2486" s="179"/>
    </row>
    <row r="2487" spans="1:2" x14ac:dyDescent="0.15">
      <c r="A2487" s="178"/>
      <c r="B2487" s="179"/>
    </row>
    <row r="2488" spans="1:2" x14ac:dyDescent="0.15">
      <c r="A2488" s="178"/>
      <c r="B2488" s="179"/>
    </row>
    <row r="2489" spans="1:2" x14ac:dyDescent="0.15">
      <c r="A2489" s="178"/>
      <c r="B2489" s="179"/>
    </row>
    <row r="2490" spans="1:2" x14ac:dyDescent="0.15">
      <c r="A2490" s="178"/>
      <c r="B2490" s="179"/>
    </row>
    <row r="2491" spans="1:2" x14ac:dyDescent="0.15">
      <c r="A2491" s="178"/>
      <c r="B2491" s="179"/>
    </row>
    <row r="2492" spans="1:2" x14ac:dyDescent="0.15">
      <c r="A2492" s="178"/>
      <c r="B2492" s="179"/>
    </row>
    <row r="2493" spans="1:2" x14ac:dyDescent="0.15">
      <c r="A2493" s="178"/>
      <c r="B2493" s="179"/>
    </row>
    <row r="2494" spans="1:2" x14ac:dyDescent="0.15">
      <c r="A2494" s="178"/>
      <c r="B2494" s="179"/>
    </row>
    <row r="2495" spans="1:2" x14ac:dyDescent="0.15">
      <c r="A2495" s="178"/>
      <c r="B2495" s="179"/>
    </row>
    <row r="2496" spans="1:2" x14ac:dyDescent="0.15">
      <c r="A2496" s="178"/>
      <c r="B2496" s="179"/>
    </row>
    <row r="2497" spans="1:4" x14ac:dyDescent="0.15">
      <c r="A2497" s="178"/>
      <c r="B2497" s="179"/>
    </row>
    <row r="2498" spans="1:4" x14ac:dyDescent="0.15">
      <c r="A2498" s="178"/>
      <c r="B2498" s="179"/>
    </row>
    <row r="2499" spans="1:4" x14ac:dyDescent="0.15">
      <c r="A2499" s="178"/>
      <c r="B2499" s="179"/>
    </row>
    <row r="2500" spans="1:4" x14ac:dyDescent="0.15">
      <c r="A2500" s="178"/>
      <c r="B2500" s="179"/>
    </row>
    <row r="2501" spans="1:4" x14ac:dyDescent="0.15">
      <c r="A2501" s="178"/>
      <c r="B2501" s="179"/>
    </row>
    <row r="2502" spans="1:4" x14ac:dyDescent="0.15">
      <c r="A2502" s="178"/>
      <c r="B2502" s="179"/>
    </row>
    <row r="2503" spans="1:4" x14ac:dyDescent="0.15">
      <c r="A2503" s="178"/>
      <c r="B2503" s="179"/>
    </row>
    <row r="2504" spans="1:4" x14ac:dyDescent="0.15">
      <c r="A2504" s="178"/>
      <c r="B2504" s="179"/>
    </row>
    <row r="2505" spans="1:4" x14ac:dyDescent="0.15">
      <c r="A2505" s="178"/>
      <c r="B2505" s="179"/>
      <c r="C2505" s="179"/>
      <c r="D2505" s="179"/>
    </row>
    <row r="2506" spans="1:4" x14ac:dyDescent="0.15">
      <c r="A2506" s="178"/>
      <c r="B2506" s="179"/>
    </row>
    <row r="2507" spans="1:4" x14ac:dyDescent="0.15">
      <c r="A2507" s="178"/>
      <c r="B2507" s="179"/>
    </row>
    <row r="2508" spans="1:4" x14ac:dyDescent="0.15">
      <c r="A2508" s="178"/>
      <c r="B2508" s="179"/>
    </row>
    <row r="2509" spans="1:4" x14ac:dyDescent="0.15">
      <c r="A2509" s="178"/>
      <c r="B2509" s="179"/>
    </row>
    <row r="2510" spans="1:4" x14ac:dyDescent="0.15">
      <c r="A2510" s="178"/>
      <c r="B2510" s="179"/>
    </row>
    <row r="2511" spans="1:4" x14ac:dyDescent="0.15">
      <c r="A2511" s="178"/>
      <c r="B2511" s="179"/>
    </row>
    <row r="2512" spans="1:4" x14ac:dyDescent="0.15">
      <c r="A2512" s="178"/>
      <c r="B2512" s="179"/>
    </row>
    <row r="2513" spans="1:2" x14ac:dyDescent="0.15">
      <c r="A2513" s="178"/>
      <c r="B2513" s="179"/>
    </row>
    <row r="2514" spans="1:2" x14ac:dyDescent="0.15">
      <c r="A2514" s="178"/>
      <c r="B2514" s="179"/>
    </row>
    <row r="2515" spans="1:2" x14ac:dyDescent="0.15">
      <c r="A2515" s="178"/>
      <c r="B2515" s="179"/>
    </row>
    <row r="2516" spans="1:2" x14ac:dyDescent="0.15">
      <c r="A2516" s="178"/>
      <c r="B2516" s="179"/>
    </row>
    <row r="2517" spans="1:2" x14ac:dyDescent="0.15">
      <c r="A2517" s="178"/>
      <c r="B2517" s="179"/>
    </row>
    <row r="2518" spans="1:2" x14ac:dyDescent="0.15">
      <c r="A2518" s="178"/>
      <c r="B2518" s="179"/>
    </row>
    <row r="2519" spans="1:2" x14ac:dyDescent="0.15">
      <c r="A2519" s="178"/>
      <c r="B2519" s="179"/>
    </row>
    <row r="2520" spans="1:2" x14ac:dyDescent="0.15">
      <c r="A2520" s="178"/>
      <c r="B2520" s="179"/>
    </row>
    <row r="2521" spans="1:2" x14ac:dyDescent="0.15">
      <c r="A2521" s="178"/>
      <c r="B2521" s="179"/>
    </row>
    <row r="2522" spans="1:2" x14ac:dyDescent="0.15">
      <c r="A2522" s="178"/>
      <c r="B2522" s="179"/>
    </row>
    <row r="2523" spans="1:2" x14ac:dyDescent="0.15">
      <c r="A2523" s="178"/>
      <c r="B2523" s="179"/>
    </row>
    <row r="2524" spans="1:2" x14ac:dyDescent="0.15">
      <c r="A2524" s="178"/>
      <c r="B2524" s="179"/>
    </row>
    <row r="2525" spans="1:2" x14ac:dyDescent="0.15">
      <c r="A2525" s="178"/>
      <c r="B2525" s="179"/>
    </row>
    <row r="2526" spans="1:2" x14ac:dyDescent="0.15">
      <c r="A2526" s="178"/>
      <c r="B2526" s="179"/>
    </row>
    <row r="2527" spans="1:2" x14ac:dyDescent="0.15">
      <c r="A2527" s="178"/>
      <c r="B2527" s="179"/>
    </row>
    <row r="2528" spans="1:2" x14ac:dyDescent="0.15">
      <c r="A2528" s="178"/>
      <c r="B2528" s="179"/>
    </row>
    <row r="2529" spans="1:2" x14ac:dyDescent="0.15">
      <c r="A2529" s="178"/>
      <c r="B2529" s="179"/>
    </row>
    <row r="2530" spans="1:2" x14ac:dyDescent="0.15">
      <c r="A2530" s="178"/>
      <c r="B2530" s="179"/>
    </row>
    <row r="2531" spans="1:2" x14ac:dyDescent="0.15">
      <c r="A2531" s="178"/>
      <c r="B2531" s="179"/>
    </row>
    <row r="2532" spans="1:2" x14ac:dyDescent="0.15">
      <c r="A2532" s="178"/>
      <c r="B2532" s="179"/>
    </row>
    <row r="2533" spans="1:2" x14ac:dyDescent="0.15">
      <c r="A2533" s="178"/>
      <c r="B2533" s="179"/>
    </row>
    <row r="2534" spans="1:2" x14ac:dyDescent="0.15">
      <c r="A2534" s="178"/>
      <c r="B2534" s="179"/>
    </row>
    <row r="2535" spans="1:2" x14ac:dyDescent="0.15">
      <c r="A2535" s="178"/>
      <c r="B2535" s="179"/>
    </row>
    <row r="2536" spans="1:2" x14ac:dyDescent="0.15">
      <c r="A2536" s="178"/>
      <c r="B2536" s="179"/>
    </row>
    <row r="2537" spans="1:2" x14ac:dyDescent="0.15">
      <c r="A2537" s="178"/>
      <c r="B2537" s="179"/>
    </row>
    <row r="2538" spans="1:2" x14ac:dyDescent="0.15">
      <c r="A2538" s="178"/>
      <c r="B2538" s="179"/>
    </row>
    <row r="2539" spans="1:2" x14ac:dyDescent="0.15">
      <c r="A2539" s="178"/>
      <c r="B2539" s="179"/>
    </row>
    <row r="2540" spans="1:2" x14ac:dyDescent="0.15">
      <c r="A2540" s="178"/>
      <c r="B2540" s="179"/>
    </row>
    <row r="2541" spans="1:2" x14ac:dyDescent="0.15">
      <c r="A2541" s="178"/>
      <c r="B2541" s="179"/>
    </row>
    <row r="2542" spans="1:2" x14ac:dyDescent="0.15">
      <c r="A2542" s="178"/>
      <c r="B2542" s="179"/>
    </row>
    <row r="2543" spans="1:2" x14ac:dyDescent="0.15">
      <c r="A2543" s="178"/>
      <c r="B2543" s="179"/>
    </row>
    <row r="2544" spans="1:2" x14ac:dyDescent="0.15">
      <c r="A2544" s="178"/>
      <c r="B2544" s="179"/>
    </row>
    <row r="2545" spans="1:2" x14ac:dyDescent="0.15">
      <c r="A2545" s="178"/>
      <c r="B2545" s="179"/>
    </row>
    <row r="2546" spans="1:2" x14ac:dyDescent="0.15">
      <c r="A2546" s="178"/>
      <c r="B2546" s="179"/>
    </row>
    <row r="2547" spans="1:2" x14ac:dyDescent="0.15">
      <c r="A2547" s="178"/>
      <c r="B2547" s="179"/>
    </row>
    <row r="2548" spans="1:2" x14ac:dyDescent="0.15">
      <c r="A2548" s="178"/>
      <c r="B2548" s="179"/>
    </row>
    <row r="2549" spans="1:2" x14ac:dyDescent="0.15">
      <c r="A2549" s="178"/>
      <c r="B2549" s="179"/>
    </row>
    <row r="2550" spans="1:2" x14ac:dyDescent="0.15">
      <c r="A2550" s="178"/>
      <c r="B2550" s="179"/>
    </row>
    <row r="2551" spans="1:2" x14ac:dyDescent="0.15">
      <c r="A2551" s="178"/>
      <c r="B2551" s="179"/>
    </row>
    <row r="2552" spans="1:2" x14ac:dyDescent="0.15">
      <c r="A2552" s="178"/>
      <c r="B2552" s="179"/>
    </row>
    <row r="2553" spans="1:2" x14ac:dyDescent="0.15">
      <c r="A2553" s="178"/>
      <c r="B2553" s="179"/>
    </row>
    <row r="2554" spans="1:2" x14ac:dyDescent="0.15">
      <c r="A2554" s="178"/>
      <c r="B2554" s="179"/>
    </row>
    <row r="2555" spans="1:2" x14ac:dyDescent="0.15">
      <c r="A2555" s="178"/>
      <c r="B2555" s="179"/>
    </row>
    <row r="2556" spans="1:2" x14ac:dyDescent="0.15">
      <c r="A2556" s="178"/>
      <c r="B2556" s="179"/>
    </row>
    <row r="2557" spans="1:2" x14ac:dyDescent="0.15">
      <c r="A2557" s="178"/>
      <c r="B2557" s="179"/>
    </row>
    <row r="2558" spans="1:2" x14ac:dyDescent="0.15">
      <c r="A2558" s="178"/>
      <c r="B2558" s="179"/>
    </row>
    <row r="2559" spans="1:2" x14ac:dyDescent="0.15">
      <c r="A2559" s="178"/>
      <c r="B2559" s="179"/>
    </row>
    <row r="2560" spans="1:2" x14ac:dyDescent="0.15">
      <c r="A2560" s="178"/>
      <c r="B2560" s="179"/>
    </row>
    <row r="2561" spans="1:2" x14ac:dyDescent="0.15">
      <c r="A2561" s="178"/>
      <c r="B2561" s="179"/>
    </row>
    <row r="2562" spans="1:2" x14ac:dyDescent="0.15">
      <c r="A2562" s="178"/>
      <c r="B2562" s="179"/>
    </row>
    <row r="2563" spans="1:2" x14ac:dyDescent="0.15">
      <c r="A2563" s="178"/>
      <c r="B2563" s="179"/>
    </row>
    <row r="2564" spans="1:2" x14ac:dyDescent="0.15">
      <c r="A2564" s="178"/>
      <c r="B2564" s="179"/>
    </row>
    <row r="2565" spans="1:2" x14ac:dyDescent="0.15">
      <c r="A2565" s="178"/>
      <c r="B2565" s="179"/>
    </row>
    <row r="2566" spans="1:2" x14ac:dyDescent="0.15">
      <c r="A2566" s="178"/>
      <c r="B2566" s="179"/>
    </row>
    <row r="2567" spans="1:2" x14ac:dyDescent="0.15">
      <c r="A2567" s="178"/>
      <c r="B2567" s="179"/>
    </row>
    <row r="2568" spans="1:2" x14ac:dyDescent="0.15">
      <c r="A2568" s="178"/>
      <c r="B2568" s="179"/>
    </row>
    <row r="2569" spans="1:2" x14ac:dyDescent="0.15">
      <c r="A2569" s="178"/>
      <c r="B2569" s="179"/>
    </row>
    <row r="2570" spans="1:2" x14ac:dyDescent="0.15">
      <c r="A2570" s="178"/>
      <c r="B2570" s="179"/>
    </row>
    <row r="2571" spans="1:2" x14ac:dyDescent="0.15">
      <c r="A2571" s="178"/>
      <c r="B2571" s="179"/>
    </row>
    <row r="2572" spans="1:2" x14ac:dyDescent="0.15">
      <c r="A2572" s="178"/>
      <c r="B2572" s="179"/>
    </row>
    <row r="2573" spans="1:2" x14ac:dyDescent="0.15">
      <c r="A2573" s="178"/>
      <c r="B2573" s="179"/>
    </row>
    <row r="2574" spans="1:2" x14ac:dyDescent="0.15">
      <c r="A2574" s="178"/>
      <c r="B2574" s="179"/>
    </row>
    <row r="2575" spans="1:2" x14ac:dyDescent="0.15">
      <c r="A2575" s="178"/>
      <c r="B2575" s="179"/>
    </row>
    <row r="2576" spans="1:2" x14ac:dyDescent="0.15">
      <c r="A2576" s="178"/>
      <c r="B2576" s="179"/>
    </row>
    <row r="2577" spans="1:2" x14ac:dyDescent="0.15">
      <c r="A2577" s="178"/>
      <c r="B2577" s="179"/>
    </row>
    <row r="2578" spans="1:2" x14ac:dyDescent="0.15">
      <c r="A2578" s="178"/>
      <c r="B2578" s="179"/>
    </row>
    <row r="2579" spans="1:2" x14ac:dyDescent="0.15">
      <c r="A2579" s="178"/>
      <c r="B2579" s="179"/>
    </row>
    <row r="2580" spans="1:2" x14ac:dyDescent="0.15">
      <c r="A2580" s="178"/>
      <c r="B2580" s="179"/>
    </row>
    <row r="2581" spans="1:2" x14ac:dyDescent="0.15">
      <c r="A2581" s="178"/>
      <c r="B2581" s="179"/>
    </row>
    <row r="2582" spans="1:2" x14ac:dyDescent="0.15">
      <c r="A2582" s="178"/>
      <c r="B2582" s="179"/>
    </row>
    <row r="2583" spans="1:2" x14ac:dyDescent="0.15">
      <c r="A2583" s="178"/>
      <c r="B2583" s="179"/>
    </row>
    <row r="2584" spans="1:2" x14ac:dyDescent="0.15">
      <c r="A2584" s="178"/>
      <c r="B2584" s="179"/>
    </row>
    <row r="2585" spans="1:2" x14ac:dyDescent="0.15">
      <c r="A2585" s="178"/>
      <c r="B2585" s="179"/>
    </row>
    <row r="2586" spans="1:2" x14ac:dyDescent="0.15">
      <c r="A2586" s="178"/>
      <c r="B2586" s="179"/>
    </row>
    <row r="2587" spans="1:2" x14ac:dyDescent="0.15">
      <c r="A2587" s="178"/>
      <c r="B2587" s="179"/>
    </row>
    <row r="2588" spans="1:2" x14ac:dyDescent="0.15">
      <c r="A2588" s="178"/>
      <c r="B2588" s="179"/>
    </row>
    <row r="2589" spans="1:2" x14ac:dyDescent="0.15">
      <c r="A2589" s="178"/>
      <c r="B2589" s="179"/>
    </row>
    <row r="2590" spans="1:2" x14ac:dyDescent="0.15">
      <c r="A2590" s="178"/>
      <c r="B2590" s="179"/>
    </row>
    <row r="2591" spans="1:2" x14ac:dyDescent="0.15">
      <c r="A2591" s="178"/>
      <c r="B2591" s="179"/>
    </row>
    <row r="2592" spans="1:2" x14ac:dyDescent="0.15">
      <c r="A2592" s="178"/>
      <c r="B2592" s="179"/>
    </row>
    <row r="2593" spans="1:4" x14ac:dyDescent="0.15">
      <c r="A2593" s="178"/>
      <c r="B2593" s="179"/>
    </row>
    <row r="2594" spans="1:4" x14ac:dyDescent="0.15">
      <c r="A2594" s="178"/>
      <c r="B2594" s="179"/>
    </row>
    <row r="2595" spans="1:4" x14ac:dyDescent="0.15">
      <c r="A2595" s="178"/>
      <c r="B2595" s="179"/>
    </row>
    <row r="2596" spans="1:4" x14ac:dyDescent="0.15">
      <c r="A2596" s="178"/>
      <c r="B2596" s="179"/>
    </row>
    <row r="2597" spans="1:4" x14ac:dyDescent="0.15">
      <c r="A2597" s="178"/>
      <c r="B2597" s="179"/>
    </row>
    <row r="2598" spans="1:4" x14ac:dyDescent="0.15">
      <c r="A2598" s="178"/>
      <c r="B2598" s="179"/>
    </row>
    <row r="2599" spans="1:4" x14ac:dyDescent="0.15">
      <c r="A2599" s="178"/>
      <c r="B2599" s="179"/>
    </row>
    <row r="2600" spans="1:4" x14ac:dyDescent="0.15">
      <c r="A2600" s="178"/>
      <c r="B2600" s="179"/>
    </row>
    <row r="2601" spans="1:4" x14ac:dyDescent="0.15">
      <c r="A2601" s="178"/>
      <c r="B2601" s="179"/>
    </row>
    <row r="2602" spans="1:4" x14ac:dyDescent="0.15">
      <c r="A2602" s="178"/>
      <c r="B2602" s="179"/>
    </row>
    <row r="2603" spans="1:4" x14ac:dyDescent="0.15">
      <c r="A2603" s="178"/>
      <c r="B2603" s="179"/>
    </row>
    <row r="2604" spans="1:4" x14ac:dyDescent="0.15">
      <c r="A2604" s="178"/>
      <c r="B2604" s="179"/>
    </row>
    <row r="2605" spans="1:4" x14ac:dyDescent="0.15">
      <c r="A2605" s="178"/>
      <c r="B2605" s="179"/>
      <c r="C2605" s="179"/>
      <c r="D2605" s="179"/>
    </row>
    <row r="2606" spans="1:4" x14ac:dyDescent="0.15">
      <c r="A2606" s="178"/>
      <c r="B2606" s="179"/>
    </row>
    <row r="2607" spans="1:4" x14ac:dyDescent="0.15">
      <c r="A2607" s="178"/>
      <c r="B2607" s="179"/>
    </row>
    <row r="2608" spans="1:4" x14ac:dyDescent="0.15">
      <c r="A2608" s="178"/>
      <c r="B2608" s="179"/>
    </row>
    <row r="2609" spans="1:2" x14ac:dyDescent="0.15">
      <c r="A2609" s="178"/>
      <c r="B2609" s="179"/>
    </row>
    <row r="2610" spans="1:2" x14ac:dyDescent="0.15">
      <c r="A2610" s="178"/>
      <c r="B2610" s="179"/>
    </row>
    <row r="2611" spans="1:2" x14ac:dyDescent="0.15">
      <c r="A2611" s="178"/>
      <c r="B2611" s="179"/>
    </row>
    <row r="2612" spans="1:2" x14ac:dyDescent="0.15">
      <c r="A2612" s="178"/>
      <c r="B2612" s="179"/>
    </row>
    <row r="2613" spans="1:2" x14ac:dyDescent="0.15">
      <c r="A2613" s="178"/>
      <c r="B2613" s="179"/>
    </row>
    <row r="2614" spans="1:2" x14ac:dyDescent="0.15">
      <c r="A2614" s="178"/>
      <c r="B2614" s="179"/>
    </row>
    <row r="2615" spans="1:2" x14ac:dyDescent="0.15">
      <c r="A2615" s="178"/>
      <c r="B2615" s="179"/>
    </row>
    <row r="2616" spans="1:2" x14ac:dyDescent="0.15">
      <c r="A2616" s="178"/>
      <c r="B2616" s="179"/>
    </row>
    <row r="2617" spans="1:2" x14ac:dyDescent="0.15">
      <c r="A2617" s="178"/>
      <c r="B2617" s="179"/>
    </row>
    <row r="2618" spans="1:2" x14ac:dyDescent="0.15">
      <c r="A2618" s="178"/>
      <c r="B2618" s="179"/>
    </row>
    <row r="2619" spans="1:2" x14ac:dyDescent="0.15">
      <c r="A2619" s="178"/>
      <c r="B2619" s="179"/>
    </row>
    <row r="2620" spans="1:2" x14ac:dyDescent="0.15">
      <c r="A2620" s="178"/>
      <c r="B2620" s="179"/>
    </row>
    <row r="2621" spans="1:2" x14ac:dyDescent="0.15">
      <c r="A2621" s="178"/>
      <c r="B2621" s="179"/>
    </row>
    <row r="2622" spans="1:2" x14ac:dyDescent="0.15">
      <c r="A2622" s="178"/>
      <c r="B2622" s="179"/>
    </row>
    <row r="2623" spans="1:2" x14ac:dyDescent="0.15">
      <c r="A2623" s="178"/>
      <c r="B2623" s="179"/>
    </row>
    <row r="2624" spans="1:2" x14ac:dyDescent="0.15">
      <c r="A2624" s="178"/>
      <c r="B2624" s="179"/>
    </row>
    <row r="2625" spans="1:2" x14ac:dyDescent="0.15">
      <c r="A2625" s="178"/>
      <c r="B2625" s="179"/>
    </row>
    <row r="2626" spans="1:2" x14ac:dyDescent="0.15">
      <c r="A2626" s="178"/>
      <c r="B2626" s="179"/>
    </row>
    <row r="2627" spans="1:2" x14ac:dyDescent="0.15">
      <c r="A2627" s="178"/>
      <c r="B2627" s="179"/>
    </row>
    <row r="2628" spans="1:2" x14ac:dyDescent="0.15">
      <c r="A2628" s="178"/>
      <c r="B2628" s="179"/>
    </row>
    <row r="2629" spans="1:2" x14ac:dyDescent="0.15">
      <c r="A2629" s="178"/>
      <c r="B2629" s="179"/>
    </row>
    <row r="2630" spans="1:2" x14ac:dyDescent="0.15">
      <c r="A2630" s="178"/>
      <c r="B2630" s="179"/>
    </row>
    <row r="2631" spans="1:2" x14ac:dyDescent="0.15">
      <c r="A2631" s="178"/>
      <c r="B2631" s="179"/>
    </row>
    <row r="2632" spans="1:2" x14ac:dyDescent="0.15">
      <c r="A2632" s="178"/>
      <c r="B2632" s="179"/>
    </row>
    <row r="2633" spans="1:2" x14ac:dyDescent="0.15">
      <c r="A2633" s="178"/>
      <c r="B2633" s="179"/>
    </row>
    <row r="2634" spans="1:2" x14ac:dyDescent="0.15">
      <c r="A2634" s="178"/>
      <c r="B2634" s="179"/>
    </row>
    <row r="2635" spans="1:2" x14ac:dyDescent="0.15">
      <c r="A2635" s="178"/>
      <c r="B2635" s="179"/>
    </row>
    <row r="2636" spans="1:2" x14ac:dyDescent="0.15">
      <c r="A2636" s="178"/>
      <c r="B2636" s="179"/>
    </row>
    <row r="2637" spans="1:2" x14ac:dyDescent="0.15">
      <c r="A2637" s="178"/>
      <c r="B2637" s="179"/>
    </row>
    <row r="2638" spans="1:2" x14ac:dyDescent="0.15">
      <c r="A2638" s="178"/>
      <c r="B2638" s="179"/>
    </row>
    <row r="2639" spans="1:2" x14ac:dyDescent="0.15">
      <c r="A2639" s="178"/>
      <c r="B2639" s="179"/>
    </row>
    <row r="2640" spans="1:2" x14ac:dyDescent="0.15">
      <c r="A2640" s="178"/>
      <c r="B2640" s="179"/>
    </row>
    <row r="2641" spans="1:2" x14ac:dyDescent="0.15">
      <c r="A2641" s="178"/>
      <c r="B2641" s="179"/>
    </row>
    <row r="2642" spans="1:2" x14ac:dyDescent="0.15">
      <c r="A2642" s="178"/>
      <c r="B2642" s="179"/>
    </row>
    <row r="2643" spans="1:2" x14ac:dyDescent="0.15">
      <c r="A2643" s="178"/>
      <c r="B2643" s="179"/>
    </row>
    <row r="2644" spans="1:2" x14ac:dyDescent="0.15">
      <c r="A2644" s="178"/>
      <c r="B2644" s="179"/>
    </row>
    <row r="2645" spans="1:2" x14ac:dyDescent="0.15">
      <c r="A2645" s="178"/>
      <c r="B2645" s="179"/>
    </row>
    <row r="2646" spans="1:2" x14ac:dyDescent="0.15">
      <c r="A2646" s="178"/>
      <c r="B2646" s="179"/>
    </row>
    <row r="2647" spans="1:2" x14ac:dyDescent="0.15">
      <c r="A2647" s="178"/>
      <c r="B2647" s="179"/>
    </row>
    <row r="2648" spans="1:2" x14ac:dyDescent="0.15">
      <c r="A2648" s="178"/>
      <c r="B2648" s="179"/>
    </row>
    <row r="2649" spans="1:2" x14ac:dyDescent="0.15">
      <c r="A2649" s="178"/>
      <c r="B2649" s="179"/>
    </row>
    <row r="2650" spans="1:2" x14ac:dyDescent="0.15">
      <c r="A2650" s="178"/>
      <c r="B2650" s="179"/>
    </row>
    <row r="2651" spans="1:2" x14ac:dyDescent="0.15">
      <c r="A2651" s="178"/>
      <c r="B2651" s="179"/>
    </row>
    <row r="2652" spans="1:2" x14ac:dyDescent="0.15">
      <c r="A2652" s="178"/>
      <c r="B2652" s="179"/>
    </row>
    <row r="2653" spans="1:2" x14ac:dyDescent="0.15">
      <c r="A2653" s="178"/>
      <c r="B2653" s="179"/>
    </row>
    <row r="2654" spans="1:2" x14ac:dyDescent="0.15">
      <c r="A2654" s="178"/>
      <c r="B2654" s="179"/>
    </row>
    <row r="2655" spans="1:2" x14ac:dyDescent="0.15">
      <c r="A2655" s="178"/>
      <c r="B2655" s="179"/>
    </row>
    <row r="2656" spans="1:2" x14ac:dyDescent="0.15">
      <c r="A2656" s="178"/>
      <c r="B2656" s="179"/>
    </row>
    <row r="2657" spans="1:2" x14ac:dyDescent="0.15">
      <c r="A2657" s="178"/>
      <c r="B2657" s="179"/>
    </row>
    <row r="2658" spans="1:2" x14ac:dyDescent="0.15">
      <c r="A2658" s="178"/>
      <c r="B2658" s="179"/>
    </row>
    <row r="2659" spans="1:2" x14ac:dyDescent="0.15">
      <c r="A2659" s="178"/>
      <c r="B2659" s="179"/>
    </row>
    <row r="2660" spans="1:2" x14ac:dyDescent="0.15">
      <c r="A2660" s="178"/>
      <c r="B2660" s="179"/>
    </row>
    <row r="2661" spans="1:2" x14ac:dyDescent="0.15">
      <c r="A2661" s="178"/>
      <c r="B2661" s="179"/>
    </row>
    <row r="2662" spans="1:2" x14ac:dyDescent="0.15">
      <c r="A2662" s="178"/>
      <c r="B2662" s="179"/>
    </row>
    <row r="2663" spans="1:2" x14ac:dyDescent="0.15">
      <c r="A2663" s="178"/>
      <c r="B2663" s="179"/>
    </row>
    <row r="2664" spans="1:2" x14ac:dyDescent="0.15">
      <c r="A2664" s="178"/>
      <c r="B2664" s="179"/>
    </row>
    <row r="2665" spans="1:2" x14ac:dyDescent="0.15">
      <c r="A2665" s="178"/>
      <c r="B2665" s="179"/>
    </row>
    <row r="2666" spans="1:2" x14ac:dyDescent="0.15">
      <c r="A2666" s="178"/>
      <c r="B2666" s="179"/>
    </row>
    <row r="2667" spans="1:2" x14ac:dyDescent="0.15">
      <c r="A2667" s="178"/>
      <c r="B2667" s="179"/>
    </row>
    <row r="2668" spans="1:2" x14ac:dyDescent="0.15">
      <c r="A2668" s="178"/>
      <c r="B2668" s="179"/>
    </row>
    <row r="2669" spans="1:2" x14ac:dyDescent="0.15">
      <c r="A2669" s="178"/>
      <c r="B2669" s="179"/>
    </row>
    <row r="2670" spans="1:2" x14ac:dyDescent="0.15">
      <c r="A2670" s="178"/>
      <c r="B2670" s="179"/>
    </row>
    <row r="2671" spans="1:2" x14ac:dyDescent="0.15">
      <c r="A2671" s="178"/>
      <c r="B2671" s="179"/>
    </row>
    <row r="2672" spans="1:2" x14ac:dyDescent="0.15">
      <c r="A2672" s="178"/>
      <c r="B2672" s="179"/>
    </row>
    <row r="2673" spans="1:2" x14ac:dyDescent="0.15">
      <c r="A2673" s="178"/>
      <c r="B2673" s="179"/>
    </row>
    <row r="2674" spans="1:2" x14ac:dyDescent="0.15">
      <c r="A2674" s="178"/>
      <c r="B2674" s="179"/>
    </row>
    <row r="2675" spans="1:2" x14ac:dyDescent="0.15">
      <c r="A2675" s="178"/>
      <c r="B2675" s="179"/>
    </row>
    <row r="2676" spans="1:2" x14ac:dyDescent="0.15">
      <c r="A2676" s="178"/>
      <c r="B2676" s="179"/>
    </row>
    <row r="2677" spans="1:2" x14ac:dyDescent="0.15">
      <c r="A2677" s="178"/>
      <c r="B2677" s="179"/>
    </row>
    <row r="2678" spans="1:2" x14ac:dyDescent="0.15">
      <c r="A2678" s="178"/>
      <c r="B2678" s="179"/>
    </row>
    <row r="2679" spans="1:2" x14ac:dyDescent="0.15">
      <c r="A2679" s="178"/>
      <c r="B2679" s="179"/>
    </row>
    <row r="2680" spans="1:2" x14ac:dyDescent="0.15">
      <c r="A2680" s="178"/>
      <c r="B2680" s="179"/>
    </row>
    <row r="2681" spans="1:2" x14ac:dyDescent="0.15">
      <c r="A2681" s="178"/>
      <c r="B2681" s="179"/>
    </row>
    <row r="2682" spans="1:2" x14ac:dyDescent="0.15">
      <c r="A2682" s="178"/>
      <c r="B2682" s="179"/>
    </row>
    <row r="2683" spans="1:2" x14ac:dyDescent="0.15">
      <c r="A2683" s="178"/>
      <c r="B2683" s="179"/>
    </row>
    <row r="2684" spans="1:2" x14ac:dyDescent="0.15">
      <c r="A2684" s="178"/>
      <c r="B2684" s="179"/>
    </row>
    <row r="2685" spans="1:2" x14ac:dyDescent="0.15">
      <c r="A2685" s="178"/>
      <c r="B2685" s="179"/>
    </row>
    <row r="2686" spans="1:2" x14ac:dyDescent="0.15">
      <c r="A2686" s="178"/>
      <c r="B2686" s="179"/>
    </row>
    <row r="2687" spans="1:2" x14ac:dyDescent="0.15">
      <c r="A2687" s="178"/>
      <c r="B2687" s="179"/>
    </row>
    <row r="2688" spans="1:2" x14ac:dyDescent="0.15">
      <c r="A2688" s="178"/>
      <c r="B2688" s="179"/>
    </row>
    <row r="2689" spans="1:2" x14ac:dyDescent="0.15">
      <c r="A2689" s="178"/>
      <c r="B2689" s="179"/>
    </row>
    <row r="2690" spans="1:2" x14ac:dyDescent="0.15">
      <c r="A2690" s="178"/>
      <c r="B2690" s="179"/>
    </row>
    <row r="2691" spans="1:2" x14ac:dyDescent="0.15">
      <c r="A2691" s="178"/>
      <c r="B2691" s="179"/>
    </row>
    <row r="2692" spans="1:2" x14ac:dyDescent="0.15">
      <c r="A2692" s="178"/>
      <c r="B2692" s="179"/>
    </row>
    <row r="2693" spans="1:2" x14ac:dyDescent="0.15">
      <c r="A2693" s="178"/>
      <c r="B2693" s="179"/>
    </row>
    <row r="2694" spans="1:2" x14ac:dyDescent="0.15">
      <c r="A2694" s="178"/>
      <c r="B2694" s="179"/>
    </row>
    <row r="2695" spans="1:2" x14ac:dyDescent="0.15">
      <c r="A2695" s="178"/>
      <c r="B2695" s="179"/>
    </row>
    <row r="2696" spans="1:2" x14ac:dyDescent="0.15">
      <c r="A2696" s="178"/>
      <c r="B2696" s="179"/>
    </row>
    <row r="2697" spans="1:2" x14ac:dyDescent="0.15">
      <c r="A2697" s="178"/>
      <c r="B2697" s="179"/>
    </row>
    <row r="2698" spans="1:2" x14ac:dyDescent="0.15">
      <c r="A2698" s="178"/>
      <c r="B2698" s="179"/>
    </row>
    <row r="2699" spans="1:2" x14ac:dyDescent="0.15">
      <c r="A2699" s="178"/>
      <c r="B2699" s="179"/>
    </row>
    <row r="2700" spans="1:2" x14ac:dyDescent="0.15">
      <c r="A2700" s="178"/>
      <c r="B2700" s="179"/>
    </row>
    <row r="2701" spans="1:2" x14ac:dyDescent="0.15">
      <c r="A2701" s="178"/>
      <c r="B2701" s="179"/>
    </row>
    <row r="2702" spans="1:2" x14ac:dyDescent="0.15">
      <c r="A2702" s="178"/>
      <c r="B2702" s="179"/>
    </row>
    <row r="2703" spans="1:2" x14ac:dyDescent="0.15">
      <c r="A2703" s="178"/>
      <c r="B2703" s="179"/>
    </row>
    <row r="2704" spans="1:2" x14ac:dyDescent="0.15">
      <c r="A2704" s="178"/>
      <c r="B2704" s="179"/>
    </row>
    <row r="2705" spans="1:4" x14ac:dyDescent="0.15">
      <c r="A2705" s="178"/>
      <c r="B2705" s="179"/>
      <c r="C2705" s="179"/>
      <c r="D2705" s="179"/>
    </row>
    <row r="2706" spans="1:4" x14ac:dyDescent="0.15">
      <c r="A2706" s="178"/>
      <c r="B2706" s="179"/>
    </row>
    <row r="2707" spans="1:4" x14ac:dyDescent="0.15">
      <c r="A2707" s="178"/>
      <c r="B2707" s="179"/>
    </row>
    <row r="2708" spans="1:4" x14ac:dyDescent="0.15">
      <c r="A2708" s="178"/>
      <c r="B2708" s="179"/>
    </row>
    <row r="2709" spans="1:4" x14ac:dyDescent="0.15">
      <c r="A2709" s="178"/>
      <c r="B2709" s="179"/>
    </row>
    <row r="2710" spans="1:4" x14ac:dyDescent="0.15">
      <c r="A2710" s="178"/>
      <c r="B2710" s="179"/>
    </row>
    <row r="2711" spans="1:4" x14ac:dyDescent="0.15">
      <c r="A2711" s="178"/>
      <c r="B2711" s="179"/>
    </row>
    <row r="2712" spans="1:4" x14ac:dyDescent="0.15">
      <c r="A2712" s="178"/>
      <c r="B2712" s="179"/>
    </row>
    <row r="2713" spans="1:4" x14ac:dyDescent="0.15">
      <c r="A2713" s="178"/>
      <c r="B2713" s="179"/>
    </row>
    <row r="2714" spans="1:4" x14ac:dyDescent="0.15">
      <c r="A2714" s="178"/>
      <c r="B2714" s="179"/>
    </row>
    <row r="2715" spans="1:4" x14ac:dyDescent="0.15">
      <c r="A2715" s="178"/>
      <c r="B2715" s="179"/>
    </row>
    <row r="2716" spans="1:4" x14ac:dyDescent="0.15">
      <c r="A2716" s="178"/>
      <c r="B2716" s="179"/>
    </row>
    <row r="2717" spans="1:4" x14ac:dyDescent="0.15">
      <c r="A2717" s="178"/>
      <c r="B2717" s="179"/>
    </row>
    <row r="2718" spans="1:4" x14ac:dyDescent="0.15">
      <c r="A2718" s="178"/>
      <c r="B2718" s="179"/>
    </row>
    <row r="2719" spans="1:4" x14ac:dyDescent="0.15">
      <c r="A2719" s="178"/>
      <c r="B2719" s="179"/>
    </row>
    <row r="2720" spans="1:4" x14ac:dyDescent="0.15">
      <c r="A2720" s="178"/>
      <c r="B2720" s="179"/>
    </row>
    <row r="2721" spans="1:2" x14ac:dyDescent="0.15">
      <c r="A2721" s="178"/>
      <c r="B2721" s="179"/>
    </row>
    <row r="2722" spans="1:2" x14ac:dyDescent="0.15">
      <c r="A2722" s="178"/>
      <c r="B2722" s="179"/>
    </row>
    <row r="2723" spans="1:2" x14ac:dyDescent="0.15">
      <c r="A2723" s="178"/>
      <c r="B2723" s="179"/>
    </row>
    <row r="2724" spans="1:2" x14ac:dyDescent="0.15">
      <c r="A2724" s="178"/>
      <c r="B2724" s="179"/>
    </row>
    <row r="2725" spans="1:2" x14ac:dyDescent="0.15">
      <c r="A2725" s="178"/>
      <c r="B2725" s="179"/>
    </row>
    <row r="2726" spans="1:2" x14ac:dyDescent="0.15">
      <c r="A2726" s="178"/>
      <c r="B2726" s="179"/>
    </row>
    <row r="2727" spans="1:2" x14ac:dyDescent="0.15">
      <c r="A2727" s="178"/>
      <c r="B2727" s="179"/>
    </row>
    <row r="2728" spans="1:2" x14ac:dyDescent="0.15">
      <c r="A2728" s="178"/>
      <c r="B2728" s="179"/>
    </row>
    <row r="2729" spans="1:2" x14ac:dyDescent="0.15">
      <c r="A2729" s="178"/>
      <c r="B2729" s="179"/>
    </row>
    <row r="2730" spans="1:2" x14ac:dyDescent="0.15">
      <c r="A2730" s="178"/>
      <c r="B2730" s="179"/>
    </row>
    <row r="2731" spans="1:2" x14ac:dyDescent="0.15">
      <c r="A2731" s="178"/>
      <c r="B2731" s="179"/>
    </row>
    <row r="2732" spans="1:2" x14ac:dyDescent="0.15">
      <c r="A2732" s="178"/>
      <c r="B2732" s="179"/>
    </row>
    <row r="2733" spans="1:2" x14ac:dyDescent="0.15">
      <c r="A2733" s="178"/>
      <c r="B2733" s="179"/>
    </row>
    <row r="2734" spans="1:2" x14ac:dyDescent="0.15">
      <c r="A2734" s="178"/>
      <c r="B2734" s="179"/>
    </row>
    <row r="2735" spans="1:2" x14ac:dyDescent="0.15">
      <c r="A2735" s="178"/>
      <c r="B2735" s="179"/>
    </row>
    <row r="2736" spans="1:2" x14ac:dyDescent="0.15">
      <c r="A2736" s="178"/>
      <c r="B2736" s="179"/>
    </row>
    <row r="2737" spans="1:2" x14ac:dyDescent="0.15">
      <c r="A2737" s="178"/>
      <c r="B2737" s="179"/>
    </row>
    <row r="2738" spans="1:2" x14ac:dyDescent="0.15">
      <c r="A2738" s="178"/>
      <c r="B2738" s="179"/>
    </row>
    <row r="2739" spans="1:2" x14ac:dyDescent="0.15">
      <c r="A2739" s="178"/>
      <c r="B2739" s="179"/>
    </row>
    <row r="2740" spans="1:2" x14ac:dyDescent="0.15">
      <c r="A2740" s="178"/>
      <c r="B2740" s="179"/>
    </row>
    <row r="2741" spans="1:2" x14ac:dyDescent="0.15">
      <c r="A2741" s="178"/>
      <c r="B2741" s="179"/>
    </row>
    <row r="2742" spans="1:2" x14ac:dyDescent="0.15">
      <c r="A2742" s="178"/>
      <c r="B2742" s="179"/>
    </row>
    <row r="2743" spans="1:2" x14ac:dyDescent="0.15">
      <c r="A2743" s="178"/>
      <c r="B2743" s="179"/>
    </row>
    <row r="2744" spans="1:2" x14ac:dyDescent="0.15">
      <c r="A2744" s="178"/>
      <c r="B2744" s="179"/>
    </row>
    <row r="2745" spans="1:2" x14ac:dyDescent="0.15">
      <c r="A2745" s="178"/>
      <c r="B2745" s="179"/>
    </row>
    <row r="2746" spans="1:2" x14ac:dyDescent="0.15">
      <c r="A2746" s="178"/>
      <c r="B2746" s="179"/>
    </row>
    <row r="2747" spans="1:2" x14ac:dyDescent="0.15">
      <c r="A2747" s="178"/>
      <c r="B2747" s="179"/>
    </row>
    <row r="2748" spans="1:2" x14ac:dyDescent="0.15">
      <c r="A2748" s="178"/>
      <c r="B2748" s="179"/>
    </row>
    <row r="2749" spans="1:2" x14ac:dyDescent="0.15">
      <c r="A2749" s="178"/>
      <c r="B2749" s="179"/>
    </row>
    <row r="2750" spans="1:2" x14ac:dyDescent="0.15">
      <c r="A2750" s="178"/>
      <c r="B2750" s="179"/>
    </row>
    <row r="2751" spans="1:2" x14ac:dyDescent="0.15">
      <c r="A2751" s="178"/>
      <c r="B2751" s="179"/>
    </row>
    <row r="2752" spans="1:2" x14ac:dyDescent="0.15">
      <c r="A2752" s="178"/>
      <c r="B2752" s="179"/>
    </row>
    <row r="2753" spans="1:2" x14ac:dyDescent="0.15">
      <c r="A2753" s="178"/>
      <c r="B2753" s="179"/>
    </row>
    <row r="2754" spans="1:2" x14ac:dyDescent="0.15">
      <c r="A2754" s="178"/>
      <c r="B2754" s="179"/>
    </row>
    <row r="2755" spans="1:2" x14ac:dyDescent="0.15">
      <c r="A2755" s="178"/>
      <c r="B2755" s="179"/>
    </row>
    <row r="2756" spans="1:2" x14ac:dyDescent="0.15">
      <c r="A2756" s="178"/>
      <c r="B2756" s="179"/>
    </row>
    <row r="2757" spans="1:2" x14ac:dyDescent="0.15">
      <c r="A2757" s="178"/>
      <c r="B2757" s="179"/>
    </row>
    <row r="2758" spans="1:2" x14ac:dyDescent="0.15">
      <c r="A2758" s="178"/>
      <c r="B2758" s="179"/>
    </row>
    <row r="2759" spans="1:2" x14ac:dyDescent="0.15">
      <c r="A2759" s="178"/>
      <c r="B2759" s="179"/>
    </row>
    <row r="2760" spans="1:2" x14ac:dyDescent="0.15">
      <c r="A2760" s="178"/>
      <c r="B2760" s="179"/>
    </row>
    <row r="2761" spans="1:2" x14ac:dyDescent="0.15">
      <c r="A2761" s="178"/>
      <c r="B2761" s="179"/>
    </row>
    <row r="2762" spans="1:2" x14ac:dyDescent="0.15">
      <c r="A2762" s="178"/>
      <c r="B2762" s="179"/>
    </row>
    <row r="2763" spans="1:2" x14ac:dyDescent="0.15">
      <c r="A2763" s="178"/>
      <c r="B2763" s="179"/>
    </row>
    <row r="2764" spans="1:2" x14ac:dyDescent="0.15">
      <c r="A2764" s="178"/>
      <c r="B2764" s="179"/>
    </row>
    <row r="2765" spans="1:2" x14ac:dyDescent="0.15">
      <c r="A2765" s="178"/>
      <c r="B2765" s="179"/>
    </row>
    <row r="2766" spans="1:2" x14ac:dyDescent="0.15">
      <c r="A2766" s="178"/>
      <c r="B2766" s="179"/>
    </row>
    <row r="2767" spans="1:2" x14ac:dyDescent="0.15">
      <c r="A2767" s="178"/>
      <c r="B2767" s="179"/>
    </row>
    <row r="2768" spans="1:2" x14ac:dyDescent="0.15">
      <c r="A2768" s="178"/>
      <c r="B2768" s="179"/>
    </row>
    <row r="2769" spans="1:2" x14ac:dyDescent="0.15">
      <c r="A2769" s="178"/>
      <c r="B2769" s="179"/>
    </row>
    <row r="2770" spans="1:2" x14ac:dyDescent="0.15">
      <c r="A2770" s="178"/>
      <c r="B2770" s="179"/>
    </row>
    <row r="2771" spans="1:2" x14ac:dyDescent="0.15">
      <c r="A2771" s="178"/>
      <c r="B2771" s="179"/>
    </row>
    <row r="2772" spans="1:2" x14ac:dyDescent="0.15">
      <c r="A2772" s="178"/>
      <c r="B2772" s="179"/>
    </row>
    <row r="2773" spans="1:2" x14ac:dyDescent="0.15">
      <c r="A2773" s="178"/>
      <c r="B2773" s="179"/>
    </row>
    <row r="2774" spans="1:2" x14ac:dyDescent="0.15">
      <c r="A2774" s="178"/>
      <c r="B2774" s="179"/>
    </row>
    <row r="2775" spans="1:2" x14ac:dyDescent="0.15">
      <c r="A2775" s="178"/>
      <c r="B2775" s="179"/>
    </row>
    <row r="2776" spans="1:2" x14ac:dyDescent="0.15">
      <c r="A2776" s="178"/>
      <c r="B2776" s="179"/>
    </row>
    <row r="2777" spans="1:2" x14ac:dyDescent="0.15">
      <c r="A2777" s="178"/>
      <c r="B2777" s="179"/>
    </row>
    <row r="2778" spans="1:2" x14ac:dyDescent="0.15">
      <c r="A2778" s="178"/>
      <c r="B2778" s="179"/>
    </row>
    <row r="2779" spans="1:2" x14ac:dyDescent="0.15">
      <c r="A2779" s="178"/>
      <c r="B2779" s="179"/>
    </row>
    <row r="2780" spans="1:2" x14ac:dyDescent="0.15">
      <c r="A2780" s="178"/>
      <c r="B2780" s="179"/>
    </row>
    <row r="2781" spans="1:2" x14ac:dyDescent="0.15">
      <c r="A2781" s="178"/>
      <c r="B2781" s="179"/>
    </row>
    <row r="2782" spans="1:2" x14ac:dyDescent="0.15">
      <c r="A2782" s="178"/>
      <c r="B2782" s="179"/>
    </row>
    <row r="2783" spans="1:2" x14ac:dyDescent="0.15">
      <c r="A2783" s="178"/>
      <c r="B2783" s="179"/>
    </row>
    <row r="2784" spans="1:2" x14ac:dyDescent="0.15">
      <c r="A2784" s="178"/>
      <c r="B2784" s="179"/>
    </row>
    <row r="2785" spans="1:2" x14ac:dyDescent="0.15">
      <c r="A2785" s="178"/>
      <c r="B2785" s="179"/>
    </row>
    <row r="2786" spans="1:2" x14ac:dyDescent="0.15">
      <c r="A2786" s="178"/>
      <c r="B2786" s="179"/>
    </row>
    <row r="2787" spans="1:2" x14ac:dyDescent="0.15">
      <c r="A2787" s="178"/>
      <c r="B2787" s="179"/>
    </row>
    <row r="2788" spans="1:2" x14ac:dyDescent="0.15">
      <c r="A2788" s="178"/>
      <c r="B2788" s="179"/>
    </row>
    <row r="2789" spans="1:2" x14ac:dyDescent="0.15">
      <c r="A2789" s="178"/>
      <c r="B2789" s="179"/>
    </row>
    <row r="2790" spans="1:2" x14ac:dyDescent="0.15">
      <c r="A2790" s="178"/>
      <c r="B2790" s="179"/>
    </row>
    <row r="2791" spans="1:2" x14ac:dyDescent="0.15">
      <c r="A2791" s="178"/>
      <c r="B2791" s="179"/>
    </row>
    <row r="2792" spans="1:2" x14ac:dyDescent="0.15">
      <c r="A2792" s="178"/>
      <c r="B2792" s="179"/>
    </row>
    <row r="2793" spans="1:2" x14ac:dyDescent="0.15">
      <c r="A2793" s="178"/>
      <c r="B2793" s="179"/>
    </row>
    <row r="2794" spans="1:2" x14ac:dyDescent="0.15">
      <c r="A2794" s="178"/>
      <c r="B2794" s="179"/>
    </row>
    <row r="2795" spans="1:2" x14ac:dyDescent="0.15">
      <c r="A2795" s="178"/>
      <c r="B2795" s="179"/>
    </row>
    <row r="2796" spans="1:2" x14ac:dyDescent="0.15">
      <c r="A2796" s="178"/>
      <c r="B2796" s="179"/>
    </row>
    <row r="2797" spans="1:2" x14ac:dyDescent="0.15">
      <c r="A2797" s="178"/>
      <c r="B2797" s="179"/>
    </row>
    <row r="2798" spans="1:2" x14ac:dyDescent="0.15">
      <c r="A2798" s="178"/>
      <c r="B2798" s="179"/>
    </row>
    <row r="2799" spans="1:2" x14ac:dyDescent="0.15">
      <c r="A2799" s="178"/>
      <c r="B2799" s="179"/>
    </row>
    <row r="2800" spans="1:2" x14ac:dyDescent="0.15">
      <c r="A2800" s="178"/>
      <c r="B2800" s="179"/>
    </row>
    <row r="2801" spans="1:4" x14ac:dyDescent="0.15">
      <c r="A2801" s="178"/>
      <c r="B2801" s="179"/>
    </row>
    <row r="2802" spans="1:4" x14ac:dyDescent="0.15">
      <c r="A2802" s="178"/>
      <c r="B2802" s="179"/>
    </row>
    <row r="2803" spans="1:4" x14ac:dyDescent="0.15">
      <c r="A2803" s="178"/>
      <c r="B2803" s="179"/>
    </row>
    <row r="2804" spans="1:4" x14ac:dyDescent="0.15">
      <c r="A2804" s="178"/>
      <c r="B2804" s="179"/>
    </row>
    <row r="2805" spans="1:4" x14ac:dyDescent="0.15">
      <c r="A2805" s="178"/>
      <c r="B2805" s="179"/>
      <c r="C2805" s="179"/>
      <c r="D2805" s="179"/>
    </row>
    <row r="2806" spans="1:4" x14ac:dyDescent="0.15">
      <c r="A2806" s="178"/>
      <c r="B2806" s="179"/>
    </row>
    <row r="2807" spans="1:4" x14ac:dyDescent="0.15">
      <c r="A2807" s="178"/>
      <c r="B2807" s="179"/>
    </row>
    <row r="2808" spans="1:4" x14ac:dyDescent="0.15">
      <c r="A2808" s="178"/>
      <c r="B2808" s="179"/>
    </row>
    <row r="2809" spans="1:4" x14ac:dyDescent="0.15">
      <c r="A2809" s="178"/>
      <c r="B2809" s="179"/>
    </row>
    <row r="2810" spans="1:4" x14ac:dyDescent="0.15">
      <c r="A2810" s="178"/>
      <c r="B2810" s="179"/>
    </row>
    <row r="2811" spans="1:4" x14ac:dyDescent="0.15">
      <c r="A2811" s="178"/>
      <c r="B2811" s="179"/>
    </row>
    <row r="2812" spans="1:4" x14ac:dyDescent="0.15">
      <c r="A2812" s="178"/>
      <c r="B2812" s="179"/>
    </row>
    <row r="2813" spans="1:4" x14ac:dyDescent="0.15">
      <c r="A2813" s="178"/>
      <c r="B2813" s="179"/>
    </row>
    <row r="2814" spans="1:4" x14ac:dyDescent="0.15">
      <c r="A2814" s="178"/>
      <c r="B2814" s="179"/>
    </row>
    <row r="2815" spans="1:4" x14ac:dyDescent="0.15">
      <c r="A2815" s="178"/>
      <c r="B2815" s="179"/>
    </row>
    <row r="2816" spans="1:4" x14ac:dyDescent="0.15">
      <c r="A2816" s="178"/>
      <c r="B2816" s="179"/>
    </row>
    <row r="2817" spans="1:2" x14ac:dyDescent="0.15">
      <c r="A2817" s="178"/>
      <c r="B2817" s="179"/>
    </row>
    <row r="2818" spans="1:2" x14ac:dyDescent="0.15">
      <c r="A2818" s="178"/>
      <c r="B2818" s="179"/>
    </row>
    <row r="2819" spans="1:2" x14ac:dyDescent="0.15">
      <c r="A2819" s="178"/>
      <c r="B2819" s="179"/>
    </row>
    <row r="2820" spans="1:2" x14ac:dyDescent="0.15">
      <c r="A2820" s="178"/>
      <c r="B2820" s="179"/>
    </row>
    <row r="2821" spans="1:2" x14ac:dyDescent="0.15">
      <c r="A2821" s="178"/>
      <c r="B2821" s="179"/>
    </row>
    <row r="2822" spans="1:2" x14ac:dyDescent="0.15">
      <c r="A2822" s="178"/>
      <c r="B2822" s="179"/>
    </row>
    <row r="2823" spans="1:2" x14ac:dyDescent="0.15">
      <c r="A2823" s="178"/>
      <c r="B2823" s="179"/>
    </row>
    <row r="2824" spans="1:2" x14ac:dyDescent="0.15">
      <c r="A2824" s="178"/>
      <c r="B2824" s="179"/>
    </row>
    <row r="2825" spans="1:2" x14ac:dyDescent="0.15">
      <c r="A2825" s="178"/>
      <c r="B2825" s="179"/>
    </row>
    <row r="2826" spans="1:2" x14ac:dyDescent="0.15">
      <c r="A2826" s="178"/>
      <c r="B2826" s="179"/>
    </row>
    <row r="2827" spans="1:2" x14ac:dyDescent="0.15">
      <c r="A2827" s="178"/>
      <c r="B2827" s="179"/>
    </row>
    <row r="2828" spans="1:2" x14ac:dyDescent="0.15">
      <c r="A2828" s="178"/>
      <c r="B2828" s="179"/>
    </row>
    <row r="2829" spans="1:2" x14ac:dyDescent="0.15">
      <c r="A2829" s="178"/>
      <c r="B2829" s="179"/>
    </row>
    <row r="2830" spans="1:2" x14ac:dyDescent="0.15">
      <c r="A2830" s="178"/>
      <c r="B2830" s="179"/>
    </row>
    <row r="2831" spans="1:2" x14ac:dyDescent="0.15">
      <c r="A2831" s="178"/>
      <c r="B2831" s="179"/>
    </row>
    <row r="2832" spans="1:2" x14ac:dyDescent="0.15">
      <c r="A2832" s="178"/>
      <c r="B2832" s="179"/>
    </row>
    <row r="2833" spans="1:2" x14ac:dyDescent="0.15">
      <c r="A2833" s="178"/>
      <c r="B2833" s="179"/>
    </row>
    <row r="2834" spans="1:2" x14ac:dyDescent="0.15">
      <c r="A2834" s="178"/>
      <c r="B2834" s="179"/>
    </row>
    <row r="2835" spans="1:2" x14ac:dyDescent="0.15">
      <c r="A2835" s="178"/>
      <c r="B2835" s="179"/>
    </row>
    <row r="2836" spans="1:2" x14ac:dyDescent="0.15">
      <c r="A2836" s="178"/>
      <c r="B2836" s="179"/>
    </row>
    <row r="2837" spans="1:2" x14ac:dyDescent="0.15">
      <c r="A2837" s="178"/>
      <c r="B2837" s="179"/>
    </row>
    <row r="2838" spans="1:2" x14ac:dyDescent="0.15">
      <c r="A2838" s="178"/>
      <c r="B2838" s="179"/>
    </row>
    <row r="2839" spans="1:2" x14ac:dyDescent="0.15">
      <c r="A2839" s="178"/>
      <c r="B2839" s="179"/>
    </row>
    <row r="2840" spans="1:2" x14ac:dyDescent="0.15">
      <c r="A2840" s="178"/>
      <c r="B2840" s="179"/>
    </row>
    <row r="2841" spans="1:2" x14ac:dyDescent="0.15">
      <c r="A2841" s="178"/>
      <c r="B2841" s="179"/>
    </row>
    <row r="2842" spans="1:2" x14ac:dyDescent="0.15">
      <c r="A2842" s="178"/>
      <c r="B2842" s="179"/>
    </row>
    <row r="2843" spans="1:2" x14ac:dyDescent="0.15">
      <c r="A2843" s="178"/>
      <c r="B2843" s="179"/>
    </row>
    <row r="2844" spans="1:2" x14ac:dyDescent="0.15">
      <c r="A2844" s="178"/>
      <c r="B2844" s="179"/>
    </row>
    <row r="2845" spans="1:2" x14ac:dyDescent="0.15">
      <c r="A2845" s="178"/>
      <c r="B2845" s="179"/>
    </row>
    <row r="2846" spans="1:2" x14ac:dyDescent="0.15">
      <c r="A2846" s="178"/>
      <c r="B2846" s="179"/>
    </row>
    <row r="2847" spans="1:2" x14ac:dyDescent="0.15">
      <c r="A2847" s="178"/>
      <c r="B2847" s="179"/>
    </row>
    <row r="2848" spans="1:2" x14ac:dyDescent="0.15">
      <c r="A2848" s="178"/>
      <c r="B2848" s="179"/>
    </row>
    <row r="2849" spans="1:2" x14ac:dyDescent="0.15">
      <c r="A2849" s="178"/>
      <c r="B2849" s="179"/>
    </row>
    <row r="2850" spans="1:2" x14ac:dyDescent="0.15">
      <c r="A2850" s="178"/>
      <c r="B2850" s="179"/>
    </row>
    <row r="2851" spans="1:2" x14ac:dyDescent="0.15">
      <c r="A2851" s="178"/>
      <c r="B2851" s="179"/>
    </row>
    <row r="2852" spans="1:2" x14ac:dyDescent="0.15">
      <c r="A2852" s="178"/>
      <c r="B2852" s="179"/>
    </row>
    <row r="2853" spans="1:2" x14ac:dyDescent="0.15">
      <c r="A2853" s="178"/>
      <c r="B2853" s="179"/>
    </row>
    <row r="2854" spans="1:2" x14ac:dyDescent="0.15">
      <c r="A2854" s="178"/>
      <c r="B2854" s="179"/>
    </row>
    <row r="2855" spans="1:2" x14ac:dyDescent="0.15">
      <c r="A2855" s="178"/>
      <c r="B2855" s="179"/>
    </row>
    <row r="2856" spans="1:2" x14ac:dyDescent="0.15">
      <c r="A2856" s="178"/>
      <c r="B2856" s="179"/>
    </row>
    <row r="2857" spans="1:2" x14ac:dyDescent="0.15">
      <c r="A2857" s="178"/>
      <c r="B2857" s="179"/>
    </row>
    <row r="2858" spans="1:2" x14ac:dyDescent="0.15">
      <c r="A2858" s="178"/>
      <c r="B2858" s="179"/>
    </row>
    <row r="2859" spans="1:2" x14ac:dyDescent="0.15">
      <c r="A2859" s="178"/>
      <c r="B2859" s="179"/>
    </row>
    <row r="2860" spans="1:2" x14ac:dyDescent="0.15">
      <c r="A2860" s="178"/>
      <c r="B2860" s="179"/>
    </row>
    <row r="2861" spans="1:2" x14ac:dyDescent="0.15">
      <c r="A2861" s="178"/>
      <c r="B2861" s="179"/>
    </row>
    <row r="2862" spans="1:2" x14ac:dyDescent="0.15">
      <c r="A2862" s="178"/>
      <c r="B2862" s="179"/>
    </row>
    <row r="2863" spans="1:2" x14ac:dyDescent="0.15">
      <c r="A2863" s="178"/>
      <c r="B2863" s="179"/>
    </row>
    <row r="2864" spans="1:2" x14ac:dyDescent="0.15">
      <c r="A2864" s="178"/>
      <c r="B2864" s="179"/>
    </row>
    <row r="2865" spans="1:2" x14ac:dyDescent="0.15">
      <c r="A2865" s="178"/>
      <c r="B2865" s="179"/>
    </row>
    <row r="2866" spans="1:2" x14ac:dyDescent="0.15">
      <c r="A2866" s="178"/>
      <c r="B2866" s="179"/>
    </row>
    <row r="2867" spans="1:2" x14ac:dyDescent="0.15">
      <c r="A2867" s="178"/>
      <c r="B2867" s="179"/>
    </row>
    <row r="2868" spans="1:2" x14ac:dyDescent="0.15">
      <c r="A2868" s="178"/>
      <c r="B2868" s="179"/>
    </row>
    <row r="2869" spans="1:2" x14ac:dyDescent="0.15">
      <c r="A2869" s="178"/>
      <c r="B2869" s="179"/>
    </row>
    <row r="2870" spans="1:2" x14ac:dyDescent="0.15">
      <c r="A2870" s="178"/>
      <c r="B2870" s="179"/>
    </row>
    <row r="2871" spans="1:2" x14ac:dyDescent="0.15">
      <c r="A2871" s="178"/>
      <c r="B2871" s="179"/>
    </row>
    <row r="2872" spans="1:2" x14ac:dyDescent="0.15">
      <c r="A2872" s="178"/>
      <c r="B2872" s="179"/>
    </row>
    <row r="2873" spans="1:2" x14ac:dyDescent="0.15">
      <c r="A2873" s="178"/>
      <c r="B2873" s="179"/>
    </row>
    <row r="2874" spans="1:2" x14ac:dyDescent="0.15">
      <c r="A2874" s="178"/>
      <c r="B2874" s="179"/>
    </row>
    <row r="2875" spans="1:2" x14ac:dyDescent="0.15">
      <c r="A2875" s="178"/>
      <c r="B2875" s="179"/>
    </row>
    <row r="2876" spans="1:2" x14ac:dyDescent="0.15">
      <c r="A2876" s="178"/>
      <c r="B2876" s="179"/>
    </row>
    <row r="2877" spans="1:2" x14ac:dyDescent="0.15">
      <c r="A2877" s="178"/>
      <c r="B2877" s="179"/>
    </row>
    <row r="2878" spans="1:2" x14ac:dyDescent="0.15">
      <c r="A2878" s="178"/>
      <c r="B2878" s="179"/>
    </row>
    <row r="2879" spans="1:2" x14ac:dyDescent="0.15">
      <c r="A2879" s="178"/>
      <c r="B2879" s="179"/>
    </row>
    <row r="2880" spans="1:2" x14ac:dyDescent="0.15">
      <c r="A2880" s="178"/>
      <c r="B2880" s="179"/>
    </row>
    <row r="2881" spans="1:2" x14ac:dyDescent="0.15">
      <c r="A2881" s="178"/>
      <c r="B2881" s="179"/>
    </row>
    <row r="2882" spans="1:2" x14ac:dyDescent="0.15">
      <c r="A2882" s="178"/>
      <c r="B2882" s="179"/>
    </row>
    <row r="2883" spans="1:2" x14ac:dyDescent="0.15">
      <c r="A2883" s="178"/>
      <c r="B2883" s="179"/>
    </row>
    <row r="2884" spans="1:2" x14ac:dyDescent="0.15">
      <c r="A2884" s="178"/>
      <c r="B2884" s="179"/>
    </row>
    <row r="2885" spans="1:2" x14ac:dyDescent="0.15">
      <c r="A2885" s="178"/>
      <c r="B2885" s="179"/>
    </row>
    <row r="2886" spans="1:2" x14ac:dyDescent="0.15">
      <c r="A2886" s="178"/>
      <c r="B2886" s="179"/>
    </row>
    <row r="2887" spans="1:2" x14ac:dyDescent="0.15">
      <c r="A2887" s="178"/>
      <c r="B2887" s="179"/>
    </row>
    <row r="2888" spans="1:2" x14ac:dyDescent="0.15">
      <c r="A2888" s="178"/>
      <c r="B2888" s="179"/>
    </row>
    <row r="2889" spans="1:2" x14ac:dyDescent="0.15">
      <c r="A2889" s="178"/>
      <c r="B2889" s="179"/>
    </row>
    <row r="2890" spans="1:2" x14ac:dyDescent="0.15">
      <c r="A2890" s="178"/>
      <c r="B2890" s="179"/>
    </row>
    <row r="2891" spans="1:2" x14ac:dyDescent="0.15">
      <c r="A2891" s="178"/>
      <c r="B2891" s="179"/>
    </row>
    <row r="2892" spans="1:2" x14ac:dyDescent="0.15">
      <c r="A2892" s="178"/>
      <c r="B2892" s="179"/>
    </row>
    <row r="2893" spans="1:2" x14ac:dyDescent="0.15">
      <c r="A2893" s="178"/>
      <c r="B2893" s="179"/>
    </row>
    <row r="2894" spans="1:2" x14ac:dyDescent="0.15">
      <c r="A2894" s="178"/>
      <c r="B2894" s="179"/>
    </row>
    <row r="2895" spans="1:2" x14ac:dyDescent="0.15">
      <c r="A2895" s="178"/>
      <c r="B2895" s="179"/>
    </row>
    <row r="2896" spans="1:2" x14ac:dyDescent="0.15">
      <c r="A2896" s="178"/>
      <c r="B2896" s="179"/>
    </row>
    <row r="2897" spans="1:4" x14ac:dyDescent="0.15">
      <c r="A2897" s="178"/>
      <c r="B2897" s="179"/>
    </row>
    <row r="2898" spans="1:4" x14ac:dyDescent="0.15">
      <c r="A2898" s="178"/>
      <c r="B2898" s="179"/>
    </row>
    <row r="2899" spans="1:4" x14ac:dyDescent="0.15">
      <c r="A2899" s="178"/>
      <c r="B2899" s="179"/>
    </row>
    <row r="2900" spans="1:4" x14ac:dyDescent="0.15">
      <c r="A2900" s="178"/>
      <c r="B2900" s="179"/>
    </row>
    <row r="2901" spans="1:4" x14ac:dyDescent="0.15">
      <c r="A2901" s="178"/>
      <c r="B2901" s="179"/>
    </row>
    <row r="2902" spans="1:4" x14ac:dyDescent="0.15">
      <c r="A2902" s="178"/>
      <c r="B2902" s="179"/>
    </row>
    <row r="2903" spans="1:4" x14ac:dyDescent="0.15">
      <c r="A2903" s="178"/>
      <c r="B2903" s="179"/>
    </row>
    <row r="2904" spans="1:4" x14ac:dyDescent="0.15">
      <c r="A2904" s="178"/>
      <c r="B2904" s="179"/>
    </row>
    <row r="2905" spans="1:4" x14ac:dyDescent="0.15">
      <c r="A2905" s="178"/>
      <c r="B2905" s="179"/>
      <c r="C2905" s="179"/>
      <c r="D2905" s="179"/>
    </row>
    <row r="2906" spans="1:4" x14ac:dyDescent="0.15">
      <c r="A2906" s="178"/>
      <c r="B2906" s="179"/>
    </row>
    <row r="2907" spans="1:4" x14ac:dyDescent="0.15">
      <c r="A2907" s="178"/>
      <c r="B2907" s="179"/>
    </row>
    <row r="2908" spans="1:4" x14ac:dyDescent="0.15">
      <c r="A2908" s="178"/>
      <c r="B2908" s="179"/>
    </row>
    <row r="2909" spans="1:4" x14ac:dyDescent="0.15">
      <c r="A2909" s="178"/>
      <c r="B2909" s="179"/>
    </row>
    <row r="2910" spans="1:4" x14ac:dyDescent="0.15">
      <c r="A2910" s="178"/>
      <c r="B2910" s="179"/>
    </row>
    <row r="2911" spans="1:4" x14ac:dyDescent="0.15">
      <c r="A2911" s="178"/>
      <c r="B2911" s="179"/>
    </row>
    <row r="2912" spans="1:4" x14ac:dyDescent="0.15">
      <c r="A2912" s="178"/>
      <c r="B2912" s="179"/>
    </row>
    <row r="2913" spans="1:2" x14ac:dyDescent="0.15">
      <c r="A2913" s="178"/>
      <c r="B2913" s="179"/>
    </row>
    <row r="2914" spans="1:2" x14ac:dyDescent="0.15">
      <c r="A2914" s="178"/>
      <c r="B2914" s="179"/>
    </row>
    <row r="2915" spans="1:2" x14ac:dyDescent="0.15">
      <c r="A2915" s="178"/>
      <c r="B2915" s="179"/>
    </row>
    <row r="2916" spans="1:2" x14ac:dyDescent="0.15">
      <c r="A2916" s="178"/>
      <c r="B2916" s="179"/>
    </row>
    <row r="2917" spans="1:2" x14ac:dyDescent="0.15">
      <c r="A2917" s="178"/>
      <c r="B2917" s="179"/>
    </row>
    <row r="2918" spans="1:2" x14ac:dyDescent="0.15">
      <c r="A2918" s="178"/>
      <c r="B2918" s="179"/>
    </row>
    <row r="2919" spans="1:2" x14ac:dyDescent="0.15">
      <c r="A2919" s="178"/>
      <c r="B2919" s="179"/>
    </row>
    <row r="2920" spans="1:2" x14ac:dyDescent="0.15">
      <c r="A2920" s="178"/>
      <c r="B2920" s="179"/>
    </row>
    <row r="2921" spans="1:2" x14ac:dyDescent="0.15">
      <c r="A2921" s="178"/>
      <c r="B2921" s="179"/>
    </row>
    <row r="2922" spans="1:2" x14ac:dyDescent="0.15">
      <c r="A2922" s="178"/>
      <c r="B2922" s="179"/>
    </row>
    <row r="2923" spans="1:2" x14ac:dyDescent="0.15">
      <c r="A2923" s="178"/>
      <c r="B2923" s="179"/>
    </row>
    <row r="2924" spans="1:2" x14ac:dyDescent="0.15">
      <c r="A2924" s="178"/>
      <c r="B2924" s="179"/>
    </row>
    <row r="2925" spans="1:2" x14ac:dyDescent="0.15">
      <c r="A2925" s="178"/>
      <c r="B2925" s="179"/>
    </row>
    <row r="2926" spans="1:2" x14ac:dyDescent="0.15">
      <c r="A2926" s="178"/>
      <c r="B2926" s="179"/>
    </row>
    <row r="2927" spans="1:2" x14ac:dyDescent="0.15">
      <c r="A2927" s="178"/>
      <c r="B2927" s="179"/>
    </row>
    <row r="2928" spans="1:2" x14ac:dyDescent="0.15">
      <c r="A2928" s="178"/>
      <c r="B2928" s="179"/>
    </row>
    <row r="2929" spans="1:2" x14ac:dyDescent="0.15">
      <c r="A2929" s="178"/>
      <c r="B2929" s="179"/>
    </row>
    <row r="2930" spans="1:2" x14ac:dyDescent="0.15">
      <c r="A2930" s="178"/>
      <c r="B2930" s="179"/>
    </row>
    <row r="2931" spans="1:2" x14ac:dyDescent="0.15">
      <c r="A2931" s="178"/>
      <c r="B2931" s="179"/>
    </row>
    <row r="2932" spans="1:2" x14ac:dyDescent="0.15">
      <c r="A2932" s="178"/>
      <c r="B2932" s="179"/>
    </row>
    <row r="2933" spans="1:2" x14ac:dyDescent="0.15">
      <c r="A2933" s="178"/>
      <c r="B2933" s="179"/>
    </row>
    <row r="2934" spans="1:2" x14ac:dyDescent="0.15">
      <c r="A2934" s="178"/>
      <c r="B2934" s="179"/>
    </row>
    <row r="2935" spans="1:2" x14ac:dyDescent="0.15">
      <c r="A2935" s="178"/>
      <c r="B2935" s="179"/>
    </row>
    <row r="2936" spans="1:2" x14ac:dyDescent="0.15">
      <c r="A2936" s="178"/>
      <c r="B2936" s="179"/>
    </row>
    <row r="2937" spans="1:2" x14ac:dyDescent="0.15">
      <c r="A2937" s="178"/>
      <c r="B2937" s="179"/>
    </row>
    <row r="2938" spans="1:2" x14ac:dyDescent="0.15">
      <c r="A2938" s="178"/>
      <c r="B2938" s="179"/>
    </row>
    <row r="2939" spans="1:2" x14ac:dyDescent="0.15">
      <c r="A2939" s="178"/>
      <c r="B2939" s="179"/>
    </row>
    <row r="2940" spans="1:2" x14ac:dyDescent="0.15">
      <c r="A2940" s="178"/>
      <c r="B2940" s="179"/>
    </row>
    <row r="2941" spans="1:2" x14ac:dyDescent="0.15">
      <c r="A2941" s="178"/>
      <c r="B2941" s="179"/>
    </row>
    <row r="2942" spans="1:2" x14ac:dyDescent="0.15">
      <c r="A2942" s="178"/>
      <c r="B2942" s="179"/>
    </row>
    <row r="2943" spans="1:2" x14ac:dyDescent="0.15">
      <c r="A2943" s="178"/>
      <c r="B2943" s="179"/>
    </row>
    <row r="2944" spans="1:2" x14ac:dyDescent="0.15">
      <c r="A2944" s="178"/>
      <c r="B2944" s="179"/>
    </row>
    <row r="2945" spans="1:2" x14ac:dyDescent="0.15">
      <c r="A2945" s="178"/>
      <c r="B2945" s="179"/>
    </row>
    <row r="2946" spans="1:2" x14ac:dyDescent="0.15">
      <c r="A2946" s="178"/>
      <c r="B2946" s="179"/>
    </row>
    <row r="2947" spans="1:2" x14ac:dyDescent="0.15">
      <c r="A2947" s="178"/>
      <c r="B2947" s="179"/>
    </row>
    <row r="2948" spans="1:2" x14ac:dyDescent="0.15">
      <c r="A2948" s="178"/>
      <c r="B2948" s="179"/>
    </row>
    <row r="2949" spans="1:2" x14ac:dyDescent="0.15">
      <c r="A2949" s="178"/>
      <c r="B2949" s="179"/>
    </row>
    <row r="2950" spans="1:2" x14ac:dyDescent="0.15">
      <c r="A2950" s="178"/>
      <c r="B2950" s="179"/>
    </row>
    <row r="2951" spans="1:2" x14ac:dyDescent="0.15">
      <c r="A2951" s="178"/>
      <c r="B2951" s="179"/>
    </row>
    <row r="2952" spans="1:2" x14ac:dyDescent="0.15">
      <c r="A2952" s="178"/>
      <c r="B2952" s="179"/>
    </row>
    <row r="2953" spans="1:2" x14ac:dyDescent="0.15">
      <c r="A2953" s="178"/>
      <c r="B2953" s="179"/>
    </row>
    <row r="2954" spans="1:2" x14ac:dyDescent="0.15">
      <c r="A2954" s="178"/>
      <c r="B2954" s="179"/>
    </row>
    <row r="2955" spans="1:2" x14ac:dyDescent="0.15">
      <c r="A2955" s="178"/>
      <c r="B2955" s="179"/>
    </row>
    <row r="2956" spans="1:2" x14ac:dyDescent="0.15">
      <c r="A2956" s="178"/>
      <c r="B2956" s="179"/>
    </row>
    <row r="2957" spans="1:2" x14ac:dyDescent="0.15">
      <c r="A2957" s="178"/>
      <c r="B2957" s="179"/>
    </row>
    <row r="2958" spans="1:2" x14ac:dyDescent="0.15">
      <c r="A2958" s="178"/>
      <c r="B2958" s="179"/>
    </row>
    <row r="2959" spans="1:2" x14ac:dyDescent="0.15">
      <c r="A2959" s="178"/>
      <c r="B2959" s="179"/>
    </row>
    <row r="2960" spans="1:2" x14ac:dyDescent="0.15">
      <c r="A2960" s="178"/>
      <c r="B2960" s="179"/>
    </row>
    <row r="2961" spans="1:2" x14ac:dyDescent="0.15">
      <c r="A2961" s="178"/>
      <c r="B2961" s="179"/>
    </row>
    <row r="2962" spans="1:2" x14ac:dyDescent="0.15">
      <c r="A2962" s="178"/>
      <c r="B2962" s="179"/>
    </row>
    <row r="2963" spans="1:2" x14ac:dyDescent="0.15">
      <c r="A2963" s="178"/>
      <c r="B2963" s="179"/>
    </row>
    <row r="2964" spans="1:2" x14ac:dyDescent="0.15">
      <c r="A2964" s="178"/>
      <c r="B2964" s="179"/>
    </row>
    <row r="2965" spans="1:2" x14ac:dyDescent="0.15">
      <c r="A2965" s="178"/>
      <c r="B2965" s="179"/>
    </row>
    <row r="2966" spans="1:2" x14ac:dyDescent="0.15">
      <c r="A2966" s="178"/>
      <c r="B2966" s="179"/>
    </row>
    <row r="2967" spans="1:2" x14ac:dyDescent="0.15">
      <c r="A2967" s="178"/>
      <c r="B2967" s="179"/>
    </row>
    <row r="2968" spans="1:2" x14ac:dyDescent="0.15">
      <c r="A2968" s="178"/>
      <c r="B2968" s="179"/>
    </row>
    <row r="2969" spans="1:2" x14ac:dyDescent="0.15">
      <c r="A2969" s="178"/>
      <c r="B2969" s="179"/>
    </row>
    <row r="2970" spans="1:2" x14ac:dyDescent="0.15">
      <c r="A2970" s="178"/>
      <c r="B2970" s="179"/>
    </row>
    <row r="2971" spans="1:2" x14ac:dyDescent="0.15">
      <c r="A2971" s="178"/>
      <c r="B2971" s="179"/>
    </row>
    <row r="2972" spans="1:2" x14ac:dyDescent="0.15">
      <c r="A2972" s="178"/>
      <c r="B2972" s="179"/>
    </row>
    <row r="2973" spans="1:2" x14ac:dyDescent="0.15">
      <c r="A2973" s="178"/>
      <c r="B2973" s="179"/>
    </row>
    <row r="2974" spans="1:2" x14ac:dyDescent="0.15">
      <c r="A2974" s="178"/>
      <c r="B2974" s="179"/>
    </row>
    <row r="2975" spans="1:2" x14ac:dyDescent="0.15">
      <c r="A2975" s="178"/>
      <c r="B2975" s="179"/>
    </row>
    <row r="2976" spans="1:2" x14ac:dyDescent="0.15">
      <c r="A2976" s="178"/>
      <c r="B2976" s="179"/>
    </row>
    <row r="2977" spans="1:2" x14ac:dyDescent="0.15">
      <c r="A2977" s="178"/>
      <c r="B2977" s="179"/>
    </row>
    <row r="2978" spans="1:2" x14ac:dyDescent="0.15">
      <c r="A2978" s="178"/>
      <c r="B2978" s="179"/>
    </row>
    <row r="2979" spans="1:2" x14ac:dyDescent="0.15">
      <c r="A2979" s="178"/>
      <c r="B2979" s="179"/>
    </row>
    <row r="2980" spans="1:2" x14ac:dyDescent="0.15">
      <c r="A2980" s="178"/>
      <c r="B2980" s="179"/>
    </row>
    <row r="2981" spans="1:2" x14ac:dyDescent="0.15">
      <c r="A2981" s="178"/>
      <c r="B2981" s="179"/>
    </row>
    <row r="2982" spans="1:2" x14ac:dyDescent="0.15">
      <c r="A2982" s="178"/>
      <c r="B2982" s="179"/>
    </row>
    <row r="2983" spans="1:2" x14ac:dyDescent="0.15">
      <c r="A2983" s="178"/>
      <c r="B2983" s="179"/>
    </row>
    <row r="2984" spans="1:2" x14ac:dyDescent="0.15">
      <c r="A2984" s="178"/>
      <c r="B2984" s="179"/>
    </row>
    <row r="2985" spans="1:2" x14ac:dyDescent="0.15">
      <c r="A2985" s="178"/>
      <c r="B2985" s="179"/>
    </row>
    <row r="2986" spans="1:2" x14ac:dyDescent="0.15">
      <c r="A2986" s="178"/>
      <c r="B2986" s="179"/>
    </row>
    <row r="2987" spans="1:2" x14ac:dyDescent="0.15">
      <c r="A2987" s="178"/>
      <c r="B2987" s="179"/>
    </row>
    <row r="2988" spans="1:2" x14ac:dyDescent="0.15">
      <c r="A2988" s="178"/>
      <c r="B2988" s="179"/>
    </row>
    <row r="2989" spans="1:2" x14ac:dyDescent="0.15">
      <c r="A2989" s="178"/>
      <c r="B2989" s="179"/>
    </row>
    <row r="2990" spans="1:2" x14ac:dyDescent="0.15">
      <c r="A2990" s="178"/>
      <c r="B2990" s="179"/>
    </row>
    <row r="2991" spans="1:2" x14ac:dyDescent="0.15">
      <c r="A2991" s="178"/>
      <c r="B2991" s="179"/>
    </row>
    <row r="2992" spans="1:2" x14ac:dyDescent="0.15">
      <c r="A2992" s="178"/>
      <c r="B2992" s="179"/>
    </row>
    <row r="2993" spans="1:4" x14ac:dyDescent="0.15">
      <c r="A2993" s="178"/>
      <c r="B2993" s="179"/>
    </row>
    <row r="2994" spans="1:4" x14ac:dyDescent="0.15">
      <c r="A2994" s="178"/>
      <c r="B2994" s="179"/>
    </row>
    <row r="2995" spans="1:4" x14ac:dyDescent="0.15">
      <c r="A2995" s="178"/>
      <c r="B2995" s="179"/>
    </row>
    <row r="2996" spans="1:4" x14ac:dyDescent="0.15">
      <c r="A2996" s="178"/>
      <c r="B2996" s="179"/>
    </row>
    <row r="2997" spans="1:4" x14ac:dyDescent="0.15">
      <c r="A2997" s="178"/>
      <c r="B2997" s="179"/>
    </row>
    <row r="2998" spans="1:4" x14ac:dyDescent="0.15">
      <c r="A2998" s="178"/>
      <c r="B2998" s="179"/>
    </row>
    <row r="2999" spans="1:4" x14ac:dyDescent="0.15">
      <c r="A2999" s="178"/>
      <c r="B2999" s="179"/>
    </row>
    <row r="3000" spans="1:4" x14ac:dyDescent="0.15">
      <c r="A3000" s="178"/>
      <c r="B3000" s="179"/>
    </row>
    <row r="3001" spans="1:4" x14ac:dyDescent="0.15">
      <c r="A3001" s="178"/>
      <c r="B3001" s="179"/>
    </row>
    <row r="3002" spans="1:4" x14ac:dyDescent="0.15">
      <c r="A3002" s="178"/>
      <c r="B3002" s="179"/>
    </row>
    <row r="3003" spans="1:4" x14ac:dyDescent="0.15">
      <c r="A3003" s="178"/>
      <c r="B3003" s="179"/>
    </row>
    <row r="3004" spans="1:4" x14ac:dyDescent="0.15">
      <c r="A3004" s="178"/>
      <c r="B3004" s="179"/>
    </row>
    <row r="3005" spans="1:4" x14ac:dyDescent="0.15">
      <c r="A3005" s="178"/>
      <c r="B3005" s="179"/>
      <c r="C3005" s="179"/>
      <c r="D3005" s="179"/>
    </row>
    <row r="3006" spans="1:4" x14ac:dyDescent="0.15">
      <c r="A3006" s="178"/>
      <c r="B3006" s="179"/>
    </row>
    <row r="3007" spans="1:4" x14ac:dyDescent="0.15">
      <c r="A3007" s="178"/>
      <c r="B3007" s="179"/>
    </row>
    <row r="3008" spans="1:4" x14ac:dyDescent="0.15">
      <c r="A3008" s="178"/>
      <c r="B3008" s="179"/>
    </row>
    <row r="3009" spans="1:2" x14ac:dyDescent="0.15">
      <c r="A3009" s="178"/>
      <c r="B3009" s="179"/>
    </row>
    <row r="3010" spans="1:2" x14ac:dyDescent="0.15">
      <c r="A3010" s="178"/>
      <c r="B3010" s="179"/>
    </row>
    <row r="3011" spans="1:2" x14ac:dyDescent="0.15">
      <c r="A3011" s="178"/>
      <c r="B3011" s="179"/>
    </row>
    <row r="3012" spans="1:2" x14ac:dyDescent="0.15">
      <c r="A3012" s="178"/>
      <c r="B3012" s="179"/>
    </row>
    <row r="3013" spans="1:2" x14ac:dyDescent="0.15">
      <c r="A3013" s="178"/>
      <c r="B3013" s="179"/>
    </row>
    <row r="3014" spans="1:2" x14ac:dyDescent="0.15">
      <c r="A3014" s="178"/>
      <c r="B3014" s="179"/>
    </row>
    <row r="3015" spans="1:2" x14ac:dyDescent="0.15">
      <c r="A3015" s="178"/>
      <c r="B3015" s="179"/>
    </row>
    <row r="3016" spans="1:2" x14ac:dyDescent="0.15">
      <c r="A3016" s="178"/>
      <c r="B3016" s="179"/>
    </row>
    <row r="3017" spans="1:2" x14ac:dyDescent="0.15">
      <c r="A3017" s="178"/>
      <c r="B3017" s="179"/>
    </row>
    <row r="3018" spans="1:2" x14ac:dyDescent="0.15">
      <c r="A3018" s="178"/>
      <c r="B3018" s="179"/>
    </row>
    <row r="3019" spans="1:2" x14ac:dyDescent="0.15">
      <c r="A3019" s="178"/>
      <c r="B3019" s="179"/>
    </row>
    <row r="3020" spans="1:2" x14ac:dyDescent="0.15">
      <c r="A3020" s="178"/>
      <c r="B3020" s="179"/>
    </row>
    <row r="3021" spans="1:2" x14ac:dyDescent="0.15">
      <c r="A3021" s="178"/>
      <c r="B3021" s="179"/>
    </row>
    <row r="3022" spans="1:2" x14ac:dyDescent="0.15">
      <c r="A3022" s="178"/>
      <c r="B3022" s="179"/>
    </row>
    <row r="3023" spans="1:2" x14ac:dyDescent="0.15">
      <c r="A3023" s="178"/>
      <c r="B3023" s="179"/>
    </row>
    <row r="3024" spans="1:2" x14ac:dyDescent="0.15">
      <c r="A3024" s="178"/>
      <c r="B3024" s="179"/>
    </row>
    <row r="3025" spans="1:2" x14ac:dyDescent="0.15">
      <c r="A3025" s="178"/>
      <c r="B3025" s="179"/>
    </row>
    <row r="3026" spans="1:2" x14ac:dyDescent="0.15">
      <c r="A3026" s="178"/>
      <c r="B3026" s="179"/>
    </row>
    <row r="3027" spans="1:2" x14ac:dyDescent="0.15">
      <c r="A3027" s="178"/>
      <c r="B3027" s="179"/>
    </row>
    <row r="3028" spans="1:2" x14ac:dyDescent="0.15">
      <c r="A3028" s="178"/>
      <c r="B3028" s="179"/>
    </row>
    <row r="3029" spans="1:2" x14ac:dyDescent="0.15">
      <c r="A3029" s="178"/>
      <c r="B3029" s="179"/>
    </row>
    <row r="3030" spans="1:2" x14ac:dyDescent="0.15">
      <c r="A3030" s="178"/>
      <c r="B3030" s="179"/>
    </row>
    <row r="3031" spans="1:2" x14ac:dyDescent="0.15">
      <c r="A3031" s="178"/>
      <c r="B3031" s="179"/>
    </row>
    <row r="3032" spans="1:2" x14ac:dyDescent="0.15">
      <c r="A3032" s="178"/>
      <c r="B3032" s="179"/>
    </row>
    <row r="3033" spans="1:2" x14ac:dyDescent="0.15">
      <c r="A3033" s="178"/>
      <c r="B3033" s="179"/>
    </row>
    <row r="3034" spans="1:2" x14ac:dyDescent="0.15">
      <c r="A3034" s="178"/>
      <c r="B3034" s="179"/>
    </row>
    <row r="3035" spans="1:2" x14ac:dyDescent="0.15">
      <c r="A3035" s="178"/>
      <c r="B3035" s="179"/>
    </row>
    <row r="3036" spans="1:2" x14ac:dyDescent="0.15">
      <c r="A3036" s="178"/>
      <c r="B3036" s="179"/>
    </row>
    <row r="3037" spans="1:2" x14ac:dyDescent="0.15">
      <c r="A3037" s="178"/>
      <c r="B3037" s="179"/>
    </row>
    <row r="3038" spans="1:2" x14ac:dyDescent="0.15">
      <c r="A3038" s="178"/>
      <c r="B3038" s="179"/>
    </row>
    <row r="3039" spans="1:2" x14ac:dyDescent="0.15">
      <c r="A3039" s="178"/>
      <c r="B3039" s="179"/>
    </row>
    <row r="3040" spans="1:2" x14ac:dyDescent="0.15">
      <c r="A3040" s="178"/>
      <c r="B3040" s="179"/>
    </row>
    <row r="3041" spans="1:2" x14ac:dyDescent="0.15">
      <c r="A3041" s="178"/>
      <c r="B3041" s="179"/>
    </row>
    <row r="3042" spans="1:2" x14ac:dyDescent="0.15">
      <c r="A3042" s="178"/>
      <c r="B3042" s="179"/>
    </row>
    <row r="3043" spans="1:2" x14ac:dyDescent="0.15">
      <c r="A3043" s="178"/>
      <c r="B3043" s="179"/>
    </row>
    <row r="3044" spans="1:2" x14ac:dyDescent="0.15">
      <c r="A3044" s="178"/>
      <c r="B3044" s="179"/>
    </row>
    <row r="3045" spans="1:2" x14ac:dyDescent="0.15">
      <c r="A3045" s="178"/>
      <c r="B3045" s="179"/>
    </row>
    <row r="3046" spans="1:2" x14ac:dyDescent="0.15">
      <c r="A3046" s="178"/>
      <c r="B3046" s="179"/>
    </row>
    <row r="3047" spans="1:2" x14ac:dyDescent="0.15">
      <c r="A3047" s="178"/>
      <c r="B3047" s="179"/>
    </row>
    <row r="3048" spans="1:2" x14ac:dyDescent="0.15">
      <c r="A3048" s="178"/>
      <c r="B3048" s="179"/>
    </row>
    <row r="3049" spans="1:2" x14ac:dyDescent="0.15">
      <c r="A3049" s="178"/>
      <c r="B3049" s="179"/>
    </row>
    <row r="3050" spans="1:2" x14ac:dyDescent="0.15">
      <c r="A3050" s="178"/>
      <c r="B3050" s="179"/>
    </row>
    <row r="3051" spans="1:2" x14ac:dyDescent="0.15">
      <c r="A3051" s="178"/>
      <c r="B3051" s="179"/>
    </row>
    <row r="3052" spans="1:2" x14ac:dyDescent="0.15">
      <c r="A3052" s="178"/>
      <c r="B3052" s="179"/>
    </row>
    <row r="3053" spans="1:2" x14ac:dyDescent="0.15">
      <c r="A3053" s="178"/>
      <c r="B3053" s="179"/>
    </row>
    <row r="3054" spans="1:2" x14ac:dyDescent="0.15">
      <c r="A3054" s="178"/>
      <c r="B3054" s="179"/>
    </row>
    <row r="3055" spans="1:2" x14ac:dyDescent="0.15">
      <c r="A3055" s="178"/>
      <c r="B3055" s="179"/>
    </row>
    <row r="3056" spans="1:2" x14ac:dyDescent="0.15">
      <c r="A3056" s="178"/>
      <c r="B3056" s="179"/>
    </row>
    <row r="3057" spans="1:2" x14ac:dyDescent="0.15">
      <c r="A3057" s="178"/>
      <c r="B3057" s="179"/>
    </row>
    <row r="3058" spans="1:2" x14ac:dyDescent="0.15">
      <c r="A3058" s="178"/>
      <c r="B3058" s="179"/>
    </row>
    <row r="3059" spans="1:2" x14ac:dyDescent="0.15">
      <c r="A3059" s="178"/>
      <c r="B3059" s="179"/>
    </row>
    <row r="3060" spans="1:2" x14ac:dyDescent="0.15">
      <c r="A3060" s="178"/>
      <c r="B3060" s="179"/>
    </row>
    <row r="3061" spans="1:2" x14ac:dyDescent="0.15">
      <c r="A3061" s="178"/>
      <c r="B3061" s="179"/>
    </row>
    <row r="3062" spans="1:2" x14ac:dyDescent="0.15">
      <c r="A3062" s="178"/>
      <c r="B3062" s="179"/>
    </row>
    <row r="3063" spans="1:2" x14ac:dyDescent="0.15">
      <c r="A3063" s="178"/>
      <c r="B3063" s="179"/>
    </row>
    <row r="3064" spans="1:2" x14ac:dyDescent="0.15">
      <c r="A3064" s="178"/>
      <c r="B3064" s="179"/>
    </row>
    <row r="3065" spans="1:2" x14ac:dyDescent="0.15">
      <c r="A3065" s="178"/>
      <c r="B3065" s="179"/>
    </row>
    <row r="3066" spans="1:2" x14ac:dyDescent="0.15">
      <c r="A3066" s="178"/>
      <c r="B3066" s="179"/>
    </row>
    <row r="3067" spans="1:2" x14ac:dyDescent="0.15">
      <c r="A3067" s="178"/>
      <c r="B3067" s="179"/>
    </row>
    <row r="3068" spans="1:2" x14ac:dyDescent="0.15">
      <c r="A3068" s="178"/>
      <c r="B3068" s="179"/>
    </row>
    <row r="3069" spans="1:2" x14ac:dyDescent="0.15">
      <c r="A3069" s="178"/>
      <c r="B3069" s="179"/>
    </row>
    <row r="3070" spans="1:2" x14ac:dyDescent="0.15">
      <c r="A3070" s="178"/>
      <c r="B3070" s="179"/>
    </row>
    <row r="3071" spans="1:2" x14ac:dyDescent="0.15">
      <c r="A3071" s="178"/>
      <c r="B3071" s="179"/>
    </row>
    <row r="3072" spans="1:2" x14ac:dyDescent="0.15">
      <c r="A3072" s="178"/>
      <c r="B3072" s="179"/>
    </row>
    <row r="3073" spans="1:2" x14ac:dyDescent="0.15">
      <c r="A3073" s="178"/>
      <c r="B3073" s="179"/>
    </row>
    <row r="3074" spans="1:2" x14ac:dyDescent="0.15">
      <c r="A3074" s="178"/>
      <c r="B3074" s="179"/>
    </row>
    <row r="3075" spans="1:2" x14ac:dyDescent="0.15">
      <c r="A3075" s="178"/>
      <c r="B3075" s="179"/>
    </row>
    <row r="3076" spans="1:2" x14ac:dyDescent="0.15">
      <c r="A3076" s="178"/>
      <c r="B3076" s="179"/>
    </row>
    <row r="3077" spans="1:2" x14ac:dyDescent="0.15">
      <c r="A3077" s="178"/>
      <c r="B3077" s="179"/>
    </row>
    <row r="3078" spans="1:2" x14ac:dyDescent="0.15">
      <c r="A3078" s="178"/>
      <c r="B3078" s="179"/>
    </row>
    <row r="3079" spans="1:2" x14ac:dyDescent="0.15">
      <c r="A3079" s="178"/>
      <c r="B3079" s="179"/>
    </row>
    <row r="3080" spans="1:2" x14ac:dyDescent="0.15">
      <c r="A3080" s="178"/>
      <c r="B3080" s="179"/>
    </row>
    <row r="3081" spans="1:2" x14ac:dyDescent="0.15">
      <c r="A3081" s="178"/>
      <c r="B3081" s="179"/>
    </row>
    <row r="3082" spans="1:2" x14ac:dyDescent="0.15">
      <c r="A3082" s="178"/>
      <c r="B3082" s="179"/>
    </row>
    <row r="3083" spans="1:2" x14ac:dyDescent="0.15">
      <c r="A3083" s="178"/>
      <c r="B3083" s="179"/>
    </row>
    <row r="3084" spans="1:2" x14ac:dyDescent="0.15">
      <c r="A3084" s="178"/>
      <c r="B3084" s="179"/>
    </row>
    <row r="3085" spans="1:2" x14ac:dyDescent="0.15">
      <c r="A3085" s="178"/>
      <c r="B3085" s="179"/>
    </row>
    <row r="3086" spans="1:2" x14ac:dyDescent="0.15">
      <c r="A3086" s="178"/>
      <c r="B3086" s="179"/>
    </row>
    <row r="3087" spans="1:2" x14ac:dyDescent="0.15">
      <c r="A3087" s="178"/>
      <c r="B3087" s="179"/>
    </row>
    <row r="3088" spans="1:2" x14ac:dyDescent="0.15">
      <c r="A3088" s="178"/>
      <c r="B3088" s="179"/>
    </row>
    <row r="3089" spans="1:2" x14ac:dyDescent="0.15">
      <c r="A3089" s="178"/>
      <c r="B3089" s="179"/>
    </row>
    <row r="3090" spans="1:2" x14ac:dyDescent="0.15">
      <c r="A3090" s="178"/>
      <c r="B3090" s="179"/>
    </row>
    <row r="3091" spans="1:2" x14ac:dyDescent="0.15">
      <c r="A3091" s="178"/>
      <c r="B3091" s="179"/>
    </row>
    <row r="3092" spans="1:2" x14ac:dyDescent="0.15">
      <c r="A3092" s="178"/>
      <c r="B3092" s="179"/>
    </row>
    <row r="3093" spans="1:2" x14ac:dyDescent="0.15">
      <c r="A3093" s="178"/>
      <c r="B3093" s="179"/>
    </row>
    <row r="3094" spans="1:2" x14ac:dyDescent="0.15">
      <c r="A3094" s="178"/>
      <c r="B3094" s="179"/>
    </row>
    <row r="3095" spans="1:2" x14ac:dyDescent="0.15">
      <c r="A3095" s="178"/>
      <c r="B3095" s="179"/>
    </row>
    <row r="3096" spans="1:2" x14ac:dyDescent="0.15">
      <c r="A3096" s="178"/>
      <c r="B3096" s="179"/>
    </row>
    <row r="3097" spans="1:2" x14ac:dyDescent="0.15">
      <c r="A3097" s="178"/>
      <c r="B3097" s="179"/>
    </row>
    <row r="3098" spans="1:2" x14ac:dyDescent="0.15">
      <c r="A3098" s="178"/>
      <c r="B3098" s="179"/>
    </row>
    <row r="3099" spans="1:2" x14ac:dyDescent="0.15">
      <c r="A3099" s="178"/>
      <c r="B3099" s="179"/>
    </row>
    <row r="3100" spans="1:2" x14ac:dyDescent="0.15">
      <c r="A3100" s="178"/>
      <c r="B3100" s="179"/>
    </row>
    <row r="3101" spans="1:2" x14ac:dyDescent="0.15">
      <c r="A3101" s="178"/>
      <c r="B3101" s="179"/>
    </row>
    <row r="3102" spans="1:2" x14ac:dyDescent="0.15">
      <c r="A3102" s="178"/>
      <c r="B3102" s="179"/>
    </row>
    <row r="3103" spans="1:2" x14ac:dyDescent="0.15">
      <c r="A3103" s="178"/>
      <c r="B3103" s="179"/>
    </row>
    <row r="3104" spans="1:2" x14ac:dyDescent="0.15">
      <c r="A3104" s="178"/>
      <c r="B3104" s="179"/>
    </row>
  </sheetData>
  <sheetProtection password="DD72" sheet="1" objects="1" scenarios="1"/>
  <phoneticPr fontId="30" type="noConversion"/>
  <pageMargins left="0.24" right="0.75" top="0.37" bottom="0.5" header="0.17" footer="0.17"/>
  <pageSetup paperSize="9" orientation="portrait"/>
  <headerFooter alignWithMargins="0">
    <oddFooter>&amp;L&amp;Z&amp;F&amp;A&amp;C&amp;P/&amp;N&amp;R&amp;D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216D-20CE-414C-BEE8-3DCFB2BBF1D8}">
  <sheetPr codeName="Sheet21">
    <tabColor indexed="31"/>
  </sheetPr>
  <dimension ref="A1:N78"/>
  <sheetViews>
    <sheetView workbookViewId="0">
      <selection activeCell="G61" sqref="G61"/>
    </sheetView>
  </sheetViews>
  <sheetFormatPr baseColWidth="10" defaultColWidth="9.1640625" defaultRowHeight="13" x14ac:dyDescent="0.15"/>
  <cols>
    <col min="1" max="1" width="13.1640625" style="273" customWidth="1"/>
    <col min="2" max="10" width="9.1640625" style="273"/>
    <col min="11" max="11" width="9.5" style="273" customWidth="1"/>
    <col min="12" max="13" width="10.5" style="273" bestFit="1" customWidth="1"/>
    <col min="14" max="16384" width="9.1640625" style="273"/>
  </cols>
  <sheetData>
    <row r="1" spans="1:14" x14ac:dyDescent="0.15">
      <c r="A1" s="844" t="s">
        <v>108</v>
      </c>
      <c r="B1" s="846" t="s">
        <v>609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3"/>
    </row>
    <row r="2" spans="1:14" x14ac:dyDescent="0.15">
      <c r="A2" s="845"/>
      <c r="B2" s="274" t="s">
        <v>496</v>
      </c>
      <c r="C2" s="274" t="s">
        <v>497</v>
      </c>
      <c r="D2" s="274" t="s">
        <v>498</v>
      </c>
      <c r="E2" s="274" t="s">
        <v>499</v>
      </c>
      <c r="F2" s="274" t="s">
        <v>500</v>
      </c>
      <c r="G2" s="274" t="s">
        <v>501</v>
      </c>
      <c r="H2" s="274" t="s">
        <v>502</v>
      </c>
      <c r="I2" s="274" t="s">
        <v>503</v>
      </c>
      <c r="J2" s="274" t="s">
        <v>504</v>
      </c>
      <c r="K2" s="274" t="s">
        <v>505</v>
      </c>
      <c r="L2" s="274" t="s">
        <v>506</v>
      </c>
      <c r="M2" s="274" t="s">
        <v>507</v>
      </c>
      <c r="N2" s="274" t="s">
        <v>415</v>
      </c>
    </row>
    <row r="3" spans="1:14" x14ac:dyDescent="0.15">
      <c r="A3" s="278" t="s">
        <v>33</v>
      </c>
      <c r="B3" s="307">
        <v>0.8</v>
      </c>
      <c r="C3" s="307">
        <v>11.5</v>
      </c>
      <c r="D3" s="307">
        <v>12.5</v>
      </c>
      <c r="E3" s="307">
        <v>29.1</v>
      </c>
      <c r="F3" s="307">
        <v>88.918918918918905</v>
      </c>
      <c r="G3" s="307">
        <v>75.625540540540527</v>
      </c>
      <c r="H3" s="307">
        <v>65.8</v>
      </c>
      <c r="I3" s="307">
        <v>98.1</v>
      </c>
      <c r="J3" s="307">
        <v>106.9</v>
      </c>
      <c r="K3" s="307">
        <v>61.4</v>
      </c>
      <c r="L3" s="308">
        <v>45.925414364640879</v>
      </c>
      <c r="M3" s="307">
        <v>2</v>
      </c>
      <c r="N3" s="307">
        <f t="shared" ref="N3:N34" si="0">SUM(B3:M3)</f>
        <v>598.56987382410034</v>
      </c>
    </row>
    <row r="4" spans="1:14" x14ac:dyDescent="0.15">
      <c r="A4" s="280" t="s">
        <v>15</v>
      </c>
      <c r="B4" s="309">
        <v>12.2</v>
      </c>
      <c r="C4" s="309">
        <v>7.8</v>
      </c>
      <c r="D4" s="309">
        <v>15.5</v>
      </c>
      <c r="E4" s="309">
        <v>56.8</v>
      </c>
      <c r="F4" s="309">
        <v>90.208243243243231</v>
      </c>
      <c r="G4" s="309">
        <v>92.653513513513502</v>
      </c>
      <c r="H4" s="309">
        <v>56.7</v>
      </c>
      <c r="I4" s="309">
        <v>102.8</v>
      </c>
      <c r="J4" s="309">
        <v>92.1</v>
      </c>
      <c r="K4" s="309">
        <v>52.8</v>
      </c>
      <c r="L4" s="310">
        <v>41.781767955801101</v>
      </c>
      <c r="M4" s="309">
        <v>24.6</v>
      </c>
      <c r="N4" s="309">
        <f t="shared" si="0"/>
        <v>645.94352471255786</v>
      </c>
    </row>
    <row r="5" spans="1:14" x14ac:dyDescent="0.15">
      <c r="A5" s="280" t="s">
        <v>17</v>
      </c>
      <c r="B5" s="309">
        <v>6.9</v>
      </c>
      <c r="C5" s="309">
        <v>4.5999999999999996</v>
      </c>
      <c r="D5" s="309">
        <v>13</v>
      </c>
      <c r="E5" s="309">
        <v>34.200000000000003</v>
      </c>
      <c r="F5" s="309">
        <v>70.423783783783776</v>
      </c>
      <c r="G5" s="309">
        <v>58.508648648648638</v>
      </c>
      <c r="H5" s="309">
        <v>75</v>
      </c>
      <c r="I5" s="309">
        <v>136</v>
      </c>
      <c r="J5" s="309">
        <v>121.8</v>
      </c>
      <c r="K5" s="309">
        <v>69.900000000000006</v>
      </c>
      <c r="L5" s="310">
        <v>36.46408839779005</v>
      </c>
      <c r="M5" s="309">
        <v>19.8</v>
      </c>
      <c r="N5" s="309">
        <f t="shared" si="0"/>
        <v>646.5965208302224</v>
      </c>
    </row>
    <row r="6" spans="1:14" x14ac:dyDescent="0.15">
      <c r="A6" s="280" t="s">
        <v>25</v>
      </c>
      <c r="B6" s="309">
        <v>5.9</v>
      </c>
      <c r="C6" s="309">
        <v>4.7</v>
      </c>
      <c r="D6" s="309">
        <v>17.7</v>
      </c>
      <c r="E6" s="309">
        <v>24</v>
      </c>
      <c r="F6" s="309">
        <v>77.226081081081063</v>
      </c>
      <c r="G6" s="309">
        <v>50.59486486486486</v>
      </c>
      <c r="H6" s="309">
        <v>58.1</v>
      </c>
      <c r="I6" s="309">
        <v>80.599999999999994</v>
      </c>
      <c r="J6" s="309">
        <v>130.69999999999999</v>
      </c>
      <c r="K6" s="309">
        <v>75</v>
      </c>
      <c r="L6" s="310">
        <v>41.712707182320436</v>
      </c>
      <c r="M6" s="309">
        <v>5.8</v>
      </c>
      <c r="N6" s="309">
        <f t="shared" si="0"/>
        <v>572.03365312826622</v>
      </c>
    </row>
    <row r="7" spans="1:14" x14ac:dyDescent="0.15">
      <c r="A7" s="280" t="s">
        <v>21</v>
      </c>
      <c r="B7" s="309">
        <v>8.1</v>
      </c>
      <c r="C7" s="309">
        <v>11</v>
      </c>
      <c r="D7" s="309">
        <v>17.2</v>
      </c>
      <c r="E7" s="309">
        <v>59.4</v>
      </c>
      <c r="F7" s="309">
        <v>77.804054054054049</v>
      </c>
      <c r="G7" s="309">
        <v>69.17891891891891</v>
      </c>
      <c r="H7" s="309">
        <v>58.5</v>
      </c>
      <c r="I7" s="309">
        <v>106.1</v>
      </c>
      <c r="J7" s="309">
        <v>95</v>
      </c>
      <c r="K7" s="309">
        <v>54.6</v>
      </c>
      <c r="L7" s="310">
        <v>13.19060773480663</v>
      </c>
      <c r="M7" s="309">
        <v>5.9</v>
      </c>
      <c r="N7" s="309">
        <f t="shared" si="0"/>
        <v>575.97358070777955</v>
      </c>
    </row>
    <row r="8" spans="1:14" x14ac:dyDescent="0.15">
      <c r="A8" s="280" t="s">
        <v>16</v>
      </c>
      <c r="B8" s="309">
        <v>2.5</v>
      </c>
      <c r="C8" s="309">
        <v>6.2</v>
      </c>
      <c r="D8" s="309">
        <v>11.5</v>
      </c>
      <c r="E8" s="309">
        <v>64.400000000000006</v>
      </c>
      <c r="F8" s="309">
        <v>79.626891891891887</v>
      </c>
      <c r="G8" s="309">
        <v>44.059324324324315</v>
      </c>
      <c r="H8" s="309">
        <v>69.5</v>
      </c>
      <c r="I8" s="309">
        <v>107.3</v>
      </c>
      <c r="J8" s="309">
        <v>112.9</v>
      </c>
      <c r="K8" s="309">
        <v>64.8</v>
      </c>
      <c r="L8" s="310">
        <v>41.022099447513803</v>
      </c>
      <c r="M8" s="309">
        <v>4.3</v>
      </c>
      <c r="N8" s="309">
        <f t="shared" si="0"/>
        <v>608.10831566372997</v>
      </c>
    </row>
    <row r="9" spans="1:14" x14ac:dyDescent="0.15">
      <c r="A9" s="280" t="s">
        <v>127</v>
      </c>
      <c r="B9" s="309">
        <v>6.8</v>
      </c>
      <c r="C9" s="309">
        <v>11.5</v>
      </c>
      <c r="D9" s="309">
        <v>16.2</v>
      </c>
      <c r="E9" s="309">
        <v>36.200000000000003</v>
      </c>
      <c r="F9" s="309">
        <v>67.133783783783784</v>
      </c>
      <c r="G9" s="309">
        <v>66.200135135135127</v>
      </c>
      <c r="H9" s="309">
        <v>71.3</v>
      </c>
      <c r="I9" s="309">
        <v>129.4</v>
      </c>
      <c r="J9" s="309">
        <v>115.8</v>
      </c>
      <c r="K9" s="309">
        <v>66.5</v>
      </c>
      <c r="L9" s="310">
        <v>16.574585635359114</v>
      </c>
      <c r="M9" s="309">
        <v>2.7</v>
      </c>
      <c r="N9" s="309">
        <f t="shared" si="0"/>
        <v>606.30850455427799</v>
      </c>
    </row>
    <row r="10" spans="1:14" x14ac:dyDescent="0.15">
      <c r="A10" s="280" t="s">
        <v>29</v>
      </c>
      <c r="B10" s="309">
        <v>6.6</v>
      </c>
      <c r="C10" s="309">
        <v>11.9</v>
      </c>
      <c r="D10" s="309">
        <v>22.6</v>
      </c>
      <c r="E10" s="309">
        <v>34.299999999999997</v>
      </c>
      <c r="F10" s="309">
        <v>83.806081081081075</v>
      </c>
      <c r="G10" s="309">
        <v>81.494189189189186</v>
      </c>
      <c r="H10" s="309">
        <v>75</v>
      </c>
      <c r="I10" s="309">
        <v>136</v>
      </c>
      <c r="J10" s="309">
        <v>121.8</v>
      </c>
      <c r="K10" s="309">
        <v>69.900000000000006</v>
      </c>
      <c r="L10" s="310">
        <v>21.201657458563531</v>
      </c>
      <c r="M10" s="309">
        <v>5.5</v>
      </c>
      <c r="N10" s="309">
        <f t="shared" si="0"/>
        <v>670.10192772883374</v>
      </c>
    </row>
    <row r="11" spans="1:14" x14ac:dyDescent="0.15">
      <c r="A11" s="280" t="s">
        <v>30</v>
      </c>
      <c r="B11" s="309">
        <v>7</v>
      </c>
      <c r="C11" s="309">
        <v>12.9</v>
      </c>
      <c r="D11" s="309">
        <v>25</v>
      </c>
      <c r="E11" s="309">
        <v>47.3</v>
      </c>
      <c r="F11" s="309">
        <v>69.979189189189185</v>
      </c>
      <c r="G11" s="309">
        <v>68.067432432432426</v>
      </c>
      <c r="H11" s="309">
        <v>73.2</v>
      </c>
      <c r="I11" s="309">
        <v>122.5</v>
      </c>
      <c r="J11" s="309">
        <v>118.8</v>
      </c>
      <c r="K11" s="309">
        <v>68.2</v>
      </c>
      <c r="L11" s="310">
        <v>9.1160220994475125</v>
      </c>
      <c r="M11" s="309">
        <v>3.8</v>
      </c>
      <c r="N11" s="309">
        <f t="shared" si="0"/>
        <v>625.86264372106905</v>
      </c>
    </row>
    <row r="12" spans="1:14" x14ac:dyDescent="0.15">
      <c r="A12" s="280" t="s">
        <v>20</v>
      </c>
      <c r="B12" s="309">
        <v>7</v>
      </c>
      <c r="C12" s="309">
        <v>5.4</v>
      </c>
      <c r="D12" s="309">
        <v>16.3</v>
      </c>
      <c r="E12" s="309">
        <v>47.2</v>
      </c>
      <c r="F12" s="309">
        <v>79.671351351351333</v>
      </c>
      <c r="G12" s="309">
        <v>54.151621621621615</v>
      </c>
      <c r="H12" s="309">
        <v>84.1</v>
      </c>
      <c r="I12" s="309">
        <v>152.6</v>
      </c>
      <c r="J12" s="309">
        <v>122.4</v>
      </c>
      <c r="K12" s="309">
        <v>59.4</v>
      </c>
      <c r="L12" s="310">
        <v>14.571823204419889</v>
      </c>
      <c r="M12" s="309">
        <v>3.2</v>
      </c>
      <c r="N12" s="309">
        <f t="shared" si="0"/>
        <v>645.9947961773928</v>
      </c>
    </row>
    <row r="13" spans="1:14" x14ac:dyDescent="0.15">
      <c r="A13" s="280" t="s">
        <v>13</v>
      </c>
      <c r="B13" s="309">
        <v>8.4</v>
      </c>
      <c r="C13" s="309">
        <v>2</v>
      </c>
      <c r="D13" s="309">
        <v>5.3</v>
      </c>
      <c r="E13" s="309">
        <v>34.200000000000003</v>
      </c>
      <c r="F13" s="309">
        <v>80.071486486486478</v>
      </c>
      <c r="G13" s="309">
        <v>82.25</v>
      </c>
      <c r="H13" s="309">
        <v>71.3</v>
      </c>
      <c r="I13" s="309">
        <v>129.4</v>
      </c>
      <c r="J13" s="309">
        <v>115.8</v>
      </c>
      <c r="K13" s="309">
        <v>66.5</v>
      </c>
      <c r="L13" s="310">
        <v>25.621546961325965</v>
      </c>
      <c r="M13" s="309">
        <v>15.2</v>
      </c>
      <c r="N13" s="309">
        <f t="shared" si="0"/>
        <v>636.04303344781249</v>
      </c>
    </row>
    <row r="14" spans="1:14" x14ac:dyDescent="0.15">
      <c r="A14" s="280" t="s">
        <v>18</v>
      </c>
      <c r="B14" s="309">
        <v>6.2</v>
      </c>
      <c r="C14" s="309">
        <v>6.5</v>
      </c>
      <c r="D14" s="309">
        <v>12.1</v>
      </c>
      <c r="E14" s="309">
        <v>40.299999999999997</v>
      </c>
      <c r="F14" s="309">
        <v>70.557162162162143</v>
      </c>
      <c r="G14" s="309">
        <v>52.55108108108108</v>
      </c>
      <c r="H14" s="309">
        <v>67.7</v>
      </c>
      <c r="I14" s="309">
        <v>122.7</v>
      </c>
      <c r="J14" s="309">
        <v>109.9</v>
      </c>
      <c r="K14" s="309">
        <v>63.1</v>
      </c>
      <c r="L14" s="310">
        <v>24.102209944751376</v>
      </c>
      <c r="M14" s="309">
        <v>5.3</v>
      </c>
      <c r="N14" s="309">
        <f t="shared" si="0"/>
        <v>581.01045318799459</v>
      </c>
    </row>
    <row r="15" spans="1:14" x14ac:dyDescent="0.15">
      <c r="A15" s="280" t="s">
        <v>19</v>
      </c>
      <c r="B15" s="309">
        <v>2.5</v>
      </c>
      <c r="C15" s="309">
        <v>2</v>
      </c>
      <c r="D15" s="309">
        <v>5.2</v>
      </c>
      <c r="E15" s="309">
        <v>28.1</v>
      </c>
      <c r="F15" s="309">
        <v>72.157702702702707</v>
      </c>
      <c r="G15" s="309">
        <v>60.375945945945944</v>
      </c>
      <c r="H15" s="309">
        <v>68.7</v>
      </c>
      <c r="I15" s="309">
        <v>97.3</v>
      </c>
      <c r="J15" s="309">
        <v>121</v>
      </c>
      <c r="K15" s="309">
        <v>71.599999999999994</v>
      </c>
      <c r="L15" s="310">
        <v>44.475138121546962</v>
      </c>
      <c r="M15" s="309">
        <v>3.9</v>
      </c>
      <c r="N15" s="309">
        <f t="shared" si="0"/>
        <v>577.30878677019552</v>
      </c>
    </row>
    <row r="16" spans="1:14" x14ac:dyDescent="0.15">
      <c r="A16" s="280" t="s">
        <v>24</v>
      </c>
      <c r="B16" s="309">
        <v>6.2</v>
      </c>
      <c r="C16" s="309">
        <v>8.6</v>
      </c>
      <c r="D16" s="309">
        <v>16.399999999999999</v>
      </c>
      <c r="E16" s="309">
        <v>34.4</v>
      </c>
      <c r="F16" s="309">
        <v>72.024324324324311</v>
      </c>
      <c r="G16" s="309">
        <v>61.843108108108098</v>
      </c>
      <c r="H16" s="309">
        <v>76.8</v>
      </c>
      <c r="I16" s="309">
        <v>118.9</v>
      </c>
      <c r="J16" s="309">
        <v>124.7</v>
      </c>
      <c r="K16" s="309">
        <v>71.599999999999994</v>
      </c>
      <c r="L16" s="310">
        <v>17.265193370165743</v>
      </c>
      <c r="M16" s="309">
        <v>4.9000000000000004</v>
      </c>
      <c r="N16" s="309">
        <f t="shared" si="0"/>
        <v>613.63262580259823</v>
      </c>
    </row>
    <row r="17" spans="1:14" x14ac:dyDescent="0.15">
      <c r="A17" s="280" t="s">
        <v>23</v>
      </c>
      <c r="B17" s="309">
        <v>11</v>
      </c>
      <c r="C17" s="309">
        <v>12.6</v>
      </c>
      <c r="D17" s="309">
        <v>22.9</v>
      </c>
      <c r="E17" s="309">
        <v>65.3</v>
      </c>
      <c r="F17" s="309">
        <v>91.008513513513506</v>
      </c>
      <c r="G17" s="309">
        <v>89.71918918918918</v>
      </c>
      <c r="H17" s="309">
        <v>73.2</v>
      </c>
      <c r="I17" s="309">
        <v>132.69999999999999</v>
      </c>
      <c r="J17" s="309">
        <v>118.8</v>
      </c>
      <c r="K17" s="309">
        <v>49.4</v>
      </c>
      <c r="L17" s="310">
        <v>15.676795580110495</v>
      </c>
      <c r="M17" s="309">
        <v>5.9</v>
      </c>
      <c r="N17" s="309">
        <f t="shared" si="0"/>
        <v>688.20449828281312</v>
      </c>
    </row>
    <row r="18" spans="1:14" x14ac:dyDescent="0.15">
      <c r="A18" s="280" t="s">
        <v>109</v>
      </c>
      <c r="B18" s="309">
        <v>5.9</v>
      </c>
      <c r="C18" s="309">
        <v>12.7</v>
      </c>
      <c r="D18" s="309">
        <v>14.1</v>
      </c>
      <c r="E18" s="309">
        <v>35.1</v>
      </c>
      <c r="F18" s="309">
        <v>95.721216216216206</v>
      </c>
      <c r="G18" s="309">
        <v>66.37797297297297</v>
      </c>
      <c r="H18" s="309">
        <v>82.3</v>
      </c>
      <c r="I18" s="309">
        <v>116</v>
      </c>
      <c r="J18" s="309">
        <v>133.6</v>
      </c>
      <c r="K18" s="309">
        <v>76.7</v>
      </c>
      <c r="L18" s="310">
        <v>33.218232044198892</v>
      </c>
      <c r="M18" s="309">
        <v>9.6999999999999993</v>
      </c>
      <c r="N18" s="309">
        <f t="shared" si="0"/>
        <v>681.41742123338815</v>
      </c>
    </row>
    <row r="19" spans="1:14" x14ac:dyDescent="0.15">
      <c r="A19" s="280" t="s">
        <v>112</v>
      </c>
      <c r="B19" s="309">
        <v>5.7</v>
      </c>
      <c r="C19" s="309">
        <v>10.8</v>
      </c>
      <c r="D19" s="309">
        <v>19</v>
      </c>
      <c r="E19" s="309">
        <v>34.299999999999997</v>
      </c>
      <c r="F19" s="309">
        <v>52.195405405405403</v>
      </c>
      <c r="G19" s="309">
        <v>40.146891891891883</v>
      </c>
      <c r="H19" s="309">
        <v>73.599999999999994</v>
      </c>
      <c r="I19" s="309">
        <v>97.5</v>
      </c>
      <c r="J19" s="309">
        <v>127.7</v>
      </c>
      <c r="K19" s="309">
        <v>73.3</v>
      </c>
      <c r="L19" s="310">
        <v>21.616022099447513</v>
      </c>
      <c r="M19" s="309">
        <v>5</v>
      </c>
      <c r="N19" s="309">
        <f t="shared" si="0"/>
        <v>560.85831939674472</v>
      </c>
    </row>
    <row r="20" spans="1:14" x14ac:dyDescent="0.15">
      <c r="A20" s="280" t="s">
        <v>50</v>
      </c>
      <c r="B20" s="309">
        <v>9.8000000000000007</v>
      </c>
      <c r="C20" s="309">
        <v>12.7</v>
      </c>
      <c r="D20" s="309">
        <v>25.7</v>
      </c>
      <c r="E20" s="309">
        <v>42.2</v>
      </c>
      <c r="F20" s="309">
        <v>61.665270270270256</v>
      </c>
      <c r="G20" s="309">
        <v>52.062027027027021</v>
      </c>
      <c r="H20" s="309">
        <v>85.5</v>
      </c>
      <c r="I20" s="309">
        <v>130</v>
      </c>
      <c r="J20" s="309">
        <v>148.5</v>
      </c>
      <c r="K20" s="309">
        <v>85.2</v>
      </c>
      <c r="L20" s="310">
        <v>24.378453038674028</v>
      </c>
      <c r="M20" s="309">
        <v>7.3</v>
      </c>
      <c r="N20" s="309">
        <f t="shared" si="0"/>
        <v>685.00575033597136</v>
      </c>
    </row>
    <row r="21" spans="1:14" x14ac:dyDescent="0.15">
      <c r="A21" s="280" t="s">
        <v>113</v>
      </c>
      <c r="B21" s="309">
        <v>5.9</v>
      </c>
      <c r="C21" s="309">
        <v>12.7</v>
      </c>
      <c r="D21" s="309">
        <v>14.1</v>
      </c>
      <c r="E21" s="309">
        <v>35.1</v>
      </c>
      <c r="F21" s="309">
        <v>62.243243243243235</v>
      </c>
      <c r="G21" s="309">
        <v>58.419729729729724</v>
      </c>
      <c r="H21" s="309">
        <v>82.3</v>
      </c>
      <c r="I21" s="309">
        <v>116</v>
      </c>
      <c r="J21" s="309">
        <v>133.6</v>
      </c>
      <c r="K21" s="309">
        <v>76.7</v>
      </c>
      <c r="L21" s="310">
        <v>31.422651933701651</v>
      </c>
      <c r="M21" s="309">
        <v>8.1999999999999993</v>
      </c>
      <c r="N21" s="309">
        <f t="shared" si="0"/>
        <v>636.68562490667478</v>
      </c>
    </row>
    <row r="22" spans="1:14" x14ac:dyDescent="0.15">
      <c r="A22" s="280" t="s">
        <v>114</v>
      </c>
      <c r="B22" s="309">
        <v>5.5</v>
      </c>
      <c r="C22" s="309">
        <v>13.6</v>
      </c>
      <c r="D22" s="309">
        <v>16.600000000000001</v>
      </c>
      <c r="E22" s="309">
        <v>42.2</v>
      </c>
      <c r="F22" s="309">
        <v>65.666621621621616</v>
      </c>
      <c r="G22" s="309">
        <v>69.623513513513501</v>
      </c>
      <c r="H22" s="309">
        <v>82.3</v>
      </c>
      <c r="I22" s="309">
        <v>132</v>
      </c>
      <c r="J22" s="309">
        <v>133.6</v>
      </c>
      <c r="K22" s="309">
        <v>76.7</v>
      </c>
      <c r="L22" s="310">
        <v>28.660220994475132</v>
      </c>
      <c r="M22" s="309">
        <v>8</v>
      </c>
      <c r="N22" s="309">
        <f t="shared" si="0"/>
        <v>674.45035612961033</v>
      </c>
    </row>
    <row r="23" spans="1:14" x14ac:dyDescent="0.15">
      <c r="A23" s="281" t="s">
        <v>52</v>
      </c>
      <c r="B23" s="309">
        <v>8.6999999999999993</v>
      </c>
      <c r="C23" s="309">
        <v>12.8</v>
      </c>
      <c r="D23" s="309">
        <v>19.100000000000001</v>
      </c>
      <c r="E23" s="309">
        <v>47.9</v>
      </c>
      <c r="F23" s="309">
        <v>72.602297297297298</v>
      </c>
      <c r="G23" s="309">
        <v>60.509324324324318</v>
      </c>
      <c r="H23" s="309">
        <v>87.8</v>
      </c>
      <c r="I23" s="309">
        <v>117.8</v>
      </c>
      <c r="J23" s="309">
        <v>142.6</v>
      </c>
      <c r="K23" s="309">
        <v>81.8</v>
      </c>
      <c r="L23" s="310">
        <v>25.897790055248613</v>
      </c>
      <c r="M23" s="309">
        <v>8.1</v>
      </c>
      <c r="N23" s="309">
        <f t="shared" si="0"/>
        <v>685.6094116768702</v>
      </c>
    </row>
    <row r="24" spans="1:14" x14ac:dyDescent="0.15">
      <c r="A24" s="280" t="s">
        <v>122</v>
      </c>
      <c r="B24" s="309">
        <v>5.5</v>
      </c>
      <c r="C24" s="309">
        <v>13.6</v>
      </c>
      <c r="D24" s="309">
        <v>16.600000000000001</v>
      </c>
      <c r="E24" s="309">
        <v>42.2</v>
      </c>
      <c r="F24" s="309">
        <v>73.758243243243243</v>
      </c>
      <c r="G24" s="309">
        <v>58.73094594594594</v>
      </c>
      <c r="H24" s="309">
        <v>82.3</v>
      </c>
      <c r="I24" s="309">
        <v>132</v>
      </c>
      <c r="J24" s="309">
        <v>133.6</v>
      </c>
      <c r="K24" s="309">
        <v>76.7</v>
      </c>
      <c r="L24" s="310">
        <v>30.455801104972373</v>
      </c>
      <c r="M24" s="309">
        <v>7.9</v>
      </c>
      <c r="N24" s="309">
        <f t="shared" si="0"/>
        <v>673.34499029416156</v>
      </c>
    </row>
    <row r="25" spans="1:14" x14ac:dyDescent="0.15">
      <c r="A25" s="280" t="s">
        <v>125</v>
      </c>
      <c r="B25" s="309">
        <v>5.5</v>
      </c>
      <c r="C25" s="309">
        <v>13.6</v>
      </c>
      <c r="D25" s="309">
        <v>16.600000000000001</v>
      </c>
      <c r="E25" s="309">
        <v>42.2</v>
      </c>
      <c r="F25" s="309">
        <v>53.306891891891887</v>
      </c>
      <c r="G25" s="309">
        <v>49.083243243243238</v>
      </c>
      <c r="H25" s="309">
        <v>82.3</v>
      </c>
      <c r="I25" s="309">
        <v>132</v>
      </c>
      <c r="J25" s="309">
        <v>133.6</v>
      </c>
      <c r="K25" s="309">
        <v>76.7</v>
      </c>
      <c r="L25" s="310">
        <v>64.157458563535911</v>
      </c>
      <c r="M25" s="309">
        <v>6.1</v>
      </c>
      <c r="N25" s="309">
        <f t="shared" si="0"/>
        <v>675.14759369867113</v>
      </c>
    </row>
    <row r="26" spans="1:14" x14ac:dyDescent="0.15">
      <c r="A26" s="280" t="s">
        <v>126</v>
      </c>
      <c r="B26" s="309">
        <v>5.5</v>
      </c>
      <c r="C26" s="309">
        <v>13.6</v>
      </c>
      <c r="D26" s="309">
        <v>16.600000000000001</v>
      </c>
      <c r="E26" s="309">
        <v>42.2</v>
      </c>
      <c r="F26" s="309">
        <v>63.132432432432424</v>
      </c>
      <c r="G26" s="309">
        <v>54.062702702702694</v>
      </c>
      <c r="H26" s="309">
        <v>82.3</v>
      </c>
      <c r="I26" s="309">
        <v>132</v>
      </c>
      <c r="J26" s="309">
        <v>133.6</v>
      </c>
      <c r="K26" s="309">
        <v>76.7</v>
      </c>
      <c r="L26" s="310">
        <v>51.1049723756906</v>
      </c>
      <c r="M26" s="309">
        <v>10.4</v>
      </c>
      <c r="N26" s="309">
        <f t="shared" si="0"/>
        <v>681.20010751082577</v>
      </c>
    </row>
    <row r="27" spans="1:14" x14ac:dyDescent="0.15">
      <c r="A27" s="280" t="s">
        <v>116</v>
      </c>
      <c r="B27" s="309">
        <v>4.5999999999999996</v>
      </c>
      <c r="C27" s="309">
        <v>16.3</v>
      </c>
      <c r="D27" s="309">
        <v>19.5</v>
      </c>
      <c r="E27" s="309">
        <v>41.9</v>
      </c>
      <c r="F27" s="309">
        <v>68.245270270270268</v>
      </c>
      <c r="G27" s="309">
        <v>80.427162162162162</v>
      </c>
      <c r="H27" s="309">
        <v>76.8</v>
      </c>
      <c r="I27" s="309">
        <v>139.30000000000001</v>
      </c>
      <c r="J27" s="309">
        <v>124.7</v>
      </c>
      <c r="K27" s="309">
        <v>71.599999999999994</v>
      </c>
      <c r="L27" s="310">
        <v>28.107734806629832</v>
      </c>
      <c r="M27" s="309">
        <v>7.9</v>
      </c>
      <c r="N27" s="309">
        <f t="shared" si="0"/>
        <v>679.3801672390623</v>
      </c>
    </row>
    <row r="28" spans="1:14" x14ac:dyDescent="0.15">
      <c r="A28" s="280" t="s">
        <v>117</v>
      </c>
      <c r="B28" s="309">
        <v>7</v>
      </c>
      <c r="C28" s="309">
        <v>12.5</v>
      </c>
      <c r="D28" s="309">
        <v>18.600000000000001</v>
      </c>
      <c r="E28" s="309">
        <v>29.5</v>
      </c>
      <c r="F28" s="309">
        <v>52.55108108108108</v>
      </c>
      <c r="G28" s="309">
        <v>46.993648648648644</v>
      </c>
      <c r="H28" s="309">
        <v>74.599999999999994</v>
      </c>
      <c r="I28" s="309">
        <v>105</v>
      </c>
      <c r="J28" s="309">
        <v>133.6</v>
      </c>
      <c r="K28" s="309">
        <v>76.7</v>
      </c>
      <c r="L28" s="310">
        <v>18.439226519337012</v>
      </c>
      <c r="M28" s="309">
        <v>4</v>
      </c>
      <c r="N28" s="309">
        <f t="shared" si="0"/>
        <v>579.48395624906675</v>
      </c>
    </row>
    <row r="29" spans="1:14" x14ac:dyDescent="0.15">
      <c r="A29" s="280" t="s">
        <v>115</v>
      </c>
      <c r="B29" s="309">
        <v>5.6</v>
      </c>
      <c r="C29" s="309">
        <v>12</v>
      </c>
      <c r="D29" s="309">
        <v>16.399999999999999</v>
      </c>
      <c r="E29" s="309">
        <v>36.6</v>
      </c>
      <c r="F29" s="309">
        <v>65.977837837837839</v>
      </c>
      <c r="G29" s="309">
        <v>65.222027027027011</v>
      </c>
      <c r="H29" s="309">
        <v>80.5</v>
      </c>
      <c r="I29" s="309">
        <v>108.9</v>
      </c>
      <c r="J29" s="309">
        <v>130.69999999999999</v>
      </c>
      <c r="K29" s="309">
        <v>75</v>
      </c>
      <c r="L29" s="310">
        <v>25.759668508287287</v>
      </c>
      <c r="M29" s="309">
        <v>7.1</v>
      </c>
      <c r="N29" s="309">
        <f t="shared" si="0"/>
        <v>629.75953337315218</v>
      </c>
    </row>
    <row r="30" spans="1:14" x14ac:dyDescent="0.15">
      <c r="A30" s="280" t="s">
        <v>118</v>
      </c>
      <c r="B30" s="309">
        <v>5.2</v>
      </c>
      <c r="C30" s="309">
        <v>12.1</v>
      </c>
      <c r="D30" s="309">
        <v>16.7</v>
      </c>
      <c r="E30" s="309">
        <v>41.3</v>
      </c>
      <c r="F30" s="309">
        <v>58.508648648648638</v>
      </c>
      <c r="G30" s="309">
        <v>54.685135135135127</v>
      </c>
      <c r="H30" s="309">
        <v>77.900000000000006</v>
      </c>
      <c r="I30" s="309">
        <v>101.2</v>
      </c>
      <c r="J30" s="309">
        <v>136.6</v>
      </c>
      <c r="K30" s="309">
        <v>78.400000000000006</v>
      </c>
      <c r="L30" s="310">
        <v>24.240331491712706</v>
      </c>
      <c r="M30" s="309">
        <v>5.2</v>
      </c>
      <c r="N30" s="309">
        <f t="shared" si="0"/>
        <v>612.03411527549645</v>
      </c>
    </row>
    <row r="31" spans="1:14" x14ac:dyDescent="0.15">
      <c r="A31" s="280" t="s">
        <v>128</v>
      </c>
      <c r="B31" s="309">
        <v>8.6999999999999993</v>
      </c>
      <c r="C31" s="309">
        <v>12.5</v>
      </c>
      <c r="D31" s="309">
        <v>25</v>
      </c>
      <c r="E31" s="309">
        <v>42.8</v>
      </c>
      <c r="F31" s="309">
        <v>69.13445945945945</v>
      </c>
      <c r="G31" s="309">
        <v>56.507972972972965</v>
      </c>
      <c r="H31" s="309">
        <v>67.7</v>
      </c>
      <c r="I31" s="309">
        <v>102.5</v>
      </c>
      <c r="J31" s="309">
        <v>109.9</v>
      </c>
      <c r="K31" s="309">
        <v>63.1</v>
      </c>
      <c r="L31" s="310">
        <v>31.906077348066297</v>
      </c>
      <c r="M31" s="309">
        <v>4.2</v>
      </c>
      <c r="N31" s="309">
        <f t="shared" si="0"/>
        <v>593.94850978049885</v>
      </c>
    </row>
    <row r="32" spans="1:14" x14ac:dyDescent="0.15">
      <c r="A32" s="280" t="s">
        <v>55</v>
      </c>
      <c r="B32" s="309">
        <v>5.0999999999999996</v>
      </c>
      <c r="C32" s="309">
        <v>12</v>
      </c>
      <c r="D32" s="309">
        <v>20</v>
      </c>
      <c r="E32" s="309">
        <v>48.8</v>
      </c>
      <c r="F32" s="309">
        <v>67.978513513513505</v>
      </c>
      <c r="G32" s="309">
        <v>36.545675675675675</v>
      </c>
      <c r="H32" s="309">
        <v>59.6</v>
      </c>
      <c r="I32" s="309">
        <v>75.400000000000006</v>
      </c>
      <c r="J32" s="309">
        <v>142.6</v>
      </c>
      <c r="K32" s="309">
        <v>81.8</v>
      </c>
      <c r="L32" s="310">
        <v>48.480662983425411</v>
      </c>
      <c r="M32" s="309">
        <v>8.6</v>
      </c>
      <c r="N32" s="309">
        <f t="shared" si="0"/>
        <v>606.9048521726146</v>
      </c>
    </row>
    <row r="33" spans="1:14" x14ac:dyDescent="0.15">
      <c r="A33" s="280" t="s">
        <v>123</v>
      </c>
      <c r="B33" s="309">
        <v>3</v>
      </c>
      <c r="C33" s="309">
        <v>8.9</v>
      </c>
      <c r="D33" s="309">
        <v>12</v>
      </c>
      <c r="E33" s="309">
        <v>29.1</v>
      </c>
      <c r="F33" s="309">
        <v>54.774054054054048</v>
      </c>
      <c r="G33" s="309">
        <v>52.99567567567567</v>
      </c>
      <c r="H33" s="309">
        <v>74.099999999999994</v>
      </c>
      <c r="I33" s="309">
        <v>92.7</v>
      </c>
      <c r="J33" s="309">
        <v>127.7</v>
      </c>
      <c r="K33" s="309">
        <v>73.3</v>
      </c>
      <c r="L33" s="310">
        <v>36.049723756906076</v>
      </c>
      <c r="M33" s="309">
        <v>6.3</v>
      </c>
      <c r="N33" s="309">
        <f t="shared" si="0"/>
        <v>570.9194534866358</v>
      </c>
    </row>
    <row r="34" spans="1:14" x14ac:dyDescent="0.15">
      <c r="A34" s="280" t="s">
        <v>124</v>
      </c>
      <c r="B34" s="309">
        <v>4.3</v>
      </c>
      <c r="C34" s="309">
        <v>8.1</v>
      </c>
      <c r="D34" s="309">
        <v>12</v>
      </c>
      <c r="E34" s="309">
        <v>27.7</v>
      </c>
      <c r="F34" s="309">
        <v>63.799324324324317</v>
      </c>
      <c r="G34" s="309">
        <v>48.905405405405403</v>
      </c>
      <c r="H34" s="309">
        <v>71.3</v>
      </c>
      <c r="I34" s="309">
        <v>90.1</v>
      </c>
      <c r="J34" s="309">
        <v>115.8</v>
      </c>
      <c r="K34" s="309">
        <v>66.5</v>
      </c>
      <c r="L34" s="310">
        <v>53.038674033149164</v>
      </c>
      <c r="M34" s="309">
        <v>5.9</v>
      </c>
      <c r="N34" s="309">
        <f t="shared" si="0"/>
        <v>567.4434037628788</v>
      </c>
    </row>
    <row r="35" spans="1:14" x14ac:dyDescent="0.15">
      <c r="A35" s="280" t="s">
        <v>51</v>
      </c>
      <c r="B35" s="309">
        <v>6.7</v>
      </c>
      <c r="C35" s="309">
        <v>8.9</v>
      </c>
      <c r="D35" s="309">
        <v>13.2</v>
      </c>
      <c r="E35" s="309">
        <v>42</v>
      </c>
      <c r="F35" s="309">
        <v>63.754864864864864</v>
      </c>
      <c r="G35" s="309">
        <v>45.081891891891892</v>
      </c>
      <c r="H35" s="309">
        <v>70.2</v>
      </c>
      <c r="I35" s="309">
        <v>95.2</v>
      </c>
      <c r="J35" s="309">
        <v>142.6</v>
      </c>
      <c r="K35" s="309">
        <v>81.8</v>
      </c>
      <c r="L35" s="310">
        <v>27.48618784530386</v>
      </c>
      <c r="M35" s="309">
        <v>11.2</v>
      </c>
      <c r="N35" s="309">
        <f t="shared" ref="N35:N66" si="1">SUM(B35:M35)</f>
        <v>608.12294460206067</v>
      </c>
    </row>
    <row r="36" spans="1:14" x14ac:dyDescent="0.15">
      <c r="A36" s="280" t="s">
        <v>69</v>
      </c>
      <c r="B36" s="309">
        <v>12.3</v>
      </c>
      <c r="C36" s="309">
        <v>31.8</v>
      </c>
      <c r="D36" s="309">
        <v>38.5</v>
      </c>
      <c r="E36" s="309">
        <v>68.5</v>
      </c>
      <c r="F36" s="309">
        <v>130.93310810810809</v>
      </c>
      <c r="G36" s="309">
        <v>145.07121621621621</v>
      </c>
      <c r="H36" s="309">
        <v>65.8</v>
      </c>
      <c r="I36" s="309">
        <v>119.4</v>
      </c>
      <c r="J36" s="309">
        <v>106.9</v>
      </c>
      <c r="K36" s="309">
        <v>61.4</v>
      </c>
      <c r="L36" s="310">
        <v>42.26519337016574</v>
      </c>
      <c r="M36" s="309">
        <v>12.4</v>
      </c>
      <c r="N36" s="309">
        <f t="shared" si="1"/>
        <v>835.26951769448999</v>
      </c>
    </row>
    <row r="37" spans="1:14" x14ac:dyDescent="0.15">
      <c r="A37" s="280" t="s">
        <v>119</v>
      </c>
      <c r="B37" s="309">
        <v>6.8</v>
      </c>
      <c r="C37" s="309">
        <v>12</v>
      </c>
      <c r="D37" s="309">
        <v>18.5</v>
      </c>
      <c r="E37" s="309">
        <v>46.6</v>
      </c>
      <c r="F37" s="309">
        <v>65.177567567567564</v>
      </c>
      <c r="G37" s="309">
        <v>63.799324324324317</v>
      </c>
      <c r="H37" s="309">
        <v>73.2</v>
      </c>
      <c r="I37" s="309">
        <v>122.9</v>
      </c>
      <c r="J37" s="309">
        <v>118.8</v>
      </c>
      <c r="K37" s="309">
        <v>68.2</v>
      </c>
      <c r="L37" s="310">
        <v>26.93370165745856</v>
      </c>
      <c r="M37" s="309">
        <v>7.2</v>
      </c>
      <c r="N37" s="309">
        <f t="shared" si="1"/>
        <v>630.11059354935048</v>
      </c>
    </row>
    <row r="38" spans="1:14" x14ac:dyDescent="0.15">
      <c r="A38" s="280" t="s">
        <v>63</v>
      </c>
      <c r="B38" s="309">
        <v>10.6</v>
      </c>
      <c r="C38" s="309">
        <v>13</v>
      </c>
      <c r="D38" s="309">
        <v>23.5</v>
      </c>
      <c r="E38" s="309">
        <v>48.9</v>
      </c>
      <c r="F38" s="309">
        <v>74.069459459459452</v>
      </c>
      <c r="G38" s="309">
        <v>59.22</v>
      </c>
      <c r="H38" s="309">
        <v>84.1</v>
      </c>
      <c r="I38" s="309">
        <v>113</v>
      </c>
      <c r="J38" s="309">
        <v>136.6</v>
      </c>
      <c r="K38" s="309">
        <v>78.400000000000006</v>
      </c>
      <c r="L38" s="310">
        <v>44.958563535911594</v>
      </c>
      <c r="M38" s="309">
        <v>8.9</v>
      </c>
      <c r="N38" s="309">
        <f t="shared" si="1"/>
        <v>695.248022995371</v>
      </c>
    </row>
    <row r="39" spans="1:14" x14ac:dyDescent="0.15">
      <c r="A39" s="280" t="s">
        <v>120</v>
      </c>
      <c r="B39" s="309">
        <v>16</v>
      </c>
      <c r="C39" s="309">
        <v>34.4</v>
      </c>
      <c r="D39" s="309">
        <v>55.4</v>
      </c>
      <c r="E39" s="309">
        <v>82.5</v>
      </c>
      <c r="F39" s="309">
        <v>125.82027027027026</v>
      </c>
      <c r="G39" s="309">
        <v>150.27297297297295</v>
      </c>
      <c r="H39" s="309">
        <v>73.2</v>
      </c>
      <c r="I39" s="309">
        <v>132.69999999999999</v>
      </c>
      <c r="J39" s="309">
        <v>118.8</v>
      </c>
      <c r="K39" s="309">
        <v>68.2</v>
      </c>
      <c r="L39" s="310">
        <v>50.34530386740331</v>
      </c>
      <c r="M39" s="309">
        <v>13.5</v>
      </c>
      <c r="N39" s="309">
        <f t="shared" si="1"/>
        <v>921.13854711064664</v>
      </c>
    </row>
    <row r="40" spans="1:14" x14ac:dyDescent="0.15">
      <c r="A40" s="280" t="s">
        <v>121</v>
      </c>
      <c r="B40" s="309">
        <v>6.1</v>
      </c>
      <c r="C40" s="309">
        <v>15.4</v>
      </c>
      <c r="D40" s="309">
        <v>17.2</v>
      </c>
      <c r="E40" s="309">
        <v>48.3</v>
      </c>
      <c r="F40" s="309">
        <v>78.737702702702691</v>
      </c>
      <c r="G40" s="309">
        <v>95.054324324324327</v>
      </c>
      <c r="H40" s="309">
        <v>67.7</v>
      </c>
      <c r="I40" s="309">
        <v>122.7</v>
      </c>
      <c r="J40" s="309">
        <v>109.9</v>
      </c>
      <c r="K40" s="309">
        <v>63.1</v>
      </c>
      <c r="L40" s="310">
        <v>27.140883977900547</v>
      </c>
      <c r="M40" s="309">
        <v>7.1</v>
      </c>
      <c r="N40" s="309">
        <f t="shared" si="1"/>
        <v>658.43291100492763</v>
      </c>
    </row>
    <row r="41" spans="1:14" x14ac:dyDescent="0.15">
      <c r="A41" s="280" t="s">
        <v>59</v>
      </c>
      <c r="B41" s="309">
        <v>8.9</v>
      </c>
      <c r="C41" s="309">
        <v>17.2</v>
      </c>
      <c r="D41" s="309">
        <v>39.799999999999997</v>
      </c>
      <c r="E41" s="309">
        <v>74.400000000000006</v>
      </c>
      <c r="F41" s="309">
        <v>98.344324324324305</v>
      </c>
      <c r="G41" s="309">
        <v>114.7054054054054</v>
      </c>
      <c r="H41" s="309">
        <v>78.599999999999994</v>
      </c>
      <c r="I41" s="309">
        <v>142.6</v>
      </c>
      <c r="J41" s="309">
        <v>127.7</v>
      </c>
      <c r="K41" s="309">
        <v>73.3</v>
      </c>
      <c r="L41" s="310">
        <v>24.723756906077341</v>
      </c>
      <c r="M41" s="309">
        <v>8.1</v>
      </c>
      <c r="N41" s="309">
        <f t="shared" si="1"/>
        <v>808.37348663580713</v>
      </c>
    </row>
    <row r="42" spans="1:14" x14ac:dyDescent="0.15">
      <c r="A42" s="280" t="s">
        <v>68</v>
      </c>
      <c r="B42" s="309">
        <v>11.3</v>
      </c>
      <c r="C42" s="309">
        <v>31.3</v>
      </c>
      <c r="D42" s="309">
        <v>47.5</v>
      </c>
      <c r="E42" s="309">
        <v>42.1</v>
      </c>
      <c r="F42" s="309">
        <v>84.384054054054047</v>
      </c>
      <c r="G42" s="309">
        <v>66.37797297297297</v>
      </c>
      <c r="H42" s="309">
        <v>86</v>
      </c>
      <c r="I42" s="309">
        <v>89.1</v>
      </c>
      <c r="J42" s="309">
        <v>139.6</v>
      </c>
      <c r="K42" s="309">
        <v>80.099999999999994</v>
      </c>
      <c r="L42" s="310">
        <v>57.734806629834239</v>
      </c>
      <c r="M42" s="309">
        <v>3.8</v>
      </c>
      <c r="N42" s="309">
        <f t="shared" si="1"/>
        <v>739.29683365686128</v>
      </c>
    </row>
    <row r="43" spans="1:14" x14ac:dyDescent="0.15">
      <c r="A43" s="280" t="s">
        <v>62</v>
      </c>
      <c r="B43" s="309">
        <v>8.9</v>
      </c>
      <c r="C43" s="309">
        <v>17.2</v>
      </c>
      <c r="D43" s="309">
        <v>39.799999999999997</v>
      </c>
      <c r="E43" s="309">
        <v>74.400000000000006</v>
      </c>
      <c r="F43" s="309">
        <v>86.295810810810806</v>
      </c>
      <c r="G43" s="309">
        <v>95.676756756756745</v>
      </c>
      <c r="H43" s="309">
        <v>78.599999999999994</v>
      </c>
      <c r="I43" s="309">
        <v>142.6</v>
      </c>
      <c r="J43" s="309">
        <v>127.7</v>
      </c>
      <c r="K43" s="309">
        <v>73.3</v>
      </c>
      <c r="L43" s="310">
        <v>30.248618784530379</v>
      </c>
      <c r="M43" s="309">
        <v>7.2</v>
      </c>
      <c r="N43" s="309">
        <f t="shared" si="1"/>
        <v>781.92118635209795</v>
      </c>
    </row>
    <row r="44" spans="1:14" x14ac:dyDescent="0.15">
      <c r="A44" s="280" t="s">
        <v>129</v>
      </c>
      <c r="B44" s="309">
        <v>3.8</v>
      </c>
      <c r="C44" s="309">
        <v>12</v>
      </c>
      <c r="D44" s="309">
        <v>18.899999999999999</v>
      </c>
      <c r="E44" s="309">
        <v>41.9</v>
      </c>
      <c r="F44" s="309">
        <v>78.115270270270258</v>
      </c>
      <c r="G44" s="309">
        <v>92.564594594594581</v>
      </c>
      <c r="H44" s="309">
        <v>82.3</v>
      </c>
      <c r="I44" s="309">
        <v>149.30000000000001</v>
      </c>
      <c r="J44" s="309">
        <v>133.6</v>
      </c>
      <c r="K44" s="309">
        <v>42.9</v>
      </c>
      <c r="L44" s="310">
        <v>4.7651933701657452</v>
      </c>
      <c r="M44" s="309">
        <v>2.4</v>
      </c>
      <c r="N44" s="309">
        <f t="shared" si="1"/>
        <v>662.54505823503052</v>
      </c>
    </row>
    <row r="45" spans="1:14" x14ac:dyDescent="0.15">
      <c r="A45" s="280" t="s">
        <v>39</v>
      </c>
      <c r="B45" s="309">
        <v>4.4000000000000004</v>
      </c>
      <c r="C45" s="309">
        <v>12</v>
      </c>
      <c r="D45" s="309">
        <v>26.1</v>
      </c>
      <c r="E45" s="309">
        <v>42.8</v>
      </c>
      <c r="F45" s="309">
        <v>77.181621621621616</v>
      </c>
      <c r="G45" s="309">
        <v>79.804729729729715</v>
      </c>
      <c r="H45" s="309">
        <v>91.4</v>
      </c>
      <c r="I45" s="309">
        <v>137</v>
      </c>
      <c r="J45" s="309">
        <v>148.5</v>
      </c>
      <c r="K45" s="309">
        <v>65.599999999999994</v>
      </c>
      <c r="L45" s="310">
        <v>10.91160220994475</v>
      </c>
      <c r="M45" s="309">
        <v>3.3</v>
      </c>
      <c r="N45" s="309">
        <f t="shared" si="1"/>
        <v>698.99795356129607</v>
      </c>
    </row>
    <row r="46" spans="1:14" x14ac:dyDescent="0.15">
      <c r="A46" s="280" t="s">
        <v>42</v>
      </c>
      <c r="B46" s="309">
        <v>3.3</v>
      </c>
      <c r="C46" s="309">
        <v>17.2</v>
      </c>
      <c r="D46" s="309">
        <v>33.200000000000003</v>
      </c>
      <c r="E46" s="309">
        <v>60.2</v>
      </c>
      <c r="F46" s="309">
        <v>68.42310810810811</v>
      </c>
      <c r="G46" s="309">
        <v>63.265810810810812</v>
      </c>
      <c r="H46" s="309">
        <v>82.7</v>
      </c>
      <c r="I46" s="309">
        <v>95.8</v>
      </c>
      <c r="J46" s="309">
        <v>148.5</v>
      </c>
      <c r="K46" s="309">
        <v>85.2</v>
      </c>
      <c r="L46" s="310">
        <v>13.46685082872928</v>
      </c>
      <c r="M46" s="309">
        <v>4.2</v>
      </c>
      <c r="N46" s="309">
        <f t="shared" si="1"/>
        <v>675.45576974764833</v>
      </c>
    </row>
    <row r="47" spans="1:14" x14ac:dyDescent="0.15">
      <c r="A47" s="280" t="s">
        <v>38</v>
      </c>
      <c r="B47" s="309">
        <v>2.7</v>
      </c>
      <c r="C47" s="309">
        <v>15.6</v>
      </c>
      <c r="D47" s="309">
        <v>32.200000000000003</v>
      </c>
      <c r="E47" s="309">
        <v>68</v>
      </c>
      <c r="F47" s="309">
        <v>102.21229729729728</v>
      </c>
      <c r="G47" s="309">
        <v>143.38175675675674</v>
      </c>
      <c r="H47" s="309">
        <v>67.7</v>
      </c>
      <c r="I47" s="309">
        <v>122.7</v>
      </c>
      <c r="J47" s="309">
        <v>109.9</v>
      </c>
      <c r="K47" s="309">
        <v>45.7</v>
      </c>
      <c r="L47" s="310">
        <v>5.8011049723756898</v>
      </c>
      <c r="M47" s="309">
        <v>1.3</v>
      </c>
      <c r="N47" s="309">
        <f t="shared" si="1"/>
        <v>717.19515902642968</v>
      </c>
    </row>
    <row r="48" spans="1:14" x14ac:dyDescent="0.15">
      <c r="A48" s="280" t="s">
        <v>45</v>
      </c>
      <c r="B48" s="309">
        <v>4.5999999999999996</v>
      </c>
      <c r="C48" s="309">
        <v>16.5</v>
      </c>
      <c r="D48" s="309">
        <v>31.3</v>
      </c>
      <c r="E48" s="309">
        <v>42.3</v>
      </c>
      <c r="F48" s="309">
        <v>67.622837837837835</v>
      </c>
      <c r="G48" s="309">
        <v>46.460135135135133</v>
      </c>
      <c r="H48" s="309">
        <v>74.5</v>
      </c>
      <c r="I48" s="309">
        <v>89.3</v>
      </c>
      <c r="J48" s="309">
        <v>142.6</v>
      </c>
      <c r="K48" s="309">
        <v>81.8</v>
      </c>
      <c r="L48" s="310">
        <v>21.408839779005522</v>
      </c>
      <c r="M48" s="309">
        <v>3.6</v>
      </c>
      <c r="N48" s="309">
        <f t="shared" si="1"/>
        <v>621.9918127519785</v>
      </c>
    </row>
    <row r="49" spans="1:14" x14ac:dyDescent="0.15">
      <c r="A49" s="280" t="s">
        <v>131</v>
      </c>
      <c r="B49" s="309">
        <v>3</v>
      </c>
      <c r="C49" s="309">
        <v>13.6</v>
      </c>
      <c r="D49" s="309">
        <v>25.6</v>
      </c>
      <c r="E49" s="309">
        <v>49.5</v>
      </c>
      <c r="F49" s="309">
        <v>72.780135135135126</v>
      </c>
      <c r="G49" s="309">
        <v>72.824594594594586</v>
      </c>
      <c r="H49" s="309">
        <v>87.8</v>
      </c>
      <c r="I49" s="309">
        <v>122.9</v>
      </c>
      <c r="J49" s="309">
        <v>142.6</v>
      </c>
      <c r="K49" s="309">
        <v>81.8</v>
      </c>
      <c r="L49" s="310">
        <v>18.024861878453038</v>
      </c>
      <c r="M49" s="309">
        <v>1.3</v>
      </c>
      <c r="N49" s="309">
        <f t="shared" si="1"/>
        <v>691.72959160818277</v>
      </c>
    </row>
    <row r="50" spans="1:14" x14ac:dyDescent="0.15">
      <c r="A50" s="280" t="s">
        <v>132</v>
      </c>
      <c r="B50" s="309">
        <v>4</v>
      </c>
      <c r="C50" s="309">
        <v>12</v>
      </c>
      <c r="D50" s="309">
        <v>19.399999999999999</v>
      </c>
      <c r="E50" s="309">
        <v>42.4</v>
      </c>
      <c r="F50" s="309">
        <v>72.513378378378363</v>
      </c>
      <c r="G50" s="309">
        <v>73.358108108108098</v>
      </c>
      <c r="H50" s="309">
        <v>84.1</v>
      </c>
      <c r="I50" s="309">
        <v>127.7</v>
      </c>
      <c r="J50" s="309">
        <v>136.6</v>
      </c>
      <c r="K50" s="309">
        <v>52.4</v>
      </c>
      <c r="L50" s="310">
        <v>6.7679558011049723</v>
      </c>
      <c r="M50" s="309">
        <v>1.3</v>
      </c>
      <c r="N50" s="309">
        <f t="shared" si="1"/>
        <v>632.53944228759133</v>
      </c>
    </row>
    <row r="51" spans="1:14" x14ac:dyDescent="0.15">
      <c r="A51" s="280" t="s">
        <v>40</v>
      </c>
      <c r="B51" s="309">
        <v>3.2</v>
      </c>
      <c r="C51" s="309">
        <v>12</v>
      </c>
      <c r="D51" s="309">
        <v>23</v>
      </c>
      <c r="E51" s="309">
        <v>54.2</v>
      </c>
      <c r="F51" s="309">
        <v>80.738378378378371</v>
      </c>
      <c r="G51" s="309">
        <v>117.15067567567566</v>
      </c>
      <c r="H51" s="309">
        <v>75</v>
      </c>
      <c r="I51" s="309">
        <v>136</v>
      </c>
      <c r="J51" s="309">
        <v>121.8</v>
      </c>
      <c r="K51" s="309">
        <v>57</v>
      </c>
      <c r="L51" s="310">
        <v>6.0773480662983426</v>
      </c>
      <c r="M51" s="309">
        <v>1.2</v>
      </c>
      <c r="N51" s="309">
        <f t="shared" si="1"/>
        <v>687.3664021203524</v>
      </c>
    </row>
    <row r="52" spans="1:14" x14ac:dyDescent="0.15">
      <c r="A52" s="280" t="s">
        <v>130</v>
      </c>
      <c r="B52" s="309">
        <v>3.4</v>
      </c>
      <c r="C52" s="309">
        <v>9.8000000000000007</v>
      </c>
      <c r="D52" s="309">
        <v>17.3</v>
      </c>
      <c r="E52" s="309">
        <v>46.5</v>
      </c>
      <c r="F52" s="309">
        <v>87.896351351351342</v>
      </c>
      <c r="G52" s="309">
        <v>93.098108108108107</v>
      </c>
      <c r="H52" s="309">
        <v>73.2</v>
      </c>
      <c r="I52" s="309">
        <v>132.69999999999999</v>
      </c>
      <c r="J52" s="309">
        <v>118.8</v>
      </c>
      <c r="K52" s="309">
        <v>50.1</v>
      </c>
      <c r="L52" s="310">
        <v>6.7679558011049723</v>
      </c>
      <c r="M52" s="309">
        <v>0.2</v>
      </c>
      <c r="N52" s="309">
        <f t="shared" si="1"/>
        <v>639.76241526056447</v>
      </c>
    </row>
    <row r="53" spans="1:14" x14ac:dyDescent="0.15">
      <c r="A53" s="280" t="s">
        <v>43</v>
      </c>
      <c r="B53" s="309">
        <v>3</v>
      </c>
      <c r="C53" s="309">
        <v>16.600000000000001</v>
      </c>
      <c r="D53" s="309">
        <v>23.7</v>
      </c>
      <c r="E53" s="309">
        <v>54.8</v>
      </c>
      <c r="F53" s="309">
        <v>88.963378378378366</v>
      </c>
      <c r="G53" s="309">
        <v>91.675405405405385</v>
      </c>
      <c r="H53" s="309">
        <v>76.8</v>
      </c>
      <c r="I53" s="309">
        <v>139.30000000000001</v>
      </c>
      <c r="J53" s="309">
        <v>124.7</v>
      </c>
      <c r="K53" s="309">
        <v>71.599999999999994</v>
      </c>
      <c r="L53" s="310">
        <v>8.0801104972375679</v>
      </c>
      <c r="M53" s="309">
        <v>1.2</v>
      </c>
      <c r="N53" s="309">
        <f t="shared" si="1"/>
        <v>700.41889428102138</v>
      </c>
    </row>
    <row r="54" spans="1:14" x14ac:dyDescent="0.15">
      <c r="A54" s="280" t="s">
        <v>35</v>
      </c>
      <c r="B54" s="309">
        <v>6.4</v>
      </c>
      <c r="C54" s="309">
        <v>12.3</v>
      </c>
      <c r="D54" s="309">
        <v>25.3</v>
      </c>
      <c r="E54" s="309">
        <v>60.5</v>
      </c>
      <c r="F54" s="309">
        <v>93.275945945945935</v>
      </c>
      <c r="G54" s="309">
        <v>73.269189189189191</v>
      </c>
      <c r="H54" s="309">
        <v>73.2</v>
      </c>
      <c r="I54" s="309">
        <v>113.6</v>
      </c>
      <c r="J54" s="309">
        <v>118.8</v>
      </c>
      <c r="K54" s="309">
        <v>68.2</v>
      </c>
      <c r="L54" s="310">
        <v>12.154696132596685</v>
      </c>
      <c r="M54" s="309">
        <v>3.9</v>
      </c>
      <c r="N54" s="309">
        <f t="shared" si="1"/>
        <v>660.89983126773177</v>
      </c>
    </row>
    <row r="55" spans="1:14" x14ac:dyDescent="0.15">
      <c r="A55" s="280" t="s">
        <v>133</v>
      </c>
      <c r="B55" s="309">
        <v>1.3</v>
      </c>
      <c r="C55" s="309">
        <v>7.2</v>
      </c>
      <c r="D55" s="309">
        <v>17.5</v>
      </c>
      <c r="E55" s="309">
        <v>48.4</v>
      </c>
      <c r="F55" s="309">
        <v>76.425810810810802</v>
      </c>
      <c r="G55" s="309">
        <v>81.271891891891883</v>
      </c>
      <c r="H55" s="309">
        <v>80.5</v>
      </c>
      <c r="I55" s="309">
        <v>145.9</v>
      </c>
      <c r="J55" s="309">
        <v>130.69999999999999</v>
      </c>
      <c r="K55" s="309">
        <v>75</v>
      </c>
      <c r="L55" s="310">
        <v>15.469613259668504</v>
      </c>
      <c r="M55" s="309">
        <v>1.3</v>
      </c>
      <c r="N55" s="309">
        <f t="shared" si="1"/>
        <v>680.967315962371</v>
      </c>
    </row>
    <row r="56" spans="1:14" x14ac:dyDescent="0.15">
      <c r="A56" s="280" t="s">
        <v>37</v>
      </c>
      <c r="B56" s="309">
        <v>4.4000000000000004</v>
      </c>
      <c r="C56" s="309">
        <v>13.4</v>
      </c>
      <c r="D56" s="309">
        <v>34.700000000000003</v>
      </c>
      <c r="E56" s="309">
        <v>63.2</v>
      </c>
      <c r="F56" s="309">
        <v>100.83405405405405</v>
      </c>
      <c r="G56" s="309">
        <v>112.43797297297296</v>
      </c>
      <c r="H56" s="309">
        <v>87.8</v>
      </c>
      <c r="I56" s="309">
        <v>159.19999999999999</v>
      </c>
      <c r="J56" s="309">
        <v>142.6</v>
      </c>
      <c r="K56" s="309">
        <v>52.8</v>
      </c>
      <c r="L56" s="310">
        <v>4.9033149171270711</v>
      </c>
      <c r="M56" s="309">
        <v>2.7</v>
      </c>
      <c r="N56" s="309">
        <f t="shared" si="1"/>
        <v>778.97534194415414</v>
      </c>
    </row>
    <row r="57" spans="1:14" x14ac:dyDescent="0.15">
      <c r="A57" s="280" t="s">
        <v>47</v>
      </c>
      <c r="B57" s="309">
        <v>2.7</v>
      </c>
      <c r="C57" s="309">
        <v>11</v>
      </c>
      <c r="D57" s="309">
        <v>17.7</v>
      </c>
      <c r="E57" s="309">
        <v>61.9</v>
      </c>
      <c r="F57" s="309">
        <v>78.24864864864864</v>
      </c>
      <c r="G57" s="309">
        <v>79.271216216216217</v>
      </c>
      <c r="H57" s="309">
        <v>95.1</v>
      </c>
      <c r="I57" s="309">
        <v>168</v>
      </c>
      <c r="J57" s="309">
        <v>154.4</v>
      </c>
      <c r="K57" s="309">
        <v>74.8</v>
      </c>
      <c r="L57" s="310">
        <v>15.538674033149169</v>
      </c>
      <c r="M57" s="309">
        <v>1.7</v>
      </c>
      <c r="N57" s="309">
        <f t="shared" si="1"/>
        <v>760.35853889801399</v>
      </c>
    </row>
    <row r="58" spans="1:14" x14ac:dyDescent="0.15">
      <c r="A58" s="280" t="s">
        <v>34</v>
      </c>
      <c r="B58" s="309">
        <v>7</v>
      </c>
      <c r="C58" s="309">
        <v>10.5</v>
      </c>
      <c r="D58" s="309">
        <v>22.5</v>
      </c>
      <c r="E58" s="309">
        <v>57</v>
      </c>
      <c r="F58" s="309">
        <v>102.34567567567566</v>
      </c>
      <c r="G58" s="309">
        <v>113.8162162162162</v>
      </c>
      <c r="H58" s="309">
        <v>71.3</v>
      </c>
      <c r="I58" s="309">
        <v>129.4</v>
      </c>
      <c r="J58" s="309">
        <v>115.8</v>
      </c>
      <c r="K58" s="309">
        <v>45.6</v>
      </c>
      <c r="L58" s="310">
        <v>8.4254143646408828</v>
      </c>
      <c r="M58" s="309">
        <v>3.3</v>
      </c>
      <c r="N58" s="309">
        <f t="shared" si="1"/>
        <v>686.98730625653275</v>
      </c>
    </row>
    <row r="59" spans="1:14" x14ac:dyDescent="0.15">
      <c r="A59" s="280" t="s">
        <v>134</v>
      </c>
      <c r="B59" s="309">
        <v>7</v>
      </c>
      <c r="C59" s="309">
        <v>10.5</v>
      </c>
      <c r="D59" s="309">
        <v>22.5</v>
      </c>
      <c r="E59" s="309">
        <v>57</v>
      </c>
      <c r="F59" s="309">
        <v>95.498918918918918</v>
      </c>
      <c r="G59" s="309">
        <v>99.2335135135135</v>
      </c>
      <c r="H59" s="309">
        <v>71.3</v>
      </c>
      <c r="I59" s="309">
        <v>129.4</v>
      </c>
      <c r="J59" s="309">
        <v>115.8</v>
      </c>
      <c r="K59" s="309">
        <v>45.6</v>
      </c>
      <c r="L59" s="310">
        <v>6.0773480662983426</v>
      </c>
      <c r="M59" s="309">
        <v>3.3</v>
      </c>
      <c r="N59" s="309">
        <f t="shared" si="1"/>
        <v>663.20978049873065</v>
      </c>
    </row>
    <row r="60" spans="1:14" x14ac:dyDescent="0.15">
      <c r="A60" s="280" t="s">
        <v>135</v>
      </c>
      <c r="B60" s="309">
        <v>0.7</v>
      </c>
      <c r="C60" s="309">
        <v>11.4</v>
      </c>
      <c r="D60" s="309">
        <v>25.2</v>
      </c>
      <c r="E60" s="309">
        <v>57.1</v>
      </c>
      <c r="F60" s="309">
        <v>79.00445945945944</v>
      </c>
      <c r="G60" s="309">
        <v>93.898378378378368</v>
      </c>
      <c r="H60" s="309">
        <v>93.3</v>
      </c>
      <c r="I60" s="309">
        <v>169.2</v>
      </c>
      <c r="J60" s="309">
        <v>151.5</v>
      </c>
      <c r="K60" s="309">
        <v>60.5</v>
      </c>
      <c r="L60" s="310">
        <v>8.7707182320441976</v>
      </c>
      <c r="M60" s="309">
        <v>1.9</v>
      </c>
      <c r="N60" s="309">
        <f t="shared" si="1"/>
        <v>752.47355606988197</v>
      </c>
    </row>
    <row r="61" spans="1:14" x14ac:dyDescent="0.15">
      <c r="A61" s="280" t="s">
        <v>36</v>
      </c>
      <c r="B61" s="309">
        <v>5.5</v>
      </c>
      <c r="C61" s="309">
        <v>16.399999999999999</v>
      </c>
      <c r="D61" s="309">
        <v>25.8</v>
      </c>
      <c r="E61" s="309">
        <v>53.3</v>
      </c>
      <c r="F61" s="309">
        <v>95.498918918918918</v>
      </c>
      <c r="G61" s="309">
        <v>99.2335135135135</v>
      </c>
      <c r="H61" s="309">
        <v>80.599999999999994</v>
      </c>
      <c r="I61" s="309">
        <v>145.69999999999999</v>
      </c>
      <c r="J61" s="309">
        <v>129</v>
      </c>
      <c r="K61" s="309">
        <v>53</v>
      </c>
      <c r="L61" s="310">
        <v>6.0773480662983426</v>
      </c>
      <c r="M61" s="309">
        <v>3.3</v>
      </c>
      <c r="N61" s="309">
        <f t="shared" si="1"/>
        <v>713.4097804987307</v>
      </c>
    </row>
    <row r="62" spans="1:14" x14ac:dyDescent="0.15">
      <c r="A62" s="280" t="s">
        <v>44</v>
      </c>
      <c r="B62" s="309">
        <v>0.7</v>
      </c>
      <c r="C62" s="309">
        <v>11.4</v>
      </c>
      <c r="D62" s="309">
        <v>25.2</v>
      </c>
      <c r="E62" s="309">
        <v>57.1</v>
      </c>
      <c r="F62" s="309">
        <v>93.809459459459447</v>
      </c>
      <c r="G62" s="309">
        <v>110.5262162162162</v>
      </c>
      <c r="H62" s="309">
        <v>93.3</v>
      </c>
      <c r="I62" s="309">
        <v>169.2</v>
      </c>
      <c r="J62" s="309">
        <v>151.5</v>
      </c>
      <c r="K62" s="309">
        <v>60.5</v>
      </c>
      <c r="L62" s="310">
        <v>16.574585635359114</v>
      </c>
      <c r="M62" s="309">
        <v>1.9</v>
      </c>
      <c r="N62" s="309">
        <f t="shared" si="1"/>
        <v>791.71026131103474</v>
      </c>
    </row>
    <row r="63" spans="1:14" x14ac:dyDescent="0.15">
      <c r="A63" s="280" t="s">
        <v>92</v>
      </c>
      <c r="B63" s="309">
        <v>16</v>
      </c>
      <c r="C63" s="309">
        <v>40.799999999999997</v>
      </c>
      <c r="D63" s="309">
        <v>86.7</v>
      </c>
      <c r="E63" s="309">
        <v>85.2</v>
      </c>
      <c r="F63" s="309">
        <v>107.28067567567567</v>
      </c>
      <c r="G63" s="309">
        <v>105.85797297297296</v>
      </c>
      <c r="H63" s="309">
        <v>69.5</v>
      </c>
      <c r="I63" s="309">
        <v>122</v>
      </c>
      <c r="J63" s="309">
        <v>116.6</v>
      </c>
      <c r="K63" s="309">
        <v>62.7</v>
      </c>
      <c r="L63" s="310">
        <v>120.99447513812152</v>
      </c>
      <c r="M63" s="309">
        <v>59</v>
      </c>
      <c r="N63" s="309">
        <f t="shared" si="1"/>
        <v>992.63312378677017</v>
      </c>
    </row>
    <row r="64" spans="1:14" x14ac:dyDescent="0.15">
      <c r="A64" s="280" t="s">
        <v>74</v>
      </c>
      <c r="B64" s="309">
        <v>39.4</v>
      </c>
      <c r="C64" s="309">
        <v>37.5</v>
      </c>
      <c r="D64" s="309">
        <v>54.1</v>
      </c>
      <c r="E64" s="309">
        <v>71.599999999999994</v>
      </c>
      <c r="F64" s="309">
        <v>83.939459459459457</v>
      </c>
      <c r="G64" s="309">
        <v>77.137162162162156</v>
      </c>
      <c r="H64" s="309">
        <v>64</v>
      </c>
      <c r="I64" s="309">
        <v>97.6</v>
      </c>
      <c r="J64" s="309">
        <v>107.4</v>
      </c>
      <c r="K64" s="309">
        <v>57.7</v>
      </c>
      <c r="L64" s="310">
        <v>208.1491712707182</v>
      </c>
      <c r="M64" s="309">
        <v>118.1</v>
      </c>
      <c r="N64" s="309">
        <f t="shared" si="1"/>
        <v>1016.6257928923399</v>
      </c>
    </row>
    <row r="65" spans="1:14" x14ac:dyDescent="0.15">
      <c r="A65" s="280" t="s">
        <v>136</v>
      </c>
      <c r="B65" s="309">
        <v>15.2</v>
      </c>
      <c r="C65" s="309">
        <v>32.299999999999997</v>
      </c>
      <c r="D65" s="309">
        <v>82.3</v>
      </c>
      <c r="E65" s="309">
        <v>86.9</v>
      </c>
      <c r="F65" s="309">
        <v>101.23418918918918</v>
      </c>
      <c r="G65" s="309">
        <v>96.78824324324323</v>
      </c>
      <c r="H65" s="309">
        <v>67.7</v>
      </c>
      <c r="I65" s="309">
        <v>118.8</v>
      </c>
      <c r="J65" s="309">
        <v>113.5</v>
      </c>
      <c r="K65" s="309">
        <v>61</v>
      </c>
      <c r="L65" s="310">
        <v>157.87292817679554</v>
      </c>
      <c r="M65" s="309">
        <v>130.19999999999999</v>
      </c>
      <c r="N65" s="309">
        <f t="shared" si="1"/>
        <v>1063.7953606092278</v>
      </c>
    </row>
    <row r="66" spans="1:14" x14ac:dyDescent="0.15">
      <c r="A66" s="280" t="s">
        <v>79</v>
      </c>
      <c r="B66" s="309">
        <v>26.4</v>
      </c>
      <c r="C66" s="309">
        <v>31.5</v>
      </c>
      <c r="D66" s="309">
        <v>63.5</v>
      </c>
      <c r="E66" s="309">
        <v>66.5</v>
      </c>
      <c r="F66" s="309">
        <v>75.403243243243239</v>
      </c>
      <c r="G66" s="309">
        <v>42.280945945945938</v>
      </c>
      <c r="H66" s="309">
        <v>63</v>
      </c>
      <c r="I66" s="309">
        <v>105.2</v>
      </c>
      <c r="J66" s="309">
        <v>116.6</v>
      </c>
      <c r="K66" s="309">
        <v>62.7</v>
      </c>
      <c r="L66" s="310">
        <v>234.32320441988946</v>
      </c>
      <c r="M66" s="309">
        <v>312.8</v>
      </c>
      <c r="N66" s="309">
        <f t="shared" si="1"/>
        <v>1200.2073936090785</v>
      </c>
    </row>
    <row r="67" spans="1:14" x14ac:dyDescent="0.15">
      <c r="A67" s="280" t="s">
        <v>86</v>
      </c>
      <c r="B67" s="309">
        <v>27.5</v>
      </c>
      <c r="C67" s="309">
        <v>52</v>
      </c>
      <c r="D67" s="309">
        <v>45.5</v>
      </c>
      <c r="E67" s="309">
        <v>69.900000000000006</v>
      </c>
      <c r="F67" s="309">
        <v>64.688513513513513</v>
      </c>
      <c r="G67" s="309">
        <v>51.884189189189186</v>
      </c>
      <c r="H67" s="309">
        <v>71.3</v>
      </c>
      <c r="I67" s="309">
        <v>120.4</v>
      </c>
      <c r="J67" s="309">
        <v>119.7</v>
      </c>
      <c r="K67" s="309">
        <v>64.3</v>
      </c>
      <c r="L67" s="310">
        <v>231.62983425414359</v>
      </c>
      <c r="M67" s="309">
        <v>327.3</v>
      </c>
      <c r="N67" s="309">
        <f t="shared" ref="N67:N78" si="2">SUM(B67:M67)</f>
        <v>1246.1025369568463</v>
      </c>
    </row>
    <row r="68" spans="1:14" x14ac:dyDescent="0.15">
      <c r="A68" s="280" t="s">
        <v>72</v>
      </c>
      <c r="B68" s="309">
        <v>35.6</v>
      </c>
      <c r="C68" s="309">
        <v>32.1</v>
      </c>
      <c r="D68" s="309">
        <v>31.4</v>
      </c>
      <c r="E68" s="309">
        <v>74.5</v>
      </c>
      <c r="F68" s="309">
        <v>54.951891891891883</v>
      </c>
      <c r="G68" s="309">
        <v>42.192027027027024</v>
      </c>
      <c r="H68" s="309">
        <v>64</v>
      </c>
      <c r="I68" s="309">
        <v>67</v>
      </c>
      <c r="J68" s="309">
        <v>127.8</v>
      </c>
      <c r="K68" s="309">
        <v>72.599999999999994</v>
      </c>
      <c r="L68" s="310">
        <v>151.93370165745853</v>
      </c>
      <c r="M68" s="309">
        <v>35.4</v>
      </c>
      <c r="N68" s="309">
        <f t="shared" si="2"/>
        <v>789.47762057637738</v>
      </c>
    </row>
    <row r="69" spans="1:14" x14ac:dyDescent="0.15">
      <c r="A69" s="280" t="s">
        <v>137</v>
      </c>
      <c r="B69" s="309">
        <v>10.3</v>
      </c>
      <c r="C69" s="309">
        <v>18.7</v>
      </c>
      <c r="D69" s="309">
        <v>33.9</v>
      </c>
      <c r="E69" s="309">
        <v>65.8</v>
      </c>
      <c r="F69" s="309">
        <v>48.149594594594589</v>
      </c>
      <c r="G69" s="309">
        <v>42.014189189189182</v>
      </c>
      <c r="H69" s="309">
        <v>64.7</v>
      </c>
      <c r="I69" s="309">
        <v>87.3</v>
      </c>
      <c r="J69" s="309">
        <v>141.19999999999999</v>
      </c>
      <c r="K69" s="309">
        <v>75.900000000000006</v>
      </c>
      <c r="L69" s="310">
        <v>218.71546961325964</v>
      </c>
      <c r="M69" s="309">
        <v>282.7</v>
      </c>
      <c r="N69" s="309">
        <f t="shared" si="2"/>
        <v>1089.3792533970434</v>
      </c>
    </row>
    <row r="70" spans="1:14" x14ac:dyDescent="0.15">
      <c r="A70" s="280" t="s">
        <v>138</v>
      </c>
      <c r="B70" s="309">
        <v>27.6</v>
      </c>
      <c r="C70" s="309">
        <v>56</v>
      </c>
      <c r="D70" s="309">
        <v>120.7</v>
      </c>
      <c r="E70" s="309">
        <v>85.2</v>
      </c>
      <c r="F70" s="309">
        <v>134.93445945945945</v>
      </c>
      <c r="G70" s="309">
        <v>141.2477027027027</v>
      </c>
      <c r="H70" s="309">
        <v>69.5</v>
      </c>
      <c r="I70" s="309">
        <v>122</v>
      </c>
      <c r="J70" s="309">
        <v>116.6</v>
      </c>
      <c r="K70" s="309">
        <v>62.7</v>
      </c>
      <c r="L70" s="310">
        <v>124.30939226519335</v>
      </c>
      <c r="M70" s="309">
        <v>52</v>
      </c>
      <c r="N70" s="309">
        <f t="shared" si="2"/>
        <v>1112.7915544273555</v>
      </c>
    </row>
    <row r="71" spans="1:14" x14ac:dyDescent="0.15">
      <c r="A71" s="280" t="s">
        <v>139</v>
      </c>
      <c r="B71" s="309">
        <v>23.2</v>
      </c>
      <c r="C71" s="309">
        <v>38.799999999999997</v>
      </c>
      <c r="D71" s="309">
        <v>68</v>
      </c>
      <c r="E71" s="309">
        <v>80.099999999999994</v>
      </c>
      <c r="F71" s="309">
        <v>62.109864864864853</v>
      </c>
      <c r="G71" s="309">
        <v>35.167432432432427</v>
      </c>
      <c r="H71" s="309">
        <v>57.5</v>
      </c>
      <c r="I71" s="309">
        <v>79.7</v>
      </c>
      <c r="J71" s="309">
        <v>132</v>
      </c>
      <c r="K71" s="309">
        <v>70.900000000000006</v>
      </c>
      <c r="L71" s="310">
        <v>228.52209944751377</v>
      </c>
      <c r="M71" s="309">
        <v>314.89999999999998</v>
      </c>
      <c r="N71" s="309">
        <f t="shared" si="2"/>
        <v>1190.8993967448109</v>
      </c>
    </row>
    <row r="72" spans="1:14" x14ac:dyDescent="0.15">
      <c r="A72" s="280" t="s">
        <v>71</v>
      </c>
      <c r="B72" s="309">
        <v>10.6</v>
      </c>
      <c r="C72" s="309">
        <v>2.8</v>
      </c>
      <c r="D72" s="309">
        <v>12</v>
      </c>
      <c r="E72" s="309">
        <v>28.4</v>
      </c>
      <c r="F72" s="309">
        <v>41.969729729729728</v>
      </c>
      <c r="G72" s="309">
        <v>37.345945945945942</v>
      </c>
      <c r="H72" s="309">
        <v>52</v>
      </c>
      <c r="I72" s="309">
        <v>73.900000000000006</v>
      </c>
      <c r="J72" s="309">
        <v>88.2</v>
      </c>
      <c r="K72" s="309">
        <v>69.900000000000006</v>
      </c>
      <c r="L72" s="310">
        <v>137.01657458563534</v>
      </c>
      <c r="M72" s="309">
        <v>15.7</v>
      </c>
      <c r="N72" s="309">
        <f t="shared" si="2"/>
        <v>569.83225026131106</v>
      </c>
    </row>
    <row r="73" spans="1:14" x14ac:dyDescent="0.15">
      <c r="A73" s="280" t="s">
        <v>89</v>
      </c>
      <c r="B73" s="309">
        <v>14</v>
      </c>
      <c r="C73" s="309">
        <v>39.299999999999997</v>
      </c>
      <c r="D73" s="309">
        <v>85.3</v>
      </c>
      <c r="E73" s="309">
        <v>85.2</v>
      </c>
      <c r="F73" s="309">
        <v>123.9085135135135</v>
      </c>
      <c r="G73" s="309">
        <v>111.05972972972972</v>
      </c>
      <c r="H73" s="309">
        <v>69.5</v>
      </c>
      <c r="I73" s="309">
        <v>122</v>
      </c>
      <c r="J73" s="309">
        <v>116.6</v>
      </c>
      <c r="K73" s="309">
        <v>62.7</v>
      </c>
      <c r="L73" s="310">
        <v>121.33977900552483</v>
      </c>
      <c r="M73" s="309">
        <v>59.4</v>
      </c>
      <c r="N73" s="309">
        <f t="shared" si="2"/>
        <v>1010.3080222487681</v>
      </c>
    </row>
    <row r="74" spans="1:14" x14ac:dyDescent="0.15">
      <c r="A74" s="280" t="s">
        <v>140</v>
      </c>
      <c r="B74" s="309">
        <v>22.6</v>
      </c>
      <c r="C74" s="309">
        <v>45.6</v>
      </c>
      <c r="D74" s="309">
        <v>69.8</v>
      </c>
      <c r="E74" s="309">
        <v>90.4</v>
      </c>
      <c r="F74" s="309">
        <v>74.736351351351345</v>
      </c>
      <c r="G74" s="309">
        <v>48.816486486486482</v>
      </c>
      <c r="H74" s="309">
        <v>84.1</v>
      </c>
      <c r="I74" s="309">
        <v>113.3</v>
      </c>
      <c r="J74" s="309">
        <v>141.19999999999999</v>
      </c>
      <c r="K74" s="309">
        <v>75.900000000000006</v>
      </c>
      <c r="L74" s="310">
        <v>184.59944751381212</v>
      </c>
      <c r="M74" s="309">
        <v>250.2</v>
      </c>
      <c r="N74" s="309">
        <f t="shared" si="2"/>
        <v>1201.25228535165</v>
      </c>
    </row>
    <row r="75" spans="1:14" x14ac:dyDescent="0.15">
      <c r="A75" s="280" t="s">
        <v>87</v>
      </c>
      <c r="B75" s="309">
        <v>10</v>
      </c>
      <c r="C75" s="309">
        <v>23.7</v>
      </c>
      <c r="D75" s="309">
        <v>94.2</v>
      </c>
      <c r="E75" s="309">
        <v>69.900000000000006</v>
      </c>
      <c r="F75" s="309">
        <v>145.02675675675673</v>
      </c>
      <c r="G75" s="309">
        <v>154.89675675675673</v>
      </c>
      <c r="H75" s="309">
        <v>54.9</v>
      </c>
      <c r="I75" s="309">
        <v>96.3</v>
      </c>
      <c r="J75" s="309">
        <v>92.1</v>
      </c>
      <c r="K75" s="309">
        <v>49.5</v>
      </c>
      <c r="L75" s="310">
        <v>113.81215469613259</v>
      </c>
      <c r="M75" s="309">
        <v>37.9</v>
      </c>
      <c r="N75" s="309">
        <f t="shared" si="2"/>
        <v>942.23566820964595</v>
      </c>
    </row>
    <row r="76" spans="1:14" x14ac:dyDescent="0.15">
      <c r="A76" s="280" t="s">
        <v>83</v>
      </c>
      <c r="B76" s="309">
        <v>17.8</v>
      </c>
      <c r="C76" s="309">
        <v>26.8</v>
      </c>
      <c r="D76" s="309">
        <v>53.8</v>
      </c>
      <c r="E76" s="309">
        <v>76.400000000000006</v>
      </c>
      <c r="F76" s="309">
        <v>53.529189189189189</v>
      </c>
      <c r="G76" s="309">
        <v>44.90405405405405</v>
      </c>
      <c r="H76" s="309">
        <v>64.2</v>
      </c>
      <c r="I76" s="309">
        <v>91.3</v>
      </c>
      <c r="J76" s="309">
        <v>138.1</v>
      </c>
      <c r="K76" s="309">
        <v>74.2</v>
      </c>
      <c r="L76" s="310">
        <v>230.52486187845301</v>
      </c>
      <c r="M76" s="309">
        <v>310.8</v>
      </c>
      <c r="N76" s="309">
        <f t="shared" si="2"/>
        <v>1182.3581051216963</v>
      </c>
    </row>
    <row r="77" spans="1:14" x14ac:dyDescent="0.15">
      <c r="A77" s="280" t="s">
        <v>94</v>
      </c>
      <c r="B77" s="309">
        <v>22.2</v>
      </c>
      <c r="C77" s="309">
        <v>66.3</v>
      </c>
      <c r="D77" s="309">
        <v>140</v>
      </c>
      <c r="E77" s="309">
        <v>100.6</v>
      </c>
      <c r="F77" s="309">
        <v>108.25878378378377</v>
      </c>
      <c r="G77" s="309">
        <v>81.538648648648646</v>
      </c>
      <c r="H77" s="309">
        <v>76.8</v>
      </c>
      <c r="I77" s="309">
        <v>134.80000000000001</v>
      </c>
      <c r="J77" s="309">
        <v>128.9</v>
      </c>
      <c r="K77" s="309">
        <v>69.3</v>
      </c>
      <c r="L77" s="310">
        <v>156.07734806629833</v>
      </c>
      <c r="M77" s="309">
        <v>62.9</v>
      </c>
      <c r="N77" s="309">
        <f t="shared" si="2"/>
        <v>1147.6747804987308</v>
      </c>
    </row>
    <row r="78" spans="1:14" x14ac:dyDescent="0.15">
      <c r="A78" s="279" t="s">
        <v>75</v>
      </c>
      <c r="B78" s="311">
        <v>10</v>
      </c>
      <c r="C78" s="311">
        <v>16.2</v>
      </c>
      <c r="D78" s="311">
        <v>38.5</v>
      </c>
      <c r="E78" s="311">
        <v>80.099999999999994</v>
      </c>
      <c r="F78" s="311">
        <v>77.670675675675668</v>
      </c>
      <c r="G78" s="311">
        <v>60.020270270270267</v>
      </c>
      <c r="H78" s="311">
        <v>76.8</v>
      </c>
      <c r="I78" s="311">
        <v>122.6</v>
      </c>
      <c r="J78" s="311">
        <v>128.9</v>
      </c>
      <c r="K78" s="311">
        <v>69.3</v>
      </c>
      <c r="L78" s="312">
        <v>196.13259668508283</v>
      </c>
      <c r="M78" s="311">
        <v>130.69999999999999</v>
      </c>
      <c r="N78" s="311">
        <f t="shared" si="2"/>
        <v>1006.9235426310288</v>
      </c>
    </row>
  </sheetData>
  <sheetProtection password="DD72" sheet="1" objects="1" scenarios="1"/>
  <mergeCells count="2">
    <mergeCell ref="A1:A2"/>
    <mergeCell ref="B1:N1"/>
  </mergeCells>
  <phoneticPr fontId="29" type="noConversion"/>
  <pageMargins left="0.21" right="0.17" top="0.48" bottom="0.52" header="0.26" footer="0.17"/>
  <pageSetup paperSize="9" scale="75" orientation="portrait"/>
  <headerFooter alignWithMargins="0">
    <oddFooter>&amp;L&amp;Z&amp;F&amp;A&amp;C&amp;P/&amp;N&amp;R&amp;D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107AB-28DA-0242-A0F6-603417E1A7F8}">
  <sheetPr codeName="Sheet17">
    <tabColor indexed="31"/>
    <pageSetUpPr fitToPage="1"/>
  </sheetPr>
  <dimension ref="A1:Q88"/>
  <sheetViews>
    <sheetView showGridLines="0" workbookViewId="0">
      <pane xSplit="3" ySplit="3" topLeftCell="D17" activePane="bottomRight" state="frozen"/>
      <selection pane="topRight" activeCell="D1" sqref="D1"/>
      <selection pane="bottomLeft" activeCell="A4" sqref="A4"/>
      <selection pane="bottomRight" activeCell="F38" sqref="F38"/>
    </sheetView>
  </sheetViews>
  <sheetFormatPr baseColWidth="10" defaultColWidth="9.1640625" defaultRowHeight="13" x14ac:dyDescent="0.15"/>
  <cols>
    <col min="1" max="1" width="7" style="5" customWidth="1"/>
    <col min="2" max="2" width="22.83203125" style="5" customWidth="1"/>
    <col min="3" max="3" width="15.1640625" style="5" customWidth="1"/>
    <col min="4" max="15" width="7.6640625" style="5" customWidth="1"/>
    <col min="16" max="16" width="8.6640625" style="5" customWidth="1"/>
    <col min="17" max="16384" width="9.1640625" style="5"/>
  </cols>
  <sheetData>
    <row r="1" spans="1:16" ht="18" x14ac:dyDescent="0.2">
      <c r="A1" s="19" t="s">
        <v>10</v>
      </c>
    </row>
    <row r="2" spans="1:16" x14ac:dyDescent="0.15">
      <c r="D2" s="285">
        <v>1</v>
      </c>
      <c r="E2" s="285">
        <v>2</v>
      </c>
      <c r="F2" s="285">
        <v>3</v>
      </c>
      <c r="G2" s="285">
        <v>4</v>
      </c>
      <c r="H2" s="285">
        <v>5</v>
      </c>
      <c r="I2" s="285">
        <v>6</v>
      </c>
      <c r="J2" s="285">
        <v>7</v>
      </c>
      <c r="K2" s="285">
        <v>8</v>
      </c>
      <c r="L2" s="285">
        <v>9</v>
      </c>
      <c r="M2" s="285">
        <v>10</v>
      </c>
      <c r="N2" s="285">
        <v>11</v>
      </c>
      <c r="O2" s="285">
        <v>12</v>
      </c>
      <c r="P2" s="285"/>
    </row>
    <row r="3" spans="1:16" x14ac:dyDescent="0.15">
      <c r="A3" s="6" t="s">
        <v>11</v>
      </c>
      <c r="B3" s="7" t="s">
        <v>12</v>
      </c>
      <c r="C3" s="8" t="s">
        <v>108</v>
      </c>
      <c r="D3" s="286" t="s">
        <v>104</v>
      </c>
      <c r="E3" s="286" t="s">
        <v>105</v>
      </c>
      <c r="F3" s="286" t="s">
        <v>106</v>
      </c>
      <c r="G3" s="286" t="s">
        <v>95</v>
      </c>
      <c r="H3" s="286" t="s">
        <v>96</v>
      </c>
      <c r="I3" s="286" t="s">
        <v>97</v>
      </c>
      <c r="J3" s="286" t="s">
        <v>98</v>
      </c>
      <c r="K3" s="286" t="s">
        <v>99</v>
      </c>
      <c r="L3" s="286" t="s">
        <v>100</v>
      </c>
      <c r="M3" s="286" t="s">
        <v>101</v>
      </c>
      <c r="N3" s="286" t="s">
        <v>102</v>
      </c>
      <c r="O3" s="286" t="s">
        <v>103</v>
      </c>
      <c r="P3" s="286" t="s">
        <v>107</v>
      </c>
    </row>
    <row r="4" spans="1:16" x14ac:dyDescent="0.15">
      <c r="A4" s="9">
        <v>1</v>
      </c>
      <c r="B4" s="10" t="s">
        <v>13</v>
      </c>
      <c r="C4" s="10" t="s">
        <v>13</v>
      </c>
      <c r="D4" s="11">
        <v>93.2</v>
      </c>
      <c r="E4" s="11">
        <v>113.7</v>
      </c>
      <c r="F4" s="11">
        <v>163.69999999999999</v>
      </c>
      <c r="G4" s="11">
        <v>195.1</v>
      </c>
      <c r="H4" s="11">
        <v>178.6</v>
      </c>
      <c r="I4" s="11">
        <v>127.1</v>
      </c>
      <c r="J4" s="11">
        <v>113.9</v>
      </c>
      <c r="K4" s="11">
        <v>109.8</v>
      </c>
      <c r="L4" s="11">
        <v>115.7</v>
      </c>
      <c r="M4" s="11">
        <v>111.4</v>
      </c>
      <c r="N4" s="11">
        <v>88.6</v>
      </c>
      <c r="O4" s="11">
        <v>81.5</v>
      </c>
      <c r="P4" s="11">
        <f>SUM(D4:O4)</f>
        <v>1492.3000000000002</v>
      </c>
    </row>
    <row r="5" spans="1:16" x14ac:dyDescent="0.15">
      <c r="A5" s="12">
        <v>2</v>
      </c>
      <c r="B5" s="13" t="s">
        <v>14</v>
      </c>
      <c r="C5" s="13" t="s">
        <v>13</v>
      </c>
      <c r="D5" s="14">
        <v>87</v>
      </c>
      <c r="E5" s="14">
        <v>109.6</v>
      </c>
      <c r="F5" s="14">
        <v>154.1</v>
      </c>
      <c r="G5" s="14">
        <v>175</v>
      </c>
      <c r="H5" s="14">
        <v>153.5</v>
      </c>
      <c r="I5" s="14">
        <v>96.1</v>
      </c>
      <c r="J5" s="14">
        <v>87.6</v>
      </c>
      <c r="K5" s="14">
        <v>86.3</v>
      </c>
      <c r="L5" s="14">
        <v>99.6</v>
      </c>
      <c r="M5" s="14">
        <v>103.6</v>
      </c>
      <c r="N5" s="14">
        <v>88.6</v>
      </c>
      <c r="O5" s="14">
        <v>82.1</v>
      </c>
      <c r="P5" s="14">
        <f t="shared" ref="P5:P68" si="0">SUM(D5:O5)</f>
        <v>1323.0999999999997</v>
      </c>
    </row>
    <row r="6" spans="1:16" x14ac:dyDescent="0.15">
      <c r="A6" s="12">
        <v>3</v>
      </c>
      <c r="B6" s="13" t="s">
        <v>15</v>
      </c>
      <c r="C6" s="13" t="s">
        <v>15</v>
      </c>
      <c r="D6" s="14">
        <v>89.1</v>
      </c>
      <c r="E6" s="14">
        <v>118.2</v>
      </c>
      <c r="F6" s="14">
        <v>155.5</v>
      </c>
      <c r="G6" s="14">
        <v>171.7</v>
      </c>
      <c r="H6" s="14">
        <v>141.1</v>
      </c>
      <c r="I6" s="14">
        <v>110</v>
      </c>
      <c r="J6" s="14">
        <v>97</v>
      </c>
      <c r="K6" s="14">
        <v>86</v>
      </c>
      <c r="L6" s="14">
        <v>90</v>
      </c>
      <c r="M6" s="14">
        <v>89.7</v>
      </c>
      <c r="N6" s="14">
        <v>81.7</v>
      </c>
      <c r="O6" s="14">
        <v>79.099999999999994</v>
      </c>
      <c r="P6" s="14">
        <f t="shared" si="0"/>
        <v>1309.0999999999999</v>
      </c>
    </row>
    <row r="7" spans="1:16" x14ac:dyDescent="0.15">
      <c r="A7" s="12">
        <v>4</v>
      </c>
      <c r="B7" s="13" t="s">
        <v>16</v>
      </c>
      <c r="C7" s="13" t="s">
        <v>16</v>
      </c>
      <c r="D7" s="14">
        <v>95.5</v>
      </c>
      <c r="E7" s="14">
        <v>115.4</v>
      </c>
      <c r="F7" s="14">
        <v>165.6</v>
      </c>
      <c r="G7" s="14">
        <v>180.5</v>
      </c>
      <c r="H7" s="14">
        <v>158.5</v>
      </c>
      <c r="I7" s="14">
        <v>136.9</v>
      </c>
      <c r="J7" s="14">
        <v>123.7</v>
      </c>
      <c r="K7" s="14">
        <v>115.8</v>
      </c>
      <c r="L7" s="14">
        <v>106</v>
      </c>
      <c r="M7" s="14">
        <v>99.9</v>
      </c>
      <c r="N7" s="14">
        <v>86.9</v>
      </c>
      <c r="O7" s="14">
        <v>87.1</v>
      </c>
      <c r="P7" s="14">
        <f t="shared" si="0"/>
        <v>1471.8000000000002</v>
      </c>
    </row>
    <row r="8" spans="1:16" x14ac:dyDescent="0.15">
      <c r="A8" s="12">
        <v>5</v>
      </c>
      <c r="B8" s="13" t="s">
        <v>17</v>
      </c>
      <c r="C8" s="13" t="s">
        <v>17</v>
      </c>
      <c r="D8" s="14">
        <v>108.1</v>
      </c>
      <c r="E8" s="14">
        <v>128.69999999999999</v>
      </c>
      <c r="F8" s="14">
        <v>171.7</v>
      </c>
      <c r="G8" s="14">
        <v>189.4</v>
      </c>
      <c r="H8" s="14">
        <v>178.6</v>
      </c>
      <c r="I8" s="14">
        <v>143.69999999999999</v>
      </c>
      <c r="J8" s="14">
        <v>129.6</v>
      </c>
      <c r="K8" s="14">
        <v>126.3</v>
      </c>
      <c r="L8" s="14">
        <v>128.80000000000001</v>
      </c>
      <c r="M8" s="14">
        <v>129</v>
      </c>
      <c r="N8" s="14">
        <v>106.8</v>
      </c>
      <c r="O8" s="14">
        <v>98.3</v>
      </c>
      <c r="P8" s="14">
        <f t="shared" si="0"/>
        <v>1638.9999999999998</v>
      </c>
    </row>
    <row r="9" spans="1:16" x14ac:dyDescent="0.15">
      <c r="A9" s="12">
        <v>6</v>
      </c>
      <c r="B9" s="13" t="s">
        <v>18</v>
      </c>
      <c r="C9" s="13" t="s">
        <v>18</v>
      </c>
      <c r="D9" s="14">
        <v>89.8</v>
      </c>
      <c r="E9" s="14">
        <v>112.1</v>
      </c>
      <c r="F9" s="14">
        <v>159.30000000000001</v>
      </c>
      <c r="G9" s="14">
        <v>179.2</v>
      </c>
      <c r="H9" s="14">
        <v>164.2</v>
      </c>
      <c r="I9" s="14">
        <v>136.69999999999999</v>
      </c>
      <c r="J9" s="14">
        <v>127.2</v>
      </c>
      <c r="K9" s="14">
        <v>117.5</v>
      </c>
      <c r="L9" s="14">
        <v>107.7</v>
      </c>
      <c r="M9" s="14">
        <v>100.1</v>
      </c>
      <c r="N9" s="14">
        <v>87</v>
      </c>
      <c r="O9" s="14">
        <v>81.3</v>
      </c>
      <c r="P9" s="14">
        <f t="shared" si="0"/>
        <v>1462.1</v>
      </c>
    </row>
    <row r="10" spans="1:16" x14ac:dyDescent="0.15">
      <c r="A10" s="12">
        <v>7</v>
      </c>
      <c r="B10" s="13" t="s">
        <v>19</v>
      </c>
      <c r="C10" s="13" t="s">
        <v>19</v>
      </c>
      <c r="D10" s="14">
        <v>109.5</v>
      </c>
      <c r="E10" s="14">
        <v>142.19999999999999</v>
      </c>
      <c r="F10" s="14">
        <v>205</v>
      </c>
      <c r="G10" s="14">
        <v>216.8</v>
      </c>
      <c r="H10" s="14">
        <v>197</v>
      </c>
      <c r="I10" s="14">
        <v>162.1</v>
      </c>
      <c r="J10" s="14">
        <v>149.30000000000001</v>
      </c>
      <c r="K10" s="14">
        <v>136.69999999999999</v>
      </c>
      <c r="L10" s="14">
        <v>118.1</v>
      </c>
      <c r="M10" s="14">
        <v>107.5</v>
      </c>
      <c r="N10" s="14">
        <v>94.4</v>
      </c>
      <c r="O10" s="14">
        <v>95.8</v>
      </c>
      <c r="P10" s="14">
        <f t="shared" si="0"/>
        <v>1734.3999999999999</v>
      </c>
    </row>
    <row r="11" spans="1:16" x14ac:dyDescent="0.15">
      <c r="A11" s="12">
        <v>8</v>
      </c>
      <c r="B11" s="13" t="s">
        <v>20</v>
      </c>
      <c r="C11" s="13" t="s">
        <v>20</v>
      </c>
      <c r="D11" s="14">
        <v>106.7</v>
      </c>
      <c r="E11" s="14">
        <v>123.5</v>
      </c>
      <c r="F11" s="14">
        <v>182.1</v>
      </c>
      <c r="G11" s="14">
        <v>200.8</v>
      </c>
      <c r="H11" s="14">
        <v>186.3</v>
      </c>
      <c r="I11" s="14">
        <v>153.1</v>
      </c>
      <c r="J11" s="14">
        <v>144.4</v>
      </c>
      <c r="K11" s="14">
        <v>133.19999999999999</v>
      </c>
      <c r="L11" s="14">
        <v>126.1</v>
      </c>
      <c r="M11" s="14">
        <v>120.9</v>
      </c>
      <c r="N11" s="14">
        <v>105</v>
      </c>
      <c r="O11" s="14">
        <v>100.2</v>
      </c>
      <c r="P11" s="14">
        <f t="shared" si="0"/>
        <v>1682.3</v>
      </c>
    </row>
    <row r="12" spans="1:16" x14ac:dyDescent="0.15">
      <c r="A12" s="12">
        <v>9</v>
      </c>
      <c r="B12" s="13" t="s">
        <v>21</v>
      </c>
      <c r="C12" s="13" t="s">
        <v>21</v>
      </c>
      <c r="D12" s="14">
        <v>81.3</v>
      </c>
      <c r="E12" s="14">
        <v>90.8</v>
      </c>
      <c r="F12" s="14">
        <v>120.6</v>
      </c>
      <c r="G12" s="14">
        <v>142.19999999999999</v>
      </c>
      <c r="H12" s="14">
        <v>137.19999999999999</v>
      </c>
      <c r="I12" s="14">
        <v>111.7</v>
      </c>
      <c r="J12" s="14">
        <v>101.1</v>
      </c>
      <c r="K12" s="14">
        <v>96</v>
      </c>
      <c r="L12" s="14">
        <v>99.4</v>
      </c>
      <c r="M12" s="14">
        <v>99.9</v>
      </c>
      <c r="N12" s="14">
        <v>85.2</v>
      </c>
      <c r="O12" s="14">
        <v>79.099999999999994</v>
      </c>
      <c r="P12" s="14">
        <f t="shared" si="0"/>
        <v>1244.5</v>
      </c>
    </row>
    <row r="13" spans="1:16" x14ac:dyDescent="0.15">
      <c r="A13" s="12">
        <v>10</v>
      </c>
      <c r="B13" s="18" t="s">
        <v>141</v>
      </c>
      <c r="C13" s="13" t="s">
        <v>25</v>
      </c>
      <c r="D13" s="14">
        <v>92.9</v>
      </c>
      <c r="E13" s="14">
        <v>110.4</v>
      </c>
      <c r="F13" s="14">
        <v>148.80000000000001</v>
      </c>
      <c r="G13" s="14">
        <v>167.2</v>
      </c>
      <c r="H13" s="14">
        <v>162.30000000000001</v>
      </c>
      <c r="I13" s="14">
        <v>132.6</v>
      </c>
      <c r="J13" s="14">
        <v>118.5</v>
      </c>
      <c r="K13" s="14">
        <v>116.7</v>
      </c>
      <c r="L13" s="14">
        <v>121.9</v>
      </c>
      <c r="M13" s="14">
        <v>114.2</v>
      </c>
      <c r="N13" s="14">
        <v>93.9</v>
      </c>
      <c r="O13" s="14">
        <v>85.1</v>
      </c>
      <c r="P13" s="14">
        <f t="shared" si="0"/>
        <v>1464.5</v>
      </c>
    </row>
    <row r="14" spans="1:16" x14ac:dyDescent="0.15">
      <c r="A14" s="12">
        <v>11</v>
      </c>
      <c r="B14" s="13" t="s">
        <v>22</v>
      </c>
      <c r="C14" s="13" t="s">
        <v>21</v>
      </c>
      <c r="D14" s="14">
        <v>119.7</v>
      </c>
      <c r="E14" s="14">
        <v>102.3</v>
      </c>
      <c r="F14" s="14">
        <v>115.1</v>
      </c>
      <c r="G14" s="14">
        <v>127.2</v>
      </c>
      <c r="H14" s="14">
        <v>115.3</v>
      </c>
      <c r="I14" s="14">
        <v>87.4</v>
      </c>
      <c r="J14" s="14">
        <v>98.9</v>
      </c>
      <c r="K14" s="14">
        <v>99.1</v>
      </c>
      <c r="L14" s="14">
        <v>92</v>
      </c>
      <c r="M14" s="14">
        <v>101.5</v>
      </c>
      <c r="N14" s="14">
        <v>101.8</v>
      </c>
      <c r="O14" s="14">
        <v>89.6</v>
      </c>
      <c r="P14" s="14">
        <f t="shared" si="0"/>
        <v>1249.8999999999999</v>
      </c>
    </row>
    <row r="15" spans="1:16" x14ac:dyDescent="0.15">
      <c r="A15" s="12">
        <v>12</v>
      </c>
      <c r="B15" s="13" t="s">
        <v>23</v>
      </c>
      <c r="C15" s="13" t="s">
        <v>23</v>
      </c>
      <c r="D15" s="14">
        <v>111.7</v>
      </c>
      <c r="E15" s="14">
        <v>120.9</v>
      </c>
      <c r="F15" s="14">
        <v>163.1</v>
      </c>
      <c r="G15" s="14">
        <v>182.2</v>
      </c>
      <c r="H15" s="14">
        <v>172.6</v>
      </c>
      <c r="I15" s="14">
        <v>137.19999999999999</v>
      </c>
      <c r="J15" s="14">
        <v>123.6</v>
      </c>
      <c r="K15" s="14">
        <v>121</v>
      </c>
      <c r="L15" s="14">
        <v>121.9</v>
      </c>
      <c r="M15" s="14">
        <v>124.5</v>
      </c>
      <c r="N15" s="14">
        <v>114.9</v>
      </c>
      <c r="O15" s="14">
        <v>113.4</v>
      </c>
      <c r="P15" s="14">
        <f t="shared" si="0"/>
        <v>1607.0000000000005</v>
      </c>
    </row>
    <row r="16" spans="1:16" x14ac:dyDescent="0.15">
      <c r="A16" s="12">
        <v>13</v>
      </c>
      <c r="B16" s="13" t="s">
        <v>24</v>
      </c>
      <c r="C16" s="13" t="s">
        <v>24</v>
      </c>
      <c r="D16" s="14">
        <v>108.6</v>
      </c>
      <c r="E16" s="14">
        <v>104.3</v>
      </c>
      <c r="F16" s="14">
        <v>167.1</v>
      </c>
      <c r="G16" s="14">
        <v>168.3</v>
      </c>
      <c r="H16" s="14">
        <v>161.1</v>
      </c>
      <c r="I16" s="14">
        <v>149.1</v>
      </c>
      <c r="J16" s="14">
        <v>170.6</v>
      </c>
      <c r="K16" s="14">
        <v>148.1</v>
      </c>
      <c r="L16" s="14">
        <v>110.6</v>
      </c>
      <c r="M16" s="14">
        <v>118.3</v>
      </c>
      <c r="N16" s="14">
        <v>119.5</v>
      </c>
      <c r="O16" s="14">
        <v>113.3</v>
      </c>
      <c r="P16" s="14">
        <f t="shared" si="0"/>
        <v>1638.8999999999996</v>
      </c>
    </row>
    <row r="17" spans="1:16" x14ac:dyDescent="0.15">
      <c r="A17" s="12">
        <v>14</v>
      </c>
      <c r="B17" s="13" t="s">
        <v>25</v>
      </c>
      <c r="C17" s="13" t="s">
        <v>25</v>
      </c>
      <c r="D17" s="14">
        <v>124.4</v>
      </c>
      <c r="E17" s="14">
        <v>168.9</v>
      </c>
      <c r="F17" s="14">
        <v>241</v>
      </c>
      <c r="G17" s="14">
        <v>251.9</v>
      </c>
      <c r="H17" s="14">
        <v>204.3</v>
      </c>
      <c r="I17" s="14">
        <v>152.80000000000001</v>
      </c>
      <c r="J17" s="14">
        <v>150.4</v>
      </c>
      <c r="K17" s="14">
        <v>141.1</v>
      </c>
      <c r="L17" s="14">
        <v>126.4</v>
      </c>
      <c r="M17" s="14">
        <v>107.6</v>
      </c>
      <c r="N17" s="14">
        <v>99.6</v>
      </c>
      <c r="O17" s="14">
        <v>102.8</v>
      </c>
      <c r="P17" s="14">
        <f t="shared" si="0"/>
        <v>1871.1999999999998</v>
      </c>
    </row>
    <row r="18" spans="1:16" x14ac:dyDescent="0.15">
      <c r="A18" s="12">
        <v>15</v>
      </c>
      <c r="B18" s="13" t="s">
        <v>26</v>
      </c>
      <c r="C18" s="13" t="s">
        <v>25</v>
      </c>
      <c r="D18" s="14">
        <v>119.8</v>
      </c>
      <c r="E18" s="14">
        <v>144.80000000000001</v>
      </c>
      <c r="F18" s="14">
        <v>196.9</v>
      </c>
      <c r="G18" s="14">
        <v>212</v>
      </c>
      <c r="H18" s="14">
        <v>164.9</v>
      </c>
      <c r="I18" s="14">
        <v>103.6</v>
      </c>
      <c r="J18" s="14">
        <v>95</v>
      </c>
      <c r="K18" s="14">
        <v>88.1</v>
      </c>
      <c r="L18" s="14">
        <v>103.8</v>
      </c>
      <c r="M18" s="14">
        <v>122.3</v>
      </c>
      <c r="N18" s="14">
        <v>121.4</v>
      </c>
      <c r="O18" s="14">
        <v>118.3</v>
      </c>
      <c r="P18" s="14">
        <f t="shared" si="0"/>
        <v>1590.8999999999999</v>
      </c>
    </row>
    <row r="19" spans="1:16" x14ac:dyDescent="0.15">
      <c r="A19" s="12">
        <v>16</v>
      </c>
      <c r="B19" s="13" t="s">
        <v>27</v>
      </c>
      <c r="C19" s="13" t="s">
        <v>25</v>
      </c>
      <c r="D19" s="14">
        <v>110</v>
      </c>
      <c r="E19" s="14">
        <v>142.1</v>
      </c>
      <c r="F19" s="14">
        <v>188.3</v>
      </c>
      <c r="G19" s="14">
        <v>199.7</v>
      </c>
      <c r="H19" s="14">
        <v>166.8</v>
      </c>
      <c r="I19" s="14">
        <v>136</v>
      </c>
      <c r="J19" s="14">
        <v>137.9</v>
      </c>
      <c r="K19" s="14">
        <v>129.6</v>
      </c>
      <c r="L19" s="14">
        <v>120.9</v>
      </c>
      <c r="M19" s="14">
        <v>107.7</v>
      </c>
      <c r="N19" s="14">
        <v>96.7</v>
      </c>
      <c r="O19" s="14">
        <v>97.3</v>
      </c>
      <c r="P19" s="14">
        <f t="shared" si="0"/>
        <v>1633</v>
      </c>
    </row>
    <row r="20" spans="1:16" x14ac:dyDescent="0.15">
      <c r="A20" s="12">
        <v>17</v>
      </c>
      <c r="B20" s="13" t="s">
        <v>28</v>
      </c>
      <c r="C20" s="13" t="s">
        <v>25</v>
      </c>
      <c r="D20" s="14">
        <v>107.4</v>
      </c>
      <c r="E20" s="14">
        <v>123.1</v>
      </c>
      <c r="F20" s="14">
        <v>157.6</v>
      </c>
      <c r="G20" s="14">
        <v>158.30000000000001</v>
      </c>
      <c r="H20" s="14">
        <v>127.3</v>
      </c>
      <c r="I20" s="14">
        <v>90.9</v>
      </c>
      <c r="J20" s="14">
        <v>84.5</v>
      </c>
      <c r="K20" s="14">
        <v>73.900000000000006</v>
      </c>
      <c r="L20" s="14">
        <v>87.6</v>
      </c>
      <c r="M20" s="14">
        <v>96.5</v>
      </c>
      <c r="N20" s="14">
        <v>95.9</v>
      </c>
      <c r="O20" s="14">
        <v>98.9</v>
      </c>
      <c r="P20" s="14">
        <f t="shared" si="0"/>
        <v>1301.9000000000001</v>
      </c>
    </row>
    <row r="21" spans="1:16" x14ac:dyDescent="0.15">
      <c r="A21" s="12">
        <v>18</v>
      </c>
      <c r="B21" s="13" t="s">
        <v>29</v>
      </c>
      <c r="C21" s="13" t="s">
        <v>29</v>
      </c>
      <c r="D21" s="14">
        <v>109.8</v>
      </c>
      <c r="E21" s="14">
        <v>121.2</v>
      </c>
      <c r="F21" s="14">
        <v>162.80000000000001</v>
      </c>
      <c r="G21" s="14">
        <v>186.8</v>
      </c>
      <c r="H21" s="14">
        <v>179.9</v>
      </c>
      <c r="I21" s="14">
        <v>149.4</v>
      </c>
      <c r="J21" s="14">
        <v>141.19999999999999</v>
      </c>
      <c r="K21" s="14">
        <v>129.1</v>
      </c>
      <c r="L21" s="14">
        <v>120</v>
      </c>
      <c r="M21" s="14">
        <v>122.6</v>
      </c>
      <c r="N21" s="14">
        <v>113.3</v>
      </c>
      <c r="O21" s="14">
        <v>111.5</v>
      </c>
      <c r="P21" s="14">
        <f t="shared" si="0"/>
        <v>1647.5999999999997</v>
      </c>
    </row>
    <row r="22" spans="1:16" x14ac:dyDescent="0.15">
      <c r="A22" s="12">
        <v>19</v>
      </c>
      <c r="B22" s="13" t="s">
        <v>30</v>
      </c>
      <c r="C22" s="13" t="s">
        <v>30</v>
      </c>
      <c r="D22" s="14">
        <v>121.4</v>
      </c>
      <c r="E22" s="14">
        <v>132.69999999999999</v>
      </c>
      <c r="F22" s="14">
        <v>174</v>
      </c>
      <c r="G22" s="14">
        <v>184.3</v>
      </c>
      <c r="H22" s="14">
        <v>156.4</v>
      </c>
      <c r="I22" s="14">
        <v>130.1</v>
      </c>
      <c r="J22" s="14">
        <v>117.9</v>
      </c>
      <c r="K22" s="14">
        <v>106.1</v>
      </c>
      <c r="L22" s="14">
        <v>105.2</v>
      </c>
      <c r="M22" s="14">
        <v>119</v>
      </c>
      <c r="N22" s="14">
        <v>122.7</v>
      </c>
      <c r="O22" s="14">
        <v>126.5</v>
      </c>
      <c r="P22" s="14">
        <f t="shared" si="0"/>
        <v>1596.3000000000002</v>
      </c>
    </row>
    <row r="23" spans="1:16" x14ac:dyDescent="0.15">
      <c r="A23" s="12">
        <v>20</v>
      </c>
      <c r="B23" s="13" t="s">
        <v>31</v>
      </c>
      <c r="C23" s="13" t="s">
        <v>30</v>
      </c>
      <c r="D23" s="14">
        <v>124.3</v>
      </c>
      <c r="E23" s="14">
        <v>131.6</v>
      </c>
      <c r="F23" s="14">
        <v>164.7</v>
      </c>
      <c r="G23" s="14">
        <v>171.2</v>
      </c>
      <c r="H23" s="14">
        <v>165</v>
      </c>
      <c r="I23" s="14">
        <v>143</v>
      </c>
      <c r="J23" s="14">
        <v>134.30000000000001</v>
      </c>
      <c r="K23" s="14">
        <v>126.2</v>
      </c>
      <c r="L23" s="14">
        <v>122.7</v>
      </c>
      <c r="M23" s="14">
        <v>128.6</v>
      </c>
      <c r="N23" s="14">
        <v>124.2</v>
      </c>
      <c r="O23" s="14">
        <v>124.3</v>
      </c>
      <c r="P23" s="14">
        <f t="shared" si="0"/>
        <v>1660.1</v>
      </c>
    </row>
    <row r="24" spans="1:16" x14ac:dyDescent="0.15">
      <c r="A24" s="12">
        <v>21</v>
      </c>
      <c r="B24" s="13" t="s">
        <v>32</v>
      </c>
      <c r="C24" s="13" t="s">
        <v>30</v>
      </c>
      <c r="D24" s="14">
        <v>129</v>
      </c>
      <c r="E24" s="14">
        <v>143.30000000000001</v>
      </c>
      <c r="F24" s="14">
        <v>187.5</v>
      </c>
      <c r="G24" s="14">
        <v>186.7</v>
      </c>
      <c r="H24" s="14">
        <v>166.3</v>
      </c>
      <c r="I24" s="14">
        <v>144.69999999999999</v>
      </c>
      <c r="J24" s="14">
        <v>136.30000000000001</v>
      </c>
      <c r="K24" s="14">
        <v>126.1</v>
      </c>
      <c r="L24" s="14">
        <v>117.4</v>
      </c>
      <c r="M24" s="14">
        <v>126.4</v>
      </c>
      <c r="N24" s="14">
        <v>126.7</v>
      </c>
      <c r="O24" s="14">
        <v>130.5</v>
      </c>
      <c r="P24" s="14">
        <f t="shared" si="0"/>
        <v>1720.9</v>
      </c>
    </row>
    <row r="25" spans="1:16" x14ac:dyDescent="0.15">
      <c r="A25" s="12">
        <v>22</v>
      </c>
      <c r="B25" s="13" t="s">
        <v>33</v>
      </c>
      <c r="C25" s="13" t="s">
        <v>33</v>
      </c>
      <c r="D25" s="14">
        <v>106.2</v>
      </c>
      <c r="E25" s="14">
        <v>118.1</v>
      </c>
      <c r="F25" s="14">
        <v>149.30000000000001</v>
      </c>
      <c r="G25" s="14">
        <v>166.2</v>
      </c>
      <c r="H25" s="14">
        <v>155.6</v>
      </c>
      <c r="I25" s="14">
        <v>119.9</v>
      </c>
      <c r="J25" s="14">
        <v>115.2</v>
      </c>
      <c r="K25" s="14">
        <v>106.2</v>
      </c>
      <c r="L25" s="14">
        <v>105.3</v>
      </c>
      <c r="M25" s="14">
        <v>98.5</v>
      </c>
      <c r="N25" s="14">
        <v>91.7</v>
      </c>
      <c r="O25" s="14">
        <v>97.2</v>
      </c>
      <c r="P25" s="14">
        <f t="shared" si="0"/>
        <v>1429.4</v>
      </c>
    </row>
    <row r="26" spans="1:16" x14ac:dyDescent="0.15">
      <c r="A26" s="12">
        <v>23</v>
      </c>
      <c r="B26" s="13" t="s">
        <v>34</v>
      </c>
      <c r="C26" s="13" t="s">
        <v>34</v>
      </c>
      <c r="D26" s="14">
        <v>107.6</v>
      </c>
      <c r="E26" s="14">
        <v>115.6</v>
      </c>
      <c r="F26" s="14">
        <v>150.69999999999999</v>
      </c>
      <c r="G26" s="14">
        <v>170.4</v>
      </c>
      <c r="H26" s="14">
        <v>147.5</v>
      </c>
      <c r="I26" s="14">
        <v>117.7</v>
      </c>
      <c r="J26" s="14">
        <v>113.5</v>
      </c>
      <c r="K26" s="14">
        <v>102.6</v>
      </c>
      <c r="L26" s="14">
        <v>111</v>
      </c>
      <c r="M26" s="14">
        <v>120</v>
      </c>
      <c r="N26" s="14">
        <v>114.4</v>
      </c>
      <c r="O26" s="14">
        <v>107.8</v>
      </c>
      <c r="P26" s="14">
        <f t="shared" si="0"/>
        <v>1478.8</v>
      </c>
    </row>
    <row r="27" spans="1:16" x14ac:dyDescent="0.15">
      <c r="A27" s="12">
        <v>24</v>
      </c>
      <c r="B27" s="13" t="s">
        <v>35</v>
      </c>
      <c r="C27" s="13" t="s">
        <v>35</v>
      </c>
      <c r="D27" s="14">
        <v>113.3</v>
      </c>
      <c r="E27" s="14">
        <v>124.9</v>
      </c>
      <c r="F27" s="14">
        <v>159</v>
      </c>
      <c r="G27" s="14">
        <v>168</v>
      </c>
      <c r="H27" s="14">
        <v>149.30000000000001</v>
      </c>
      <c r="I27" s="14">
        <v>134.69999999999999</v>
      </c>
      <c r="J27" s="14">
        <v>128</v>
      </c>
      <c r="K27" s="14">
        <v>115.9</v>
      </c>
      <c r="L27" s="14">
        <v>104.9</v>
      </c>
      <c r="M27" s="14">
        <v>108.3</v>
      </c>
      <c r="N27" s="14">
        <v>102.6</v>
      </c>
      <c r="O27" s="14">
        <v>103.9</v>
      </c>
      <c r="P27" s="14">
        <f t="shared" si="0"/>
        <v>1512.8000000000002</v>
      </c>
    </row>
    <row r="28" spans="1:16" x14ac:dyDescent="0.15">
      <c r="A28" s="12">
        <v>25</v>
      </c>
      <c r="B28" s="13" t="s">
        <v>36</v>
      </c>
      <c r="C28" s="13" t="s">
        <v>36</v>
      </c>
      <c r="D28" s="14">
        <v>127.7</v>
      </c>
      <c r="E28" s="14">
        <v>136.80000000000001</v>
      </c>
      <c r="F28" s="14">
        <v>177.2</v>
      </c>
      <c r="G28" s="14">
        <v>187.8</v>
      </c>
      <c r="H28" s="14">
        <v>171.2</v>
      </c>
      <c r="I28" s="14">
        <v>146.19999999999999</v>
      </c>
      <c r="J28" s="14">
        <v>137.19999999999999</v>
      </c>
      <c r="K28" s="14">
        <v>130.5</v>
      </c>
      <c r="L28" s="14">
        <v>122.2</v>
      </c>
      <c r="M28" s="14">
        <v>130.1</v>
      </c>
      <c r="N28" s="14">
        <v>125.3</v>
      </c>
      <c r="O28" s="14">
        <v>123.2</v>
      </c>
      <c r="P28" s="14">
        <f t="shared" si="0"/>
        <v>1715.4</v>
      </c>
    </row>
    <row r="29" spans="1:16" x14ac:dyDescent="0.15">
      <c r="A29" s="12">
        <v>26</v>
      </c>
      <c r="B29" s="13" t="s">
        <v>37</v>
      </c>
      <c r="C29" s="13" t="s">
        <v>37</v>
      </c>
      <c r="D29" s="14">
        <v>151.4</v>
      </c>
      <c r="E29" s="14">
        <v>154.19999999999999</v>
      </c>
      <c r="F29" s="14">
        <v>198.2</v>
      </c>
      <c r="G29" s="14">
        <v>195</v>
      </c>
      <c r="H29" s="14">
        <v>157.69999999999999</v>
      </c>
      <c r="I29" s="14">
        <v>132.5</v>
      </c>
      <c r="J29" s="14">
        <v>132.1</v>
      </c>
      <c r="K29" s="14">
        <v>122</v>
      </c>
      <c r="L29" s="14">
        <v>120.4</v>
      </c>
      <c r="M29" s="14">
        <v>142.19999999999999</v>
      </c>
      <c r="N29" s="14">
        <v>142.30000000000001</v>
      </c>
      <c r="O29" s="14">
        <v>140.30000000000001</v>
      </c>
      <c r="P29" s="14">
        <f t="shared" si="0"/>
        <v>1788.3</v>
      </c>
    </row>
    <row r="30" spans="1:16" x14ac:dyDescent="0.15">
      <c r="A30" s="12">
        <v>27</v>
      </c>
      <c r="B30" s="13" t="s">
        <v>38</v>
      </c>
      <c r="C30" s="13" t="s">
        <v>38</v>
      </c>
      <c r="D30" s="14">
        <v>114.9</v>
      </c>
      <c r="E30" s="14">
        <v>116.5</v>
      </c>
      <c r="F30" s="14">
        <v>147.4</v>
      </c>
      <c r="G30" s="14">
        <v>152.9</v>
      </c>
      <c r="H30" s="14">
        <v>135.6</v>
      </c>
      <c r="I30" s="14">
        <v>102.1</v>
      </c>
      <c r="J30" s="14">
        <v>101.2</v>
      </c>
      <c r="K30" s="14">
        <v>96.1</v>
      </c>
      <c r="L30" s="14">
        <v>104.4</v>
      </c>
      <c r="M30" s="14">
        <v>116.8</v>
      </c>
      <c r="N30" s="14">
        <v>113.8</v>
      </c>
      <c r="O30" s="14">
        <v>109.3</v>
      </c>
      <c r="P30" s="14">
        <f t="shared" si="0"/>
        <v>1411</v>
      </c>
    </row>
    <row r="31" spans="1:16" x14ac:dyDescent="0.15">
      <c r="A31" s="12">
        <v>28</v>
      </c>
      <c r="B31" s="13" t="s">
        <v>39</v>
      </c>
      <c r="C31" s="13" t="s">
        <v>39</v>
      </c>
      <c r="D31" s="14">
        <v>134.80000000000001</v>
      </c>
      <c r="E31" s="14">
        <v>143.69999999999999</v>
      </c>
      <c r="F31" s="14">
        <v>192.1</v>
      </c>
      <c r="G31" s="14">
        <v>196.5</v>
      </c>
      <c r="H31" s="14">
        <v>178.4</v>
      </c>
      <c r="I31" s="14">
        <v>154.69999999999999</v>
      </c>
      <c r="J31" s="14">
        <v>150.6</v>
      </c>
      <c r="K31" s="14">
        <v>131.69999999999999</v>
      </c>
      <c r="L31" s="14">
        <v>121.8</v>
      </c>
      <c r="M31" s="14">
        <v>131.19999999999999</v>
      </c>
      <c r="N31" s="14">
        <v>132.69999999999999</v>
      </c>
      <c r="O31" s="14">
        <v>133.69999999999999</v>
      </c>
      <c r="P31" s="14">
        <f t="shared" si="0"/>
        <v>1801.9</v>
      </c>
    </row>
    <row r="32" spans="1:16" x14ac:dyDescent="0.15">
      <c r="A32" s="12">
        <v>29</v>
      </c>
      <c r="B32" s="13" t="s">
        <v>40</v>
      </c>
      <c r="C32" s="13" t="s">
        <v>40</v>
      </c>
      <c r="D32" s="14">
        <v>125</v>
      </c>
      <c r="E32" s="14">
        <v>128.6</v>
      </c>
      <c r="F32" s="14">
        <v>172.2</v>
      </c>
      <c r="G32" s="14">
        <v>170</v>
      </c>
      <c r="H32" s="14">
        <v>151</v>
      </c>
      <c r="I32" s="14">
        <v>124.9</v>
      </c>
      <c r="J32" s="14">
        <v>121.3</v>
      </c>
      <c r="K32" s="14">
        <v>110</v>
      </c>
      <c r="L32" s="14">
        <v>113.1</v>
      </c>
      <c r="M32" s="14">
        <v>122.1</v>
      </c>
      <c r="N32" s="14">
        <v>122.2</v>
      </c>
      <c r="O32" s="14">
        <v>118.6</v>
      </c>
      <c r="P32" s="14">
        <f t="shared" si="0"/>
        <v>1578.9999999999998</v>
      </c>
    </row>
    <row r="33" spans="1:17" x14ac:dyDescent="0.15">
      <c r="A33" s="12">
        <v>30</v>
      </c>
      <c r="B33" s="13" t="s">
        <v>41</v>
      </c>
      <c r="C33" s="13" t="s">
        <v>132</v>
      </c>
      <c r="D33" s="14">
        <v>129.19999999999999</v>
      </c>
      <c r="E33" s="14">
        <v>139</v>
      </c>
      <c r="F33" s="14">
        <v>182.3</v>
      </c>
      <c r="G33" s="14">
        <v>189.1</v>
      </c>
      <c r="H33" s="14">
        <v>166.8</v>
      </c>
      <c r="I33" s="14">
        <v>147.30000000000001</v>
      </c>
      <c r="J33" s="14">
        <v>143</v>
      </c>
      <c r="K33" s="14">
        <v>130.30000000000001</v>
      </c>
      <c r="L33" s="14">
        <v>122.1</v>
      </c>
      <c r="M33" s="14">
        <v>129.30000000000001</v>
      </c>
      <c r="N33" s="14">
        <v>124.9</v>
      </c>
      <c r="O33" s="14">
        <v>126.1</v>
      </c>
      <c r="P33" s="14">
        <f t="shared" si="0"/>
        <v>1729.3999999999999</v>
      </c>
    </row>
    <row r="34" spans="1:17" x14ac:dyDescent="0.15">
      <c r="A34" s="12">
        <v>31</v>
      </c>
      <c r="B34" s="18" t="s">
        <v>142</v>
      </c>
      <c r="C34" s="13" t="s">
        <v>129</v>
      </c>
      <c r="D34" s="14">
        <v>126.6</v>
      </c>
      <c r="E34" s="14">
        <v>135.1</v>
      </c>
      <c r="F34" s="14">
        <v>172.6</v>
      </c>
      <c r="G34" s="14">
        <v>141.9</v>
      </c>
      <c r="H34" s="14">
        <v>128.9</v>
      </c>
      <c r="I34" s="14">
        <v>109.2</v>
      </c>
      <c r="J34" s="14">
        <v>116.5</v>
      </c>
      <c r="K34" s="14">
        <v>124.9</v>
      </c>
      <c r="L34" s="14">
        <v>100.3</v>
      </c>
      <c r="M34" s="14">
        <v>127.9</v>
      </c>
      <c r="N34" s="14">
        <v>132</v>
      </c>
      <c r="O34" s="14">
        <v>138.30000000000001</v>
      </c>
      <c r="P34" s="14">
        <f t="shared" si="0"/>
        <v>1554.2</v>
      </c>
    </row>
    <row r="35" spans="1:17" x14ac:dyDescent="0.15">
      <c r="A35" s="12">
        <v>32</v>
      </c>
      <c r="B35" s="13" t="s">
        <v>42</v>
      </c>
      <c r="C35" s="13" t="s">
        <v>42</v>
      </c>
      <c r="D35" s="14">
        <v>147</v>
      </c>
      <c r="E35" s="14">
        <v>155.5</v>
      </c>
      <c r="F35" s="14">
        <v>206.7</v>
      </c>
      <c r="G35" s="14">
        <v>208.2</v>
      </c>
      <c r="H35" s="14">
        <v>180.1</v>
      </c>
      <c r="I35" s="14">
        <v>158.4</v>
      </c>
      <c r="J35" s="14">
        <v>154.5</v>
      </c>
      <c r="K35" s="14">
        <v>138.9</v>
      </c>
      <c r="L35" s="14">
        <v>127.8</v>
      </c>
      <c r="M35" s="14">
        <v>142.9</v>
      </c>
      <c r="N35" s="14">
        <v>148.5</v>
      </c>
      <c r="O35" s="14">
        <v>149.80000000000001</v>
      </c>
      <c r="P35" s="14">
        <f t="shared" si="0"/>
        <v>1918.3000000000002</v>
      </c>
    </row>
    <row r="36" spans="1:17" x14ac:dyDescent="0.15">
      <c r="A36" s="12">
        <v>33</v>
      </c>
      <c r="B36" s="13" t="s">
        <v>43</v>
      </c>
      <c r="C36" s="13" t="s">
        <v>43</v>
      </c>
      <c r="D36" s="14">
        <v>137.30000000000001</v>
      </c>
      <c r="E36" s="14">
        <v>138.1</v>
      </c>
      <c r="F36" s="14">
        <v>179.1</v>
      </c>
      <c r="G36" s="14">
        <v>177.3</v>
      </c>
      <c r="H36" s="14">
        <v>156.4</v>
      </c>
      <c r="I36" s="14">
        <v>131.6</v>
      </c>
      <c r="J36" s="14">
        <v>130.30000000000001</v>
      </c>
      <c r="K36" s="14">
        <v>116.4</v>
      </c>
      <c r="L36" s="14">
        <v>104.1</v>
      </c>
      <c r="M36" s="14">
        <v>124.3</v>
      </c>
      <c r="N36" s="14">
        <v>129.5</v>
      </c>
      <c r="O36" s="14">
        <v>134.9</v>
      </c>
      <c r="P36" s="14">
        <f t="shared" si="0"/>
        <v>1659.3</v>
      </c>
    </row>
    <row r="37" spans="1:17" x14ac:dyDescent="0.15">
      <c r="A37" s="12">
        <v>34</v>
      </c>
      <c r="B37" s="13" t="s">
        <v>44</v>
      </c>
      <c r="C37" s="13" t="s">
        <v>44</v>
      </c>
      <c r="D37" s="14">
        <v>154.4</v>
      </c>
      <c r="E37" s="14">
        <v>154.69999999999999</v>
      </c>
      <c r="F37" s="14">
        <v>194.7</v>
      </c>
      <c r="G37" s="14">
        <v>194.2</v>
      </c>
      <c r="H37" s="14">
        <v>176.6</v>
      </c>
      <c r="I37" s="14">
        <v>146.4</v>
      </c>
      <c r="J37" s="14">
        <v>144.9</v>
      </c>
      <c r="K37" s="14">
        <v>132.5</v>
      </c>
      <c r="L37" s="14">
        <v>120</v>
      </c>
      <c r="M37" s="14">
        <v>136.30000000000001</v>
      </c>
      <c r="N37" s="14">
        <v>146.30000000000001</v>
      </c>
      <c r="O37" s="14">
        <v>152.80000000000001</v>
      </c>
      <c r="P37" s="14">
        <f t="shared" si="0"/>
        <v>1853.8</v>
      </c>
    </row>
    <row r="38" spans="1:17" x14ac:dyDescent="0.15">
      <c r="A38" s="12">
        <v>35</v>
      </c>
      <c r="B38" s="13" t="s">
        <v>45</v>
      </c>
      <c r="C38" s="13" t="s">
        <v>45</v>
      </c>
      <c r="D38" s="599">
        <v>139.4</v>
      </c>
      <c r="E38" s="599">
        <v>147.9</v>
      </c>
      <c r="F38" s="599">
        <v>171.1</v>
      </c>
      <c r="G38" s="599">
        <v>177.7</v>
      </c>
      <c r="H38" s="599">
        <v>155.69999999999999</v>
      </c>
      <c r="I38" s="599">
        <v>154.4</v>
      </c>
      <c r="J38" s="599">
        <v>152.80000000000001</v>
      </c>
      <c r="K38" s="599">
        <v>138</v>
      </c>
      <c r="L38" s="599">
        <v>117.8</v>
      </c>
      <c r="M38" s="599">
        <v>114</v>
      </c>
      <c r="N38" s="599">
        <v>133</v>
      </c>
      <c r="O38" s="599">
        <v>143.9</v>
      </c>
      <c r="P38" s="599">
        <f t="shared" si="0"/>
        <v>1745.7</v>
      </c>
      <c r="Q38" s="600" t="s">
        <v>892</v>
      </c>
    </row>
    <row r="39" spans="1:17" x14ac:dyDescent="0.15">
      <c r="A39" s="12">
        <v>36</v>
      </c>
      <c r="B39" s="13" t="s">
        <v>46</v>
      </c>
      <c r="C39" s="13" t="s">
        <v>45</v>
      </c>
      <c r="D39" s="14">
        <v>128.6</v>
      </c>
      <c r="E39" s="14">
        <v>137.9</v>
      </c>
      <c r="F39" s="14">
        <v>180.7</v>
      </c>
      <c r="G39" s="14">
        <v>182.1</v>
      </c>
      <c r="H39" s="14">
        <v>175.6</v>
      </c>
      <c r="I39" s="14">
        <v>164.1</v>
      </c>
      <c r="J39" s="14">
        <v>162.9</v>
      </c>
      <c r="K39" s="14">
        <v>153.19999999999999</v>
      </c>
      <c r="L39" s="14">
        <v>134.69999999999999</v>
      </c>
      <c r="M39" s="14">
        <v>128.19999999999999</v>
      </c>
      <c r="N39" s="14">
        <v>120.2</v>
      </c>
      <c r="O39" s="14">
        <v>124.6</v>
      </c>
      <c r="P39" s="14">
        <f t="shared" si="0"/>
        <v>1792.8000000000002</v>
      </c>
    </row>
    <row r="40" spans="1:17" x14ac:dyDescent="0.15">
      <c r="A40" s="12">
        <v>37</v>
      </c>
      <c r="B40" s="13" t="s">
        <v>47</v>
      </c>
      <c r="C40" s="13" t="s">
        <v>47</v>
      </c>
      <c r="D40" s="14">
        <v>161.9</v>
      </c>
      <c r="E40" s="14">
        <v>158.4</v>
      </c>
      <c r="F40" s="14">
        <v>196.6</v>
      </c>
      <c r="G40" s="14">
        <v>186.3</v>
      </c>
      <c r="H40" s="14">
        <v>172.3</v>
      </c>
      <c r="I40" s="14">
        <v>150.69999999999999</v>
      </c>
      <c r="J40" s="14">
        <v>151.9</v>
      </c>
      <c r="K40" s="14">
        <v>145.19999999999999</v>
      </c>
      <c r="L40" s="14">
        <v>124.7</v>
      </c>
      <c r="M40" s="14">
        <v>138.19999999999999</v>
      </c>
      <c r="N40" s="14">
        <v>149.69999999999999</v>
      </c>
      <c r="O40" s="14">
        <v>155.5</v>
      </c>
      <c r="P40" s="14">
        <f t="shared" si="0"/>
        <v>1891.4000000000003</v>
      </c>
    </row>
    <row r="41" spans="1:17" x14ac:dyDescent="0.15">
      <c r="A41" s="12">
        <v>38</v>
      </c>
      <c r="B41" s="13" t="s">
        <v>48</v>
      </c>
      <c r="C41" s="13" t="s">
        <v>47</v>
      </c>
      <c r="D41" s="14">
        <v>145.6</v>
      </c>
      <c r="E41" s="14">
        <v>148.30000000000001</v>
      </c>
      <c r="F41" s="14">
        <v>190.6</v>
      </c>
      <c r="G41" s="14">
        <v>192</v>
      </c>
      <c r="H41" s="14">
        <v>177.6</v>
      </c>
      <c r="I41" s="14">
        <v>153.4</v>
      </c>
      <c r="J41" s="14">
        <v>150.69999999999999</v>
      </c>
      <c r="K41" s="14">
        <v>137.5</v>
      </c>
      <c r="L41" s="14">
        <v>121.1</v>
      </c>
      <c r="M41" s="14">
        <v>130.80000000000001</v>
      </c>
      <c r="N41" s="14">
        <v>138.19999999999999</v>
      </c>
      <c r="O41" s="14">
        <v>141.69999999999999</v>
      </c>
      <c r="P41" s="14">
        <f t="shared" si="0"/>
        <v>1827.5</v>
      </c>
    </row>
    <row r="42" spans="1:17" x14ac:dyDescent="0.15">
      <c r="A42" s="12">
        <v>39</v>
      </c>
      <c r="B42" s="13" t="s">
        <v>49</v>
      </c>
      <c r="C42" s="13" t="s">
        <v>131</v>
      </c>
      <c r="D42" s="14">
        <v>125.8</v>
      </c>
      <c r="E42" s="14">
        <v>130.5</v>
      </c>
      <c r="F42" s="14">
        <v>163.6</v>
      </c>
      <c r="G42" s="14">
        <v>160.69999999999999</v>
      </c>
      <c r="H42" s="14">
        <v>150.69999999999999</v>
      </c>
      <c r="I42" s="14">
        <v>133.5</v>
      </c>
      <c r="J42" s="14">
        <v>131.80000000000001</v>
      </c>
      <c r="K42" s="14">
        <v>123.5</v>
      </c>
      <c r="L42" s="14">
        <v>109.1</v>
      </c>
      <c r="M42" s="14">
        <v>111.8</v>
      </c>
      <c r="N42" s="14">
        <v>114.6</v>
      </c>
      <c r="O42" s="14">
        <v>121.2</v>
      </c>
      <c r="P42" s="14">
        <f t="shared" si="0"/>
        <v>1576.7999999999997</v>
      </c>
    </row>
    <row r="43" spans="1:17" x14ac:dyDescent="0.15">
      <c r="A43" s="12">
        <v>40</v>
      </c>
      <c r="B43" s="13" t="s">
        <v>50</v>
      </c>
      <c r="C43" s="13" t="s">
        <v>50</v>
      </c>
      <c r="D43" s="14">
        <v>144</v>
      </c>
      <c r="E43" s="14">
        <v>174.3</v>
      </c>
      <c r="F43" s="14">
        <v>233.2</v>
      </c>
      <c r="G43" s="14">
        <v>243.5</v>
      </c>
      <c r="H43" s="14">
        <v>206.8</v>
      </c>
      <c r="I43" s="14">
        <v>179.5</v>
      </c>
      <c r="J43" s="14">
        <v>169.5</v>
      </c>
      <c r="K43" s="14">
        <v>151</v>
      </c>
      <c r="L43" s="14">
        <v>130.1</v>
      </c>
      <c r="M43" s="14">
        <v>126.6</v>
      </c>
      <c r="N43" s="14">
        <v>126.5</v>
      </c>
      <c r="O43" s="14">
        <v>133</v>
      </c>
      <c r="P43" s="14">
        <f t="shared" si="0"/>
        <v>2017.9999999999998</v>
      </c>
    </row>
    <row r="44" spans="1:17" x14ac:dyDescent="0.15">
      <c r="A44" s="12">
        <v>41</v>
      </c>
      <c r="B44" s="13" t="s">
        <v>51</v>
      </c>
      <c r="C44" s="13" t="s">
        <v>51</v>
      </c>
      <c r="D44" s="14">
        <v>129.5</v>
      </c>
      <c r="E44" s="14">
        <v>138.4</v>
      </c>
      <c r="F44" s="14">
        <v>181.1</v>
      </c>
      <c r="G44" s="14">
        <v>195.9</v>
      </c>
      <c r="H44" s="14">
        <v>188.7</v>
      </c>
      <c r="I44" s="14">
        <v>169</v>
      </c>
      <c r="J44" s="14">
        <v>163.6</v>
      </c>
      <c r="K44" s="14">
        <v>155.4</v>
      </c>
      <c r="L44" s="14">
        <v>135.5</v>
      </c>
      <c r="M44" s="14">
        <v>133</v>
      </c>
      <c r="N44" s="14">
        <v>130</v>
      </c>
      <c r="O44" s="14">
        <v>133.4</v>
      </c>
      <c r="P44" s="14">
        <f t="shared" si="0"/>
        <v>1853.5</v>
      </c>
    </row>
    <row r="45" spans="1:17" x14ac:dyDescent="0.15">
      <c r="A45" s="12">
        <v>42</v>
      </c>
      <c r="B45" s="13" t="s">
        <v>52</v>
      </c>
      <c r="C45" s="13" t="s">
        <v>52</v>
      </c>
      <c r="D45" s="14">
        <v>151.4</v>
      </c>
      <c r="E45" s="14">
        <v>151.80000000000001</v>
      </c>
      <c r="F45" s="14">
        <v>194.9</v>
      </c>
      <c r="G45" s="14">
        <v>194.2</v>
      </c>
      <c r="H45" s="14">
        <v>184.3</v>
      </c>
      <c r="I45" s="14">
        <v>163.80000000000001</v>
      </c>
      <c r="J45" s="14">
        <v>158</v>
      </c>
      <c r="K45" s="14">
        <v>144.9</v>
      </c>
      <c r="L45" s="14">
        <v>131.9</v>
      </c>
      <c r="M45" s="14">
        <v>127.6</v>
      </c>
      <c r="N45" s="14">
        <v>143.5</v>
      </c>
      <c r="O45" s="14">
        <v>159.5</v>
      </c>
      <c r="P45" s="14">
        <f t="shared" si="0"/>
        <v>1905.8</v>
      </c>
    </row>
    <row r="46" spans="1:17" x14ac:dyDescent="0.15">
      <c r="A46" s="12">
        <v>43</v>
      </c>
      <c r="B46" s="13" t="s">
        <v>53</v>
      </c>
      <c r="C46" s="13" t="s">
        <v>53</v>
      </c>
      <c r="D46" s="14">
        <v>152.80000000000001</v>
      </c>
      <c r="E46" s="14">
        <v>167.4</v>
      </c>
      <c r="F46" s="14">
        <v>211.8</v>
      </c>
      <c r="G46" s="14">
        <v>204.4</v>
      </c>
      <c r="H46" s="14">
        <v>176.1</v>
      </c>
      <c r="I46" s="14">
        <v>155.80000000000001</v>
      </c>
      <c r="J46" s="14">
        <v>147.80000000000001</v>
      </c>
      <c r="K46" s="14">
        <v>133.19999999999999</v>
      </c>
      <c r="L46" s="14">
        <v>116.8</v>
      </c>
      <c r="M46" s="14">
        <v>124.2</v>
      </c>
      <c r="N46" s="14">
        <v>136.6</v>
      </c>
      <c r="O46" s="14">
        <v>148.1</v>
      </c>
      <c r="P46" s="14">
        <f t="shared" si="0"/>
        <v>1874.9999999999998</v>
      </c>
    </row>
    <row r="47" spans="1:17" x14ac:dyDescent="0.15">
      <c r="A47" s="12">
        <v>44</v>
      </c>
      <c r="B47" s="18" t="s">
        <v>54</v>
      </c>
      <c r="C47" s="18"/>
      <c r="D47" s="14" t="s">
        <v>575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f t="shared" si="0"/>
        <v>0</v>
      </c>
    </row>
    <row r="48" spans="1:17" x14ac:dyDescent="0.15">
      <c r="A48" s="12">
        <v>45</v>
      </c>
      <c r="B48" s="13" t="s">
        <v>55</v>
      </c>
      <c r="C48" s="13" t="s">
        <v>55</v>
      </c>
      <c r="D48" s="14">
        <v>140</v>
      </c>
      <c r="E48" s="14">
        <v>150.4</v>
      </c>
      <c r="F48" s="14">
        <v>205.8</v>
      </c>
      <c r="G48" s="14">
        <v>215.7</v>
      </c>
      <c r="H48" s="14">
        <v>190.4</v>
      </c>
      <c r="I48" s="14">
        <v>157.5</v>
      </c>
      <c r="J48" s="14">
        <v>160.4</v>
      </c>
      <c r="K48" s="14">
        <v>154</v>
      </c>
      <c r="L48" s="14">
        <v>138.1</v>
      </c>
      <c r="M48" s="14">
        <v>122.6</v>
      </c>
      <c r="N48" s="14">
        <v>128</v>
      </c>
      <c r="O48" s="14">
        <v>142.19999999999999</v>
      </c>
      <c r="P48" s="14">
        <f t="shared" si="0"/>
        <v>1905.1</v>
      </c>
    </row>
    <row r="49" spans="1:16" x14ac:dyDescent="0.15">
      <c r="A49" s="12">
        <v>46</v>
      </c>
      <c r="B49" s="13" t="s">
        <v>56</v>
      </c>
      <c r="C49" s="13" t="s">
        <v>55</v>
      </c>
      <c r="D49" s="14">
        <v>118.4</v>
      </c>
      <c r="E49" s="14">
        <v>137.1</v>
      </c>
      <c r="F49" s="14">
        <v>174.9</v>
      </c>
      <c r="G49" s="14">
        <v>176.9</v>
      </c>
      <c r="H49" s="14">
        <v>139.4</v>
      </c>
      <c r="I49" s="14">
        <v>95.1</v>
      </c>
      <c r="J49" s="14">
        <v>90.1</v>
      </c>
      <c r="K49" s="14">
        <v>84.9</v>
      </c>
      <c r="L49" s="14">
        <v>102.2</v>
      </c>
      <c r="M49" s="14">
        <v>109.3</v>
      </c>
      <c r="N49" s="14">
        <v>103</v>
      </c>
      <c r="O49" s="14">
        <v>108.8</v>
      </c>
      <c r="P49" s="14">
        <f t="shared" si="0"/>
        <v>1440.1</v>
      </c>
    </row>
    <row r="50" spans="1:16" x14ac:dyDescent="0.15">
      <c r="A50" s="12">
        <v>47</v>
      </c>
      <c r="B50" s="18" t="s">
        <v>109</v>
      </c>
      <c r="C50" s="18" t="s">
        <v>109</v>
      </c>
      <c r="D50" s="14">
        <v>135.6</v>
      </c>
      <c r="E50" s="14">
        <v>143.6</v>
      </c>
      <c r="F50" s="14">
        <v>183.6</v>
      </c>
      <c r="G50" s="14">
        <v>183.3</v>
      </c>
      <c r="H50" s="14">
        <v>173.7</v>
      </c>
      <c r="I50" s="14">
        <v>151.4</v>
      </c>
      <c r="J50" s="14">
        <v>150.30000000000001</v>
      </c>
      <c r="K50" s="14">
        <v>151.6</v>
      </c>
      <c r="L50" s="14">
        <v>128.6</v>
      </c>
      <c r="M50" s="14">
        <v>122.8</v>
      </c>
      <c r="N50" s="14">
        <v>124.4</v>
      </c>
      <c r="O50" s="14">
        <v>133.6</v>
      </c>
      <c r="P50" s="14">
        <f t="shared" si="0"/>
        <v>1782.4999999999998</v>
      </c>
    </row>
    <row r="51" spans="1:16" x14ac:dyDescent="0.15">
      <c r="A51" s="12">
        <v>48</v>
      </c>
      <c r="B51" s="13" t="s">
        <v>57</v>
      </c>
      <c r="C51" s="18" t="s">
        <v>109</v>
      </c>
      <c r="D51" s="14" t="s">
        <v>576</v>
      </c>
      <c r="E51" s="14" t="s">
        <v>576</v>
      </c>
      <c r="F51" s="14" t="s">
        <v>576</v>
      </c>
      <c r="G51" s="14" t="s">
        <v>576</v>
      </c>
      <c r="H51" s="14" t="s">
        <v>576</v>
      </c>
      <c r="I51" s="14" t="s">
        <v>576</v>
      </c>
      <c r="J51" s="14" t="s">
        <v>576</v>
      </c>
      <c r="K51" s="14" t="s">
        <v>576</v>
      </c>
      <c r="L51" s="14" t="s">
        <v>576</v>
      </c>
      <c r="M51" s="14" t="s">
        <v>576</v>
      </c>
      <c r="N51" s="14" t="s">
        <v>576</v>
      </c>
      <c r="O51" s="14" t="s">
        <v>576</v>
      </c>
      <c r="P51" s="14">
        <f t="shared" si="0"/>
        <v>0</v>
      </c>
    </row>
    <row r="52" spans="1:16" x14ac:dyDescent="0.15">
      <c r="A52" s="12">
        <v>49</v>
      </c>
      <c r="B52" s="13" t="s">
        <v>58</v>
      </c>
      <c r="C52" s="18" t="s">
        <v>109</v>
      </c>
      <c r="D52" s="14" t="s">
        <v>575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f t="shared" si="0"/>
        <v>0</v>
      </c>
    </row>
    <row r="53" spans="1:16" x14ac:dyDescent="0.15">
      <c r="A53" s="12">
        <v>50</v>
      </c>
      <c r="B53" s="13" t="s">
        <v>59</v>
      </c>
      <c r="C53" s="13" t="s">
        <v>59</v>
      </c>
      <c r="D53" s="14">
        <v>137.80000000000001</v>
      </c>
      <c r="E53" s="14">
        <v>132.4</v>
      </c>
      <c r="F53" s="14">
        <v>169</v>
      </c>
      <c r="G53" s="14">
        <v>157.30000000000001</v>
      </c>
      <c r="H53" s="14">
        <v>147</v>
      </c>
      <c r="I53" s="14">
        <v>126.7</v>
      </c>
      <c r="J53" s="14">
        <v>133</v>
      </c>
      <c r="K53" s="14">
        <v>126</v>
      </c>
      <c r="L53" s="14">
        <v>122.8</v>
      </c>
      <c r="M53" s="14">
        <v>125.1</v>
      </c>
      <c r="N53" s="14">
        <v>136.19999999999999</v>
      </c>
      <c r="O53" s="14">
        <v>140.4</v>
      </c>
      <c r="P53" s="14">
        <f t="shared" si="0"/>
        <v>1653.7</v>
      </c>
    </row>
    <row r="54" spans="1:16" x14ac:dyDescent="0.15">
      <c r="A54" s="12">
        <v>51</v>
      </c>
      <c r="B54" s="13" t="s">
        <v>60</v>
      </c>
      <c r="C54" s="13" t="s">
        <v>59</v>
      </c>
      <c r="D54" s="14">
        <v>146.5</v>
      </c>
      <c r="E54" s="14">
        <v>147.80000000000001</v>
      </c>
      <c r="F54" s="14">
        <v>185.5</v>
      </c>
      <c r="G54" s="14">
        <v>178.4</v>
      </c>
      <c r="H54" s="14">
        <v>154.4</v>
      </c>
      <c r="I54" s="14">
        <v>129.69999999999999</v>
      </c>
      <c r="J54" s="14">
        <v>130.19999999999999</v>
      </c>
      <c r="K54" s="14">
        <v>127.3</v>
      </c>
      <c r="L54" s="14">
        <v>122.5</v>
      </c>
      <c r="M54" s="14">
        <v>126.8</v>
      </c>
      <c r="N54" s="14">
        <v>135.4</v>
      </c>
      <c r="O54" s="14">
        <v>151.9</v>
      </c>
      <c r="P54" s="14">
        <f t="shared" si="0"/>
        <v>1736.4</v>
      </c>
    </row>
    <row r="55" spans="1:16" x14ac:dyDescent="0.15">
      <c r="A55" s="12">
        <v>52</v>
      </c>
      <c r="B55" s="13" t="s">
        <v>61</v>
      </c>
      <c r="C55" s="13" t="s">
        <v>62</v>
      </c>
      <c r="D55" s="14">
        <v>141.69999999999999</v>
      </c>
      <c r="E55" s="14">
        <v>144.80000000000001</v>
      </c>
      <c r="F55" s="14">
        <v>187.9</v>
      </c>
      <c r="G55" s="14">
        <v>181</v>
      </c>
      <c r="H55" s="14">
        <v>163.1</v>
      </c>
      <c r="I55" s="14">
        <v>144.4</v>
      </c>
      <c r="J55" s="14">
        <v>141.9</v>
      </c>
      <c r="K55" s="14">
        <v>140</v>
      </c>
      <c r="L55" s="14">
        <v>124.2</v>
      </c>
      <c r="M55" s="14">
        <v>123.6</v>
      </c>
      <c r="N55" s="14">
        <v>124.8</v>
      </c>
      <c r="O55" s="14">
        <v>131.9</v>
      </c>
      <c r="P55" s="14">
        <f t="shared" si="0"/>
        <v>1749.3</v>
      </c>
    </row>
    <row r="56" spans="1:16" x14ac:dyDescent="0.15">
      <c r="A56" s="12">
        <v>53</v>
      </c>
      <c r="B56" s="13" t="s">
        <v>62</v>
      </c>
      <c r="C56" s="13" t="s">
        <v>62</v>
      </c>
      <c r="D56" s="14">
        <v>140.19999999999999</v>
      </c>
      <c r="E56" s="14">
        <v>140.9</v>
      </c>
      <c r="F56" s="14">
        <v>168.8</v>
      </c>
      <c r="G56" s="14">
        <v>136.19999999999999</v>
      </c>
      <c r="H56" s="14">
        <v>135.69999999999999</v>
      </c>
      <c r="I56" s="14">
        <v>107.5</v>
      </c>
      <c r="J56" s="14">
        <v>102.1</v>
      </c>
      <c r="K56" s="14">
        <v>122.6</v>
      </c>
      <c r="L56" s="14">
        <v>108.1</v>
      </c>
      <c r="M56" s="14">
        <v>120.4</v>
      </c>
      <c r="N56" s="14">
        <v>134.19999999999999</v>
      </c>
      <c r="O56" s="14">
        <v>146.9</v>
      </c>
      <c r="P56" s="14">
        <f t="shared" si="0"/>
        <v>1563.6000000000001</v>
      </c>
    </row>
    <row r="57" spans="1:16" x14ac:dyDescent="0.15">
      <c r="A57" s="12">
        <v>54</v>
      </c>
      <c r="B57" s="13" t="s">
        <v>63</v>
      </c>
      <c r="C57" s="13" t="s">
        <v>63</v>
      </c>
      <c r="D57" s="14">
        <v>143.19999999999999</v>
      </c>
      <c r="E57" s="14">
        <v>142.1</v>
      </c>
      <c r="F57" s="14">
        <v>178.8</v>
      </c>
      <c r="G57" s="14">
        <v>175.2</v>
      </c>
      <c r="H57" s="14">
        <v>162.30000000000001</v>
      </c>
      <c r="I57" s="14">
        <v>153.1</v>
      </c>
      <c r="J57" s="14">
        <v>153.4</v>
      </c>
      <c r="K57" s="14">
        <v>152.9</v>
      </c>
      <c r="L57" s="14">
        <v>133.1</v>
      </c>
      <c r="M57" s="14">
        <v>127.6</v>
      </c>
      <c r="N57" s="14">
        <v>135.80000000000001</v>
      </c>
      <c r="O57" s="14">
        <v>150.5</v>
      </c>
      <c r="P57" s="14">
        <f t="shared" si="0"/>
        <v>1807.9999999999998</v>
      </c>
    </row>
    <row r="58" spans="1:16" x14ac:dyDescent="0.15">
      <c r="A58" s="12">
        <v>55</v>
      </c>
      <c r="B58" s="13" t="s">
        <v>64</v>
      </c>
      <c r="C58" s="13" t="s">
        <v>63</v>
      </c>
      <c r="D58" s="14" t="s">
        <v>575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f t="shared" si="0"/>
        <v>0</v>
      </c>
    </row>
    <row r="59" spans="1:16" x14ac:dyDescent="0.15">
      <c r="A59" s="12">
        <v>56</v>
      </c>
      <c r="B59" s="13" t="s">
        <v>65</v>
      </c>
      <c r="C59" s="13" t="s">
        <v>63</v>
      </c>
      <c r="D59" s="14">
        <v>137.9</v>
      </c>
      <c r="E59" s="14">
        <v>143.69999999999999</v>
      </c>
      <c r="F59" s="14">
        <v>178.8</v>
      </c>
      <c r="G59" s="14">
        <v>174.1</v>
      </c>
      <c r="H59" s="14">
        <v>164.7</v>
      </c>
      <c r="I59" s="14">
        <v>161.80000000000001</v>
      </c>
      <c r="J59" s="14">
        <v>159.9</v>
      </c>
      <c r="K59" s="14">
        <v>160.4</v>
      </c>
      <c r="L59" s="14">
        <v>131.1</v>
      </c>
      <c r="M59" s="14">
        <v>114.9</v>
      </c>
      <c r="N59" s="14">
        <v>129.1</v>
      </c>
      <c r="O59" s="14">
        <v>144.30000000000001</v>
      </c>
      <c r="P59" s="14">
        <f t="shared" si="0"/>
        <v>1800.7</v>
      </c>
    </row>
    <row r="60" spans="1:16" x14ac:dyDescent="0.15">
      <c r="A60" s="12">
        <v>57</v>
      </c>
      <c r="B60" s="13" t="s">
        <v>66</v>
      </c>
      <c r="C60" s="13" t="s">
        <v>63</v>
      </c>
      <c r="D60" s="14" t="s">
        <v>575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f t="shared" si="0"/>
        <v>0</v>
      </c>
    </row>
    <row r="61" spans="1:16" x14ac:dyDescent="0.15">
      <c r="A61" s="12">
        <v>58</v>
      </c>
      <c r="B61" s="13" t="s">
        <v>67</v>
      </c>
      <c r="C61" s="13" t="s">
        <v>63</v>
      </c>
      <c r="D61" s="14" t="s">
        <v>576</v>
      </c>
      <c r="E61" s="14" t="s">
        <v>576</v>
      </c>
      <c r="F61" s="14" t="s">
        <v>576</v>
      </c>
      <c r="G61" s="14" t="s">
        <v>576</v>
      </c>
      <c r="H61" s="14" t="s">
        <v>576</v>
      </c>
      <c r="I61" s="14" t="s">
        <v>576</v>
      </c>
      <c r="J61" s="14" t="s">
        <v>576</v>
      </c>
      <c r="K61" s="14" t="s">
        <v>576</v>
      </c>
      <c r="L61" s="14" t="s">
        <v>576</v>
      </c>
      <c r="M61" s="14" t="s">
        <v>576</v>
      </c>
      <c r="N61" s="14" t="s">
        <v>576</v>
      </c>
      <c r="O61" s="14" t="s">
        <v>576</v>
      </c>
      <c r="P61" s="14">
        <f t="shared" si="0"/>
        <v>0</v>
      </c>
    </row>
    <row r="62" spans="1:16" x14ac:dyDescent="0.15">
      <c r="A62" s="12">
        <v>59</v>
      </c>
      <c r="B62" s="13" t="s">
        <v>68</v>
      </c>
      <c r="C62" s="13" t="s">
        <v>68</v>
      </c>
      <c r="D62" s="14">
        <v>139.9</v>
      </c>
      <c r="E62" s="14">
        <v>140.4</v>
      </c>
      <c r="F62" s="14">
        <v>170.8</v>
      </c>
      <c r="G62" s="14">
        <v>169.6</v>
      </c>
      <c r="H62" s="14">
        <v>148.5</v>
      </c>
      <c r="I62" s="14">
        <v>141.69999999999999</v>
      </c>
      <c r="J62" s="14">
        <v>147.6</v>
      </c>
      <c r="K62" s="14">
        <v>146.30000000000001</v>
      </c>
      <c r="L62" s="14">
        <v>115.2</v>
      </c>
      <c r="M62" s="14">
        <v>120</v>
      </c>
      <c r="N62" s="14">
        <v>140.69999999999999</v>
      </c>
      <c r="O62" s="14">
        <v>151.80000000000001</v>
      </c>
      <c r="P62" s="14">
        <f t="shared" si="0"/>
        <v>1732.5</v>
      </c>
    </row>
    <row r="63" spans="1:16" x14ac:dyDescent="0.15">
      <c r="A63" s="12">
        <v>60</v>
      </c>
      <c r="B63" s="13" t="s">
        <v>69</v>
      </c>
      <c r="C63" s="13" t="s">
        <v>69</v>
      </c>
      <c r="D63" s="14">
        <v>147.4</v>
      </c>
      <c r="E63" s="14">
        <v>131.19999999999999</v>
      </c>
      <c r="F63" s="14">
        <v>153.19999999999999</v>
      </c>
      <c r="G63" s="14">
        <v>141.30000000000001</v>
      </c>
      <c r="H63" s="14">
        <v>124</v>
      </c>
      <c r="I63" s="14">
        <v>104.1</v>
      </c>
      <c r="J63" s="14">
        <v>110.4</v>
      </c>
      <c r="K63" s="14">
        <v>104.2</v>
      </c>
      <c r="L63" s="14">
        <v>93.9</v>
      </c>
      <c r="M63" s="14">
        <v>118.4</v>
      </c>
      <c r="N63" s="14">
        <v>141.6</v>
      </c>
      <c r="O63" s="14">
        <v>155.19999999999999</v>
      </c>
      <c r="P63" s="14">
        <f t="shared" si="0"/>
        <v>1524.9</v>
      </c>
    </row>
    <row r="64" spans="1:16" x14ac:dyDescent="0.15">
      <c r="A64" s="12">
        <v>61</v>
      </c>
      <c r="B64" s="13" t="s">
        <v>70</v>
      </c>
      <c r="C64" s="13" t="s">
        <v>69</v>
      </c>
      <c r="D64" s="14">
        <v>142</v>
      </c>
      <c r="E64" s="14">
        <v>132</v>
      </c>
      <c r="F64" s="14">
        <v>155.9</v>
      </c>
      <c r="G64" s="14">
        <v>149.1</v>
      </c>
      <c r="H64" s="14">
        <v>136</v>
      </c>
      <c r="I64" s="14">
        <v>99.7</v>
      </c>
      <c r="J64" s="14">
        <v>103.6</v>
      </c>
      <c r="K64" s="14">
        <v>99.5</v>
      </c>
      <c r="L64" s="14">
        <v>101.5</v>
      </c>
      <c r="M64" s="14">
        <v>110.6</v>
      </c>
      <c r="N64" s="14">
        <v>129.4</v>
      </c>
      <c r="O64" s="14">
        <v>144.30000000000001</v>
      </c>
      <c r="P64" s="14">
        <f t="shared" si="0"/>
        <v>1503.6000000000001</v>
      </c>
    </row>
    <row r="65" spans="1:16" x14ac:dyDescent="0.15">
      <c r="A65" s="12">
        <v>62</v>
      </c>
      <c r="B65" s="13" t="s">
        <v>71</v>
      </c>
      <c r="C65" s="13" t="s">
        <v>71</v>
      </c>
      <c r="D65" s="14">
        <v>118</v>
      </c>
      <c r="E65" s="14">
        <v>128.6</v>
      </c>
      <c r="F65" s="14">
        <v>170.3</v>
      </c>
      <c r="G65" s="14">
        <v>166.4</v>
      </c>
      <c r="H65" s="14">
        <v>160</v>
      </c>
      <c r="I65" s="14">
        <v>132.80000000000001</v>
      </c>
      <c r="J65" s="14">
        <v>132.5</v>
      </c>
      <c r="K65" s="14">
        <v>126.1</v>
      </c>
      <c r="L65" s="14">
        <v>118.7</v>
      </c>
      <c r="M65" s="14">
        <v>102.1</v>
      </c>
      <c r="N65" s="14">
        <v>103.9</v>
      </c>
      <c r="O65" s="14">
        <v>114</v>
      </c>
      <c r="P65" s="14">
        <f t="shared" si="0"/>
        <v>1573.3999999999999</v>
      </c>
    </row>
    <row r="66" spans="1:16" x14ac:dyDescent="0.15">
      <c r="A66" s="12">
        <v>63</v>
      </c>
      <c r="B66" s="13" t="s">
        <v>72</v>
      </c>
      <c r="C66" s="13" t="s">
        <v>72</v>
      </c>
      <c r="D66" s="14">
        <v>139</v>
      </c>
      <c r="E66" s="14">
        <v>132.9</v>
      </c>
      <c r="F66" s="14">
        <v>165.7</v>
      </c>
      <c r="G66" s="14">
        <v>173.2</v>
      </c>
      <c r="H66" s="14">
        <v>163.9</v>
      </c>
      <c r="I66" s="14">
        <v>138.5</v>
      </c>
      <c r="J66" s="14">
        <v>144.4</v>
      </c>
      <c r="K66" s="14">
        <v>134</v>
      </c>
      <c r="L66" s="14">
        <v>130.69999999999999</v>
      </c>
      <c r="M66" s="14">
        <v>120.9</v>
      </c>
      <c r="N66" s="14">
        <v>137.6</v>
      </c>
      <c r="O66" s="14">
        <v>151.9</v>
      </c>
      <c r="P66" s="14">
        <f t="shared" si="0"/>
        <v>1732.7</v>
      </c>
    </row>
    <row r="67" spans="1:16" x14ac:dyDescent="0.15">
      <c r="A67" s="12">
        <v>64</v>
      </c>
      <c r="B67" s="13" t="s">
        <v>73</v>
      </c>
      <c r="C67" s="13" t="s">
        <v>72</v>
      </c>
      <c r="D67" s="14">
        <v>132.4</v>
      </c>
      <c r="E67" s="14">
        <v>139.9</v>
      </c>
      <c r="F67" s="14">
        <v>172.7</v>
      </c>
      <c r="G67" s="14">
        <v>172.7</v>
      </c>
      <c r="H67" s="14">
        <v>165.1</v>
      </c>
      <c r="I67" s="14">
        <v>143.4</v>
      </c>
      <c r="J67" s="14">
        <v>143.80000000000001</v>
      </c>
      <c r="K67" s="14">
        <v>140.19999999999999</v>
      </c>
      <c r="L67" s="14">
        <v>129.1</v>
      </c>
      <c r="M67" s="14">
        <v>121.2</v>
      </c>
      <c r="N67" s="14">
        <v>125.4</v>
      </c>
      <c r="O67" s="14">
        <v>139.69999999999999</v>
      </c>
      <c r="P67" s="14">
        <f t="shared" si="0"/>
        <v>1725.6000000000001</v>
      </c>
    </row>
    <row r="68" spans="1:16" x14ac:dyDescent="0.15">
      <c r="A68" s="12">
        <v>65</v>
      </c>
      <c r="B68" s="13" t="s">
        <v>74</v>
      </c>
      <c r="C68" s="13" t="s">
        <v>74</v>
      </c>
      <c r="D68" s="14">
        <v>112.4</v>
      </c>
      <c r="E68" s="14">
        <v>114.4</v>
      </c>
      <c r="F68" s="14">
        <v>145.19999999999999</v>
      </c>
      <c r="G68" s="14">
        <v>145.30000000000001</v>
      </c>
      <c r="H68" s="14">
        <v>128.19999999999999</v>
      </c>
      <c r="I68" s="14">
        <v>109.7</v>
      </c>
      <c r="J68" s="14">
        <v>112.6</v>
      </c>
      <c r="K68" s="14">
        <v>108.1</v>
      </c>
      <c r="L68" s="14">
        <v>109</v>
      </c>
      <c r="M68" s="14">
        <v>100.4</v>
      </c>
      <c r="N68" s="14">
        <v>92.8</v>
      </c>
      <c r="O68" s="14">
        <v>102.5</v>
      </c>
      <c r="P68" s="14">
        <f t="shared" si="0"/>
        <v>1380.6000000000001</v>
      </c>
    </row>
    <row r="69" spans="1:16" x14ac:dyDescent="0.15">
      <c r="A69" s="12">
        <v>66</v>
      </c>
      <c r="B69" s="18" t="s">
        <v>75</v>
      </c>
      <c r="C69" s="18" t="s">
        <v>75</v>
      </c>
      <c r="D69" s="14">
        <v>125.5</v>
      </c>
      <c r="E69" s="14">
        <v>134.80000000000001</v>
      </c>
      <c r="F69" s="14">
        <v>171.4</v>
      </c>
      <c r="G69" s="14">
        <v>159.9</v>
      </c>
      <c r="H69" s="14">
        <v>143.80000000000001</v>
      </c>
      <c r="I69" s="14">
        <v>136</v>
      </c>
      <c r="J69" s="14">
        <v>136.9</v>
      </c>
      <c r="K69" s="14">
        <v>131.69999999999999</v>
      </c>
      <c r="L69" s="14">
        <v>121.1</v>
      </c>
      <c r="M69" s="14">
        <v>113.2</v>
      </c>
      <c r="N69" s="14">
        <v>96.8</v>
      </c>
      <c r="O69" s="14">
        <v>101.4</v>
      </c>
      <c r="P69" s="14">
        <f t="shared" ref="P69:P88" si="1">SUM(D69:O69)</f>
        <v>1572.5</v>
      </c>
    </row>
    <row r="70" spans="1:16" x14ac:dyDescent="0.15">
      <c r="A70" s="12">
        <v>67</v>
      </c>
      <c r="B70" s="18" t="s">
        <v>76</v>
      </c>
      <c r="C70" s="18" t="s">
        <v>75</v>
      </c>
      <c r="D70" s="14">
        <v>131.80000000000001</v>
      </c>
      <c r="E70" s="14">
        <v>143.6</v>
      </c>
      <c r="F70" s="14">
        <v>183.4</v>
      </c>
      <c r="G70" s="14">
        <v>163.1</v>
      </c>
      <c r="H70" s="14">
        <v>134.9</v>
      </c>
      <c r="I70" s="14">
        <v>124</v>
      </c>
      <c r="J70" s="14">
        <v>129</v>
      </c>
      <c r="K70" s="14">
        <v>125.9</v>
      </c>
      <c r="L70" s="14">
        <v>114.3</v>
      </c>
      <c r="M70" s="14">
        <v>108.1</v>
      </c>
      <c r="N70" s="14">
        <v>98.7</v>
      </c>
      <c r="O70" s="14">
        <v>109.9</v>
      </c>
      <c r="P70" s="14">
        <f t="shared" si="1"/>
        <v>1566.7</v>
      </c>
    </row>
    <row r="71" spans="1:16" x14ac:dyDescent="0.15">
      <c r="A71" s="12">
        <v>68</v>
      </c>
      <c r="B71" s="13" t="s">
        <v>77</v>
      </c>
      <c r="C71" s="18" t="s">
        <v>75</v>
      </c>
      <c r="D71" s="14">
        <v>139.5</v>
      </c>
      <c r="E71" s="14">
        <v>148.6</v>
      </c>
      <c r="F71" s="14">
        <v>182.3</v>
      </c>
      <c r="G71" s="14">
        <v>172.6</v>
      </c>
      <c r="H71" s="14">
        <v>161</v>
      </c>
      <c r="I71" s="14">
        <v>145.6</v>
      </c>
      <c r="J71" s="14">
        <v>150.69999999999999</v>
      </c>
      <c r="K71" s="14">
        <v>149.5</v>
      </c>
      <c r="L71" s="14">
        <v>140.30000000000001</v>
      </c>
      <c r="M71" s="14">
        <v>122.2</v>
      </c>
      <c r="N71" s="14">
        <v>115.4</v>
      </c>
      <c r="O71" s="14">
        <v>127</v>
      </c>
      <c r="P71" s="14">
        <f t="shared" si="1"/>
        <v>1754.7</v>
      </c>
    </row>
    <row r="72" spans="1:16" x14ac:dyDescent="0.15">
      <c r="A72" s="12">
        <v>69</v>
      </c>
      <c r="B72" s="13" t="s">
        <v>78</v>
      </c>
      <c r="C72" s="18" t="s">
        <v>75</v>
      </c>
      <c r="D72" s="14">
        <v>102.5</v>
      </c>
      <c r="E72" s="14">
        <v>123.2</v>
      </c>
      <c r="F72" s="14">
        <v>130.4</v>
      </c>
      <c r="G72" s="14">
        <v>116.4</v>
      </c>
      <c r="H72" s="14">
        <v>104.2</v>
      </c>
      <c r="I72" s="14">
        <v>92</v>
      </c>
      <c r="J72" s="14">
        <v>118.8</v>
      </c>
      <c r="K72" s="14">
        <v>107.5</v>
      </c>
      <c r="L72" s="14">
        <v>106.9</v>
      </c>
      <c r="M72" s="14">
        <v>94.7</v>
      </c>
      <c r="N72" s="14">
        <v>78.8</v>
      </c>
      <c r="O72" s="14">
        <v>92.6</v>
      </c>
      <c r="P72" s="14">
        <f t="shared" si="1"/>
        <v>1267.9999999999998</v>
      </c>
    </row>
    <row r="73" spans="1:16" x14ac:dyDescent="0.15">
      <c r="A73" s="12">
        <v>70</v>
      </c>
      <c r="B73" s="13" t="s">
        <v>79</v>
      </c>
      <c r="C73" s="13" t="s">
        <v>79</v>
      </c>
      <c r="D73" s="14">
        <v>108.5</v>
      </c>
      <c r="E73" s="14">
        <v>111.5</v>
      </c>
      <c r="F73" s="14">
        <v>140.4</v>
      </c>
      <c r="G73" s="14">
        <v>135.9</v>
      </c>
      <c r="H73" s="14">
        <v>130.80000000000001</v>
      </c>
      <c r="I73" s="14">
        <v>126.6</v>
      </c>
      <c r="J73" s="14">
        <v>132.1</v>
      </c>
      <c r="K73" s="14">
        <v>131.69999999999999</v>
      </c>
      <c r="L73" s="14">
        <v>116.2</v>
      </c>
      <c r="M73" s="14">
        <v>105.4</v>
      </c>
      <c r="N73" s="14">
        <v>84.4</v>
      </c>
      <c r="O73" s="14">
        <v>89.3</v>
      </c>
      <c r="P73" s="14">
        <f t="shared" si="1"/>
        <v>1412.8000000000002</v>
      </c>
    </row>
    <row r="74" spans="1:16" x14ac:dyDescent="0.15">
      <c r="A74" s="12">
        <v>71</v>
      </c>
      <c r="B74" s="13" t="s">
        <v>80</v>
      </c>
      <c r="C74" s="13" t="s">
        <v>79</v>
      </c>
      <c r="D74" s="14" t="s">
        <v>576</v>
      </c>
      <c r="E74" s="14" t="s">
        <v>576</v>
      </c>
      <c r="F74" s="14" t="s">
        <v>576</v>
      </c>
      <c r="G74" s="14" t="s">
        <v>576</v>
      </c>
      <c r="H74" s="14" t="s">
        <v>576</v>
      </c>
      <c r="I74" s="14" t="s">
        <v>576</v>
      </c>
      <c r="J74" s="14" t="s">
        <v>576</v>
      </c>
      <c r="K74" s="14" t="s">
        <v>576</v>
      </c>
      <c r="L74" s="14" t="s">
        <v>576</v>
      </c>
      <c r="M74" s="14" t="s">
        <v>576</v>
      </c>
      <c r="N74" s="14" t="s">
        <v>576</v>
      </c>
      <c r="O74" s="14" t="s">
        <v>576</v>
      </c>
      <c r="P74" s="14">
        <f t="shared" si="1"/>
        <v>0</v>
      </c>
    </row>
    <row r="75" spans="1:16" x14ac:dyDescent="0.15">
      <c r="A75" s="12">
        <v>72</v>
      </c>
      <c r="B75" s="13" t="s">
        <v>81</v>
      </c>
      <c r="C75" s="13" t="s">
        <v>79</v>
      </c>
      <c r="D75" s="14">
        <v>102.7</v>
      </c>
      <c r="E75" s="14">
        <v>123.6</v>
      </c>
      <c r="F75" s="14">
        <v>126.3</v>
      </c>
      <c r="G75" s="14">
        <v>107.5</v>
      </c>
      <c r="H75" s="14">
        <v>111.9</v>
      </c>
      <c r="I75" s="14">
        <v>92.6</v>
      </c>
      <c r="J75" s="14">
        <v>111.7</v>
      </c>
      <c r="K75" s="14">
        <v>111.8</v>
      </c>
      <c r="L75" s="14">
        <v>105.7</v>
      </c>
      <c r="M75" s="14">
        <v>92.6</v>
      </c>
      <c r="N75" s="14">
        <v>53.7</v>
      </c>
      <c r="O75" s="14">
        <v>84.3</v>
      </c>
      <c r="P75" s="14">
        <f t="shared" si="1"/>
        <v>1224.4000000000001</v>
      </c>
    </row>
    <row r="76" spans="1:16" x14ac:dyDescent="0.15">
      <c r="A76" s="12">
        <v>73</v>
      </c>
      <c r="B76" s="13" t="s">
        <v>82</v>
      </c>
      <c r="C76" s="13" t="s">
        <v>83</v>
      </c>
      <c r="D76" s="14">
        <v>122.4</v>
      </c>
      <c r="E76" s="14">
        <v>108.5</v>
      </c>
      <c r="F76" s="14">
        <v>145.1</v>
      </c>
      <c r="G76" s="14">
        <v>107.9</v>
      </c>
      <c r="H76" s="14">
        <v>130.9</v>
      </c>
      <c r="I76" s="14">
        <v>103</v>
      </c>
      <c r="J76" s="14">
        <v>124.2</v>
      </c>
      <c r="K76" s="14">
        <v>126.2</v>
      </c>
      <c r="L76" s="14">
        <v>128.9</v>
      </c>
      <c r="M76" s="14">
        <v>98.3</v>
      </c>
      <c r="N76" s="14">
        <v>69.7</v>
      </c>
      <c r="O76" s="14">
        <v>81</v>
      </c>
      <c r="P76" s="14">
        <f t="shared" si="1"/>
        <v>1346.1000000000001</v>
      </c>
    </row>
    <row r="77" spans="1:16" x14ac:dyDescent="0.15">
      <c r="A77" s="12">
        <v>74</v>
      </c>
      <c r="B77" s="13" t="s">
        <v>83</v>
      </c>
      <c r="C77" s="13" t="s">
        <v>83</v>
      </c>
      <c r="D77" s="14">
        <v>156.69999999999999</v>
      </c>
      <c r="E77" s="14">
        <v>162.9</v>
      </c>
      <c r="F77" s="14">
        <v>188.7</v>
      </c>
      <c r="G77" s="14">
        <v>177</v>
      </c>
      <c r="H77" s="14">
        <v>158.6</v>
      </c>
      <c r="I77" s="14">
        <v>140.69999999999999</v>
      </c>
      <c r="J77" s="14">
        <v>145.19999999999999</v>
      </c>
      <c r="K77" s="14">
        <v>151.1</v>
      </c>
      <c r="L77" s="14">
        <v>140</v>
      </c>
      <c r="M77" s="14">
        <v>127.6</v>
      </c>
      <c r="N77" s="14">
        <v>102.8</v>
      </c>
      <c r="O77" s="14">
        <v>119.9</v>
      </c>
      <c r="P77" s="14">
        <f t="shared" si="1"/>
        <v>1771.1999999999998</v>
      </c>
    </row>
    <row r="78" spans="1:16" x14ac:dyDescent="0.15">
      <c r="A78" s="12">
        <v>75</v>
      </c>
      <c r="B78" s="13" t="s">
        <v>84</v>
      </c>
      <c r="C78" s="13" t="s">
        <v>83</v>
      </c>
      <c r="D78" s="14" t="s">
        <v>575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f t="shared" si="1"/>
        <v>0</v>
      </c>
    </row>
    <row r="79" spans="1:16" x14ac:dyDescent="0.15">
      <c r="A79" s="12">
        <v>76</v>
      </c>
      <c r="B79" s="13" t="s">
        <v>85</v>
      </c>
      <c r="C79" s="13" t="s">
        <v>137</v>
      </c>
      <c r="D79" s="14">
        <v>129.5</v>
      </c>
      <c r="E79" s="14">
        <v>138.6</v>
      </c>
      <c r="F79" s="14">
        <v>167.7</v>
      </c>
      <c r="G79" s="14">
        <v>159.80000000000001</v>
      </c>
      <c r="H79" s="14">
        <v>148.9</v>
      </c>
      <c r="I79" s="14">
        <v>137.1</v>
      </c>
      <c r="J79" s="14">
        <v>140.30000000000001</v>
      </c>
      <c r="K79" s="14">
        <v>144.19999999999999</v>
      </c>
      <c r="L79" s="14">
        <v>135.5</v>
      </c>
      <c r="M79" s="14">
        <v>125</v>
      </c>
      <c r="N79" s="14">
        <v>103.5</v>
      </c>
      <c r="O79" s="14">
        <v>102</v>
      </c>
      <c r="P79" s="14">
        <f t="shared" si="1"/>
        <v>1632.1000000000001</v>
      </c>
    </row>
    <row r="80" spans="1:16" x14ac:dyDescent="0.15">
      <c r="A80" s="12">
        <v>77</v>
      </c>
      <c r="B80" s="13" t="s">
        <v>86</v>
      </c>
      <c r="C80" s="13" t="s">
        <v>86</v>
      </c>
      <c r="D80" s="14">
        <v>115.7</v>
      </c>
      <c r="E80" s="14">
        <v>117.5</v>
      </c>
      <c r="F80" s="14">
        <v>160.19999999999999</v>
      </c>
      <c r="G80" s="14">
        <v>155.80000000000001</v>
      </c>
      <c r="H80" s="14">
        <v>141.5</v>
      </c>
      <c r="I80" s="14">
        <v>124.7</v>
      </c>
      <c r="J80" s="14">
        <v>128.19999999999999</v>
      </c>
      <c r="K80" s="14">
        <v>126.9</v>
      </c>
      <c r="L80" s="14">
        <v>124.8</v>
      </c>
      <c r="M80" s="14">
        <v>117</v>
      </c>
      <c r="N80" s="14">
        <v>89.1</v>
      </c>
      <c r="O80" s="14">
        <v>88.3</v>
      </c>
      <c r="P80" s="14">
        <f t="shared" si="1"/>
        <v>1489.7</v>
      </c>
    </row>
    <row r="81" spans="1:16" x14ac:dyDescent="0.15">
      <c r="A81" s="12">
        <v>78</v>
      </c>
      <c r="B81" s="13" t="s">
        <v>87</v>
      </c>
      <c r="C81" s="13" t="s">
        <v>87</v>
      </c>
      <c r="D81" s="14">
        <v>119.7</v>
      </c>
      <c r="E81" s="14">
        <v>127.5</v>
      </c>
      <c r="F81" s="14">
        <v>160.1</v>
      </c>
      <c r="G81" s="14">
        <v>135.4</v>
      </c>
      <c r="H81" s="14">
        <v>109</v>
      </c>
      <c r="I81" s="14">
        <v>95.9</v>
      </c>
      <c r="J81" s="14">
        <v>100.8</v>
      </c>
      <c r="K81" s="14">
        <v>91.8</v>
      </c>
      <c r="L81" s="14">
        <v>83.6</v>
      </c>
      <c r="M81" s="14">
        <v>85</v>
      </c>
      <c r="N81" s="14">
        <v>83.4</v>
      </c>
      <c r="O81" s="14">
        <v>109</v>
      </c>
      <c r="P81" s="14">
        <f t="shared" si="1"/>
        <v>1301.1999999999998</v>
      </c>
    </row>
    <row r="82" spans="1:16" x14ac:dyDescent="0.15">
      <c r="A82" s="12">
        <v>79</v>
      </c>
      <c r="B82" s="13" t="s">
        <v>88</v>
      </c>
      <c r="C82" s="13" t="s">
        <v>89</v>
      </c>
      <c r="D82" s="14">
        <v>137.1</v>
      </c>
      <c r="E82" s="14">
        <v>139.5</v>
      </c>
      <c r="F82" s="14">
        <v>155.6</v>
      </c>
      <c r="G82" s="14">
        <v>148.1</v>
      </c>
      <c r="H82" s="14">
        <v>124.4</v>
      </c>
      <c r="I82" s="14">
        <v>117.1</v>
      </c>
      <c r="J82" s="14">
        <v>116.1</v>
      </c>
      <c r="K82" s="14">
        <v>112.7</v>
      </c>
      <c r="L82" s="14">
        <v>102</v>
      </c>
      <c r="M82" s="14">
        <v>105.6</v>
      </c>
      <c r="N82" s="14">
        <v>103.9</v>
      </c>
      <c r="O82" s="14">
        <v>120.3</v>
      </c>
      <c r="P82" s="14">
        <f t="shared" si="1"/>
        <v>1482.4</v>
      </c>
    </row>
    <row r="83" spans="1:16" x14ac:dyDescent="0.15">
      <c r="A83" s="12">
        <v>80</v>
      </c>
      <c r="B83" s="13" t="s">
        <v>89</v>
      </c>
      <c r="C83" s="13" t="s">
        <v>89</v>
      </c>
      <c r="D83" s="14">
        <v>154.4</v>
      </c>
      <c r="E83" s="14">
        <v>151.80000000000001</v>
      </c>
      <c r="F83" s="14">
        <v>168.6</v>
      </c>
      <c r="G83" s="14">
        <v>146.30000000000001</v>
      </c>
      <c r="H83" s="14">
        <v>121.7</v>
      </c>
      <c r="I83" s="14">
        <v>111.6</v>
      </c>
      <c r="J83" s="14">
        <v>111.2</v>
      </c>
      <c r="K83" s="14">
        <v>111.5</v>
      </c>
      <c r="L83" s="14">
        <v>102.4</v>
      </c>
      <c r="M83" s="14">
        <v>106.6</v>
      </c>
      <c r="N83" s="14">
        <v>110</v>
      </c>
      <c r="O83" s="14">
        <v>133.30000000000001</v>
      </c>
      <c r="P83" s="14">
        <f t="shared" si="1"/>
        <v>1529.4000000000003</v>
      </c>
    </row>
    <row r="84" spans="1:16" x14ac:dyDescent="0.15">
      <c r="A84" s="12">
        <v>81</v>
      </c>
      <c r="B84" s="13" t="s">
        <v>90</v>
      </c>
      <c r="C84" s="13" t="s">
        <v>89</v>
      </c>
      <c r="D84" s="14">
        <v>160.19999999999999</v>
      </c>
      <c r="E84" s="14">
        <v>157.30000000000001</v>
      </c>
      <c r="F84" s="14">
        <v>188.4</v>
      </c>
      <c r="G84" s="14">
        <v>160.9</v>
      </c>
      <c r="H84" s="14">
        <v>138.30000000000001</v>
      </c>
      <c r="I84" s="14">
        <v>128.19999999999999</v>
      </c>
      <c r="J84" s="14">
        <v>133.4</v>
      </c>
      <c r="K84" s="14">
        <v>136.9</v>
      </c>
      <c r="L84" s="14">
        <v>118.9</v>
      </c>
      <c r="M84" s="14">
        <v>117.6</v>
      </c>
      <c r="N84" s="14">
        <v>118.8</v>
      </c>
      <c r="O84" s="14">
        <v>137.9</v>
      </c>
      <c r="P84" s="14">
        <f t="shared" si="1"/>
        <v>1696.8000000000002</v>
      </c>
    </row>
    <row r="85" spans="1:16" x14ac:dyDescent="0.15">
      <c r="A85" s="12">
        <v>82</v>
      </c>
      <c r="B85" s="13" t="s">
        <v>91</v>
      </c>
      <c r="C85" s="13" t="s">
        <v>92</v>
      </c>
      <c r="D85" s="14" t="s">
        <v>575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f t="shared" si="1"/>
        <v>0</v>
      </c>
    </row>
    <row r="86" spans="1:16" x14ac:dyDescent="0.15">
      <c r="A86" s="12">
        <v>83</v>
      </c>
      <c r="B86" s="13" t="s">
        <v>92</v>
      </c>
      <c r="C86" s="13" t="s">
        <v>92</v>
      </c>
      <c r="D86" s="14" t="s">
        <v>576</v>
      </c>
      <c r="E86" s="14" t="s">
        <v>576</v>
      </c>
      <c r="F86" s="14" t="s">
        <v>576</v>
      </c>
      <c r="G86" s="14" t="s">
        <v>576</v>
      </c>
      <c r="H86" s="14" t="s">
        <v>576</v>
      </c>
      <c r="I86" s="14" t="s">
        <v>576</v>
      </c>
      <c r="J86" s="14" t="s">
        <v>576</v>
      </c>
      <c r="K86" s="14" t="s">
        <v>576</v>
      </c>
      <c r="L86" s="14" t="s">
        <v>576</v>
      </c>
      <c r="M86" s="14" t="s">
        <v>576</v>
      </c>
      <c r="N86" s="14" t="s">
        <v>576</v>
      </c>
      <c r="O86" s="14" t="s">
        <v>576</v>
      </c>
      <c r="P86" s="14">
        <f t="shared" si="1"/>
        <v>0</v>
      </c>
    </row>
    <row r="87" spans="1:16" x14ac:dyDescent="0.15">
      <c r="A87" s="12">
        <v>84</v>
      </c>
      <c r="B87" s="13" t="s">
        <v>93</v>
      </c>
      <c r="C87" s="18" t="s">
        <v>136</v>
      </c>
      <c r="D87" s="14">
        <v>159.30000000000001</v>
      </c>
      <c r="E87" s="14">
        <v>161.30000000000001</v>
      </c>
      <c r="F87" s="14">
        <v>176.3</v>
      </c>
      <c r="G87" s="14">
        <v>146.9</v>
      </c>
      <c r="H87" s="14">
        <v>120.8</v>
      </c>
      <c r="I87" s="14">
        <v>109</v>
      </c>
      <c r="J87" s="14">
        <v>111</v>
      </c>
      <c r="K87" s="14">
        <v>111.7</v>
      </c>
      <c r="L87" s="14">
        <v>100.9</v>
      </c>
      <c r="M87" s="14">
        <v>100.6</v>
      </c>
      <c r="N87" s="14">
        <v>94.4</v>
      </c>
      <c r="O87" s="14">
        <v>118.8</v>
      </c>
      <c r="P87" s="14">
        <f t="shared" si="1"/>
        <v>1511</v>
      </c>
    </row>
    <row r="88" spans="1:16" x14ac:dyDescent="0.15">
      <c r="A88" s="15">
        <v>85</v>
      </c>
      <c r="B88" s="16" t="s">
        <v>94</v>
      </c>
      <c r="C88" s="16" t="s">
        <v>94</v>
      </c>
      <c r="D88" s="17">
        <v>178.3</v>
      </c>
      <c r="E88" s="17">
        <v>167.3</v>
      </c>
      <c r="F88" s="17">
        <v>182.6</v>
      </c>
      <c r="G88" s="17">
        <v>150.80000000000001</v>
      </c>
      <c r="H88" s="17">
        <v>135.30000000000001</v>
      </c>
      <c r="I88" s="17">
        <v>123.8</v>
      </c>
      <c r="J88" s="17">
        <v>128.1</v>
      </c>
      <c r="K88" s="17">
        <v>128.9</v>
      </c>
      <c r="L88" s="17">
        <v>115.7</v>
      </c>
      <c r="M88" s="17">
        <v>114.8</v>
      </c>
      <c r="N88" s="17">
        <v>108.3</v>
      </c>
      <c r="O88" s="17">
        <v>133.9</v>
      </c>
      <c r="P88" s="17">
        <f t="shared" si="1"/>
        <v>1667.8</v>
      </c>
    </row>
  </sheetData>
  <phoneticPr fontId="7" type="noConversion"/>
  <printOptions horizontalCentered="1"/>
  <pageMargins left="0.75" right="0.75" top="0.75" bottom="0.75" header="0.5" footer="0.5"/>
  <pageSetup paperSize="9" scale="77" fitToHeight="3" orientation="portrait"/>
  <headerFooter alignWithMargins="0">
    <oddFooter>&amp;L&amp;Z&amp;F&amp;A&amp;C&amp;P/&amp;N&amp;R&amp;D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0D54-031E-E14D-A460-47FF3F23066D}">
  <sheetPr codeName="Sheet16">
    <tabColor indexed="31"/>
  </sheetPr>
  <dimension ref="A1:AP88"/>
  <sheetViews>
    <sheetView showGridLines="0" workbookViewId="0">
      <pane xSplit="3" ySplit="3" topLeftCell="D10" activePane="bottomRight" state="frozen"/>
      <selection activeCell="D40" sqref="D40"/>
      <selection pane="topRight" activeCell="D40" sqref="D40"/>
      <selection pane="bottomLeft" activeCell="D40" sqref="D40"/>
      <selection pane="bottomRight" activeCell="D38" sqref="D38:P38"/>
    </sheetView>
  </sheetViews>
  <sheetFormatPr baseColWidth="10" defaultColWidth="9.1640625" defaultRowHeight="13" x14ac:dyDescent="0.15"/>
  <cols>
    <col min="1" max="1" width="7" style="5" customWidth="1"/>
    <col min="2" max="2" width="22.83203125" style="5" customWidth="1"/>
    <col min="3" max="3" width="15.1640625" style="5" customWidth="1"/>
    <col min="4" max="15" width="7.6640625" style="5" customWidth="1"/>
    <col min="16" max="29" width="8.6640625" style="5" customWidth="1"/>
    <col min="30" max="16384" width="9.1640625" style="5"/>
  </cols>
  <sheetData>
    <row r="1" spans="1:42" ht="18" x14ac:dyDescent="0.2">
      <c r="A1" s="19" t="s">
        <v>10</v>
      </c>
      <c r="AD1" s="847" t="s">
        <v>398</v>
      </c>
      <c r="AE1" s="847"/>
      <c r="AF1" s="847"/>
      <c r="AG1" s="847"/>
      <c r="AH1" s="847"/>
      <c r="AI1" s="847"/>
      <c r="AJ1" s="847"/>
      <c r="AK1" s="847"/>
      <c r="AL1" s="847"/>
      <c r="AM1" s="847"/>
      <c r="AN1" s="847"/>
      <c r="AO1" s="847"/>
      <c r="AP1" s="847"/>
    </row>
    <row r="2" spans="1:42" x14ac:dyDescent="0.15">
      <c r="D2" s="285">
        <v>1</v>
      </c>
      <c r="E2" s="285">
        <v>2</v>
      </c>
      <c r="F2" s="285">
        <v>3</v>
      </c>
      <c r="G2" s="285">
        <v>4</v>
      </c>
      <c r="H2" s="285">
        <v>5</v>
      </c>
      <c r="I2" s="285">
        <v>6</v>
      </c>
      <c r="J2" s="285">
        <v>7</v>
      </c>
      <c r="K2" s="285">
        <v>8</v>
      </c>
      <c r="L2" s="285">
        <v>9</v>
      </c>
      <c r="M2" s="285">
        <v>10</v>
      </c>
      <c r="N2" s="285">
        <v>11</v>
      </c>
      <c r="O2" s="285">
        <v>12</v>
      </c>
      <c r="P2" s="285"/>
      <c r="Q2" s="285"/>
      <c r="R2" s="285"/>
      <c r="S2" s="285"/>
      <c r="T2" s="285"/>
      <c r="U2" s="285"/>
      <c r="V2" s="285"/>
      <c r="W2" s="285"/>
      <c r="X2" s="285"/>
      <c r="Y2" s="285"/>
      <c r="Z2" s="285"/>
      <c r="AA2" s="285"/>
      <c r="AB2" s="285"/>
      <c r="AC2" s="285"/>
      <c r="AD2" s="283">
        <v>1</v>
      </c>
      <c r="AE2" s="283">
        <v>2</v>
      </c>
      <c r="AF2" s="283">
        <v>3</v>
      </c>
      <c r="AG2" s="283">
        <v>4</v>
      </c>
      <c r="AH2" s="283">
        <v>5</v>
      </c>
      <c r="AI2" s="283">
        <v>6</v>
      </c>
      <c r="AJ2" s="283">
        <v>7</v>
      </c>
      <c r="AK2" s="283">
        <v>8</v>
      </c>
      <c r="AL2" s="283">
        <v>9</v>
      </c>
      <c r="AM2" s="283">
        <v>10</v>
      </c>
      <c r="AN2" s="283">
        <v>11</v>
      </c>
      <c r="AO2" s="283">
        <v>12</v>
      </c>
      <c r="AP2" s="283"/>
    </row>
    <row r="3" spans="1:42" x14ac:dyDescent="0.15">
      <c r="A3" s="6" t="s">
        <v>11</v>
      </c>
      <c r="B3" s="7" t="s">
        <v>12</v>
      </c>
      <c r="C3" s="8" t="s">
        <v>108</v>
      </c>
      <c r="D3" s="286" t="s">
        <v>104</v>
      </c>
      <c r="E3" s="286" t="s">
        <v>105</v>
      </c>
      <c r="F3" s="286" t="s">
        <v>106</v>
      </c>
      <c r="G3" s="286" t="s">
        <v>95</v>
      </c>
      <c r="H3" s="286" t="s">
        <v>96</v>
      </c>
      <c r="I3" s="286" t="s">
        <v>97</v>
      </c>
      <c r="J3" s="286" t="s">
        <v>98</v>
      </c>
      <c r="K3" s="286" t="s">
        <v>99</v>
      </c>
      <c r="L3" s="286" t="s">
        <v>100</v>
      </c>
      <c r="M3" s="286" t="s">
        <v>101</v>
      </c>
      <c r="N3" s="286" t="s">
        <v>102</v>
      </c>
      <c r="O3" s="286" t="s">
        <v>103</v>
      </c>
      <c r="P3" s="286" t="s">
        <v>107</v>
      </c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4" t="s">
        <v>104</v>
      </c>
      <c r="AE3" s="284" t="s">
        <v>105</v>
      </c>
      <c r="AF3" s="284" t="s">
        <v>106</v>
      </c>
      <c r="AG3" s="284" t="s">
        <v>95</v>
      </c>
      <c r="AH3" s="284" t="s">
        <v>96</v>
      </c>
      <c r="AI3" s="284" t="s">
        <v>97</v>
      </c>
      <c r="AJ3" s="284" t="s">
        <v>98</v>
      </c>
      <c r="AK3" s="284" t="s">
        <v>99</v>
      </c>
      <c r="AL3" s="284" t="s">
        <v>100</v>
      </c>
      <c r="AM3" s="284" t="s">
        <v>101</v>
      </c>
      <c r="AN3" s="284" t="s">
        <v>102</v>
      </c>
      <c r="AO3" s="284" t="s">
        <v>103</v>
      </c>
      <c r="AP3" s="284" t="s">
        <v>107</v>
      </c>
    </row>
    <row r="4" spans="1:42" x14ac:dyDescent="0.15">
      <c r="A4" s="9">
        <v>1</v>
      </c>
      <c r="B4" s="10" t="s">
        <v>13</v>
      </c>
      <c r="C4" s="10" t="s">
        <v>13</v>
      </c>
      <c r="D4" s="11">
        <v>86.622793830857944</v>
      </c>
      <c r="E4" s="11">
        <v>95.799218966795891</v>
      </c>
      <c r="F4" s="11">
        <v>133.21253195737594</v>
      </c>
      <c r="G4" s="11">
        <v>156.85045147406944</v>
      </c>
      <c r="H4" s="11">
        <v>152.24980475378209</v>
      </c>
      <c r="I4" s="11">
        <v>121.22665319261675</v>
      </c>
      <c r="J4" s="11">
        <v>115.23291875077467</v>
      </c>
      <c r="K4" s="11">
        <v>110.15991135297179</v>
      </c>
      <c r="L4" s="11">
        <v>114.42158353207651</v>
      </c>
      <c r="M4" s="11">
        <v>115.10609044037592</v>
      </c>
      <c r="N4" s="11">
        <v>93.616060226949344</v>
      </c>
      <c r="O4" s="11">
        <v>82.203795148769998</v>
      </c>
      <c r="P4" s="11">
        <f>SUM(D4:L4)</f>
        <v>1085.7758678113209</v>
      </c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5">
        <v>93.2</v>
      </c>
      <c r="AE4" s="5">
        <v>113.7</v>
      </c>
      <c r="AF4" s="5">
        <v>163.69999999999999</v>
      </c>
      <c r="AG4" s="5">
        <v>195.1</v>
      </c>
      <c r="AH4" s="5">
        <v>178.6</v>
      </c>
      <c r="AI4" s="5">
        <v>127.1</v>
      </c>
      <c r="AJ4" s="5">
        <v>113.9</v>
      </c>
      <c r="AK4" s="5">
        <v>109.8</v>
      </c>
      <c r="AL4" s="5">
        <v>115.7</v>
      </c>
      <c r="AM4" s="5">
        <v>111.4</v>
      </c>
      <c r="AN4" s="5">
        <v>88.6</v>
      </c>
      <c r="AO4" s="5">
        <v>81.5</v>
      </c>
      <c r="AP4" s="5">
        <f>SUM(AD4:AO4)</f>
        <v>1492.3000000000002</v>
      </c>
    </row>
    <row r="5" spans="1:42" x14ac:dyDescent="0.15">
      <c r="A5" s="12">
        <v>2</v>
      </c>
      <c r="B5" s="13" t="s">
        <v>14</v>
      </c>
      <c r="C5" s="13" t="s">
        <v>13</v>
      </c>
      <c r="D5" s="14">
        <v>91.730602195798767</v>
      </c>
      <c r="E5" s="14">
        <v>98.756153966276031</v>
      </c>
      <c r="F5" s="14">
        <v>136.41839911037346</v>
      </c>
      <c r="G5" s="14">
        <v>157.49435435362091</v>
      </c>
      <c r="H5" s="14">
        <v>146.96795451448438</v>
      </c>
      <c r="I5" s="14">
        <v>109.51911711338195</v>
      </c>
      <c r="J5" s="14">
        <v>106.00619903216506</v>
      </c>
      <c r="K5" s="14">
        <v>102.20110883581116</v>
      </c>
      <c r="L5" s="14">
        <v>108.5070796692073</v>
      </c>
      <c r="M5" s="14">
        <v>111.83988940961984</v>
      </c>
      <c r="N5" s="14">
        <v>96.388558250592567</v>
      </c>
      <c r="O5" s="14">
        <v>87.40004224565557</v>
      </c>
      <c r="P5" s="14">
        <f t="shared" ref="P5:P68" si="0">SUM(D5:L5)</f>
        <v>1057.6009687911189</v>
      </c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  <c r="AB5" s="287"/>
      <c r="AC5" s="287"/>
      <c r="AD5" s="5">
        <v>87</v>
      </c>
      <c r="AE5" s="5">
        <v>109.6</v>
      </c>
      <c r="AF5" s="5">
        <v>154.1</v>
      </c>
      <c r="AG5" s="5">
        <v>175</v>
      </c>
      <c r="AH5" s="5">
        <v>153.5</v>
      </c>
      <c r="AI5" s="5">
        <v>96.1</v>
      </c>
      <c r="AJ5" s="5">
        <v>87.6</v>
      </c>
      <c r="AK5" s="5">
        <v>86.3</v>
      </c>
      <c r="AL5" s="5">
        <v>99.6</v>
      </c>
      <c r="AM5" s="5">
        <v>103.6</v>
      </c>
      <c r="AN5" s="5">
        <v>88.6</v>
      </c>
      <c r="AO5" s="5">
        <v>82.1</v>
      </c>
      <c r="AP5" s="5">
        <f t="shared" ref="AP5:AP68" si="1">SUM(AD5:AO5)</f>
        <v>1323.0999999999997</v>
      </c>
    </row>
    <row r="6" spans="1:42" x14ac:dyDescent="0.15">
      <c r="A6" s="12">
        <v>3</v>
      </c>
      <c r="B6" s="13" t="s">
        <v>15</v>
      </c>
      <c r="C6" s="13" t="s">
        <v>15</v>
      </c>
      <c r="D6" s="14">
        <v>83.786730562389337</v>
      </c>
      <c r="E6" s="14">
        <v>96.388807499593469</v>
      </c>
      <c r="F6" s="14">
        <v>124.37241418648203</v>
      </c>
      <c r="G6" s="14">
        <v>140.26907333363826</v>
      </c>
      <c r="H6" s="14">
        <v>137.86767281713634</v>
      </c>
      <c r="I6" s="14">
        <v>115.62704554052996</v>
      </c>
      <c r="J6" s="14">
        <v>109.26553377267366</v>
      </c>
      <c r="K6" s="14">
        <v>107.57393781536112</v>
      </c>
      <c r="L6" s="14">
        <v>105.18704213366517</v>
      </c>
      <c r="M6" s="14">
        <v>101.03623990135567</v>
      </c>
      <c r="N6" s="14">
        <v>82.150866616572245</v>
      </c>
      <c r="O6" s="14">
        <v>73.889290675245647</v>
      </c>
      <c r="P6" s="14">
        <f t="shared" si="0"/>
        <v>1020.3382576614694</v>
      </c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  <c r="AB6" s="287"/>
      <c r="AC6" s="287"/>
      <c r="AD6" s="5">
        <v>89.1</v>
      </c>
      <c r="AE6" s="5">
        <v>118.2</v>
      </c>
      <c r="AF6" s="5">
        <v>155.5</v>
      </c>
      <c r="AG6" s="5">
        <v>171.7</v>
      </c>
      <c r="AH6" s="5">
        <v>141.1</v>
      </c>
      <c r="AI6" s="5">
        <v>110</v>
      </c>
      <c r="AJ6" s="5">
        <v>97</v>
      </c>
      <c r="AK6" s="5">
        <v>86</v>
      </c>
      <c r="AL6" s="5">
        <v>90</v>
      </c>
      <c r="AM6" s="5">
        <v>89.7</v>
      </c>
      <c r="AN6" s="5">
        <v>81.7</v>
      </c>
      <c r="AO6" s="5">
        <v>79.099999999999994</v>
      </c>
      <c r="AP6" s="5">
        <f t="shared" si="1"/>
        <v>1309.0999999999999</v>
      </c>
    </row>
    <row r="7" spans="1:42" x14ac:dyDescent="0.15">
      <c r="A7" s="12">
        <v>4</v>
      </c>
      <c r="B7" s="13" t="s">
        <v>16</v>
      </c>
      <c r="C7" s="13" t="s">
        <v>16</v>
      </c>
      <c r="D7" s="14">
        <v>86.815401290574243</v>
      </c>
      <c r="E7" s="14">
        <v>98.298502615640601</v>
      </c>
      <c r="F7" s="14">
        <v>140.03126519267374</v>
      </c>
      <c r="G7" s="14">
        <v>152.73352783536725</v>
      </c>
      <c r="H7" s="14">
        <v>147.6969740007242</v>
      </c>
      <c r="I7" s="14">
        <v>130.82450690821568</v>
      </c>
      <c r="J7" s="14">
        <v>125.17877709897986</v>
      </c>
      <c r="K7" s="14">
        <v>120.50490886631718</v>
      </c>
      <c r="L7" s="14">
        <v>118.66461045108716</v>
      </c>
      <c r="M7" s="14">
        <v>113.22021049567293</v>
      </c>
      <c r="N7" s="14">
        <v>90.614843324738473</v>
      </c>
      <c r="O7" s="14">
        <v>79.776302083610844</v>
      </c>
      <c r="P7" s="14">
        <f t="shared" si="0"/>
        <v>1120.7484742595798</v>
      </c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5">
        <v>95.5</v>
      </c>
      <c r="AE7" s="5">
        <v>115.4</v>
      </c>
      <c r="AF7" s="5">
        <v>165.6</v>
      </c>
      <c r="AG7" s="5">
        <v>180.5</v>
      </c>
      <c r="AH7" s="5">
        <v>158.5</v>
      </c>
      <c r="AI7" s="5">
        <v>136.9</v>
      </c>
      <c r="AJ7" s="5">
        <v>123.7</v>
      </c>
      <c r="AK7" s="5">
        <v>115.8</v>
      </c>
      <c r="AL7" s="5">
        <v>106</v>
      </c>
      <c r="AM7" s="5">
        <v>99.9</v>
      </c>
      <c r="AN7" s="5">
        <v>86.9</v>
      </c>
      <c r="AO7" s="5">
        <v>87.1</v>
      </c>
      <c r="AP7" s="5">
        <f t="shared" si="1"/>
        <v>1471.8000000000002</v>
      </c>
    </row>
    <row r="8" spans="1:42" x14ac:dyDescent="0.15">
      <c r="A8" s="12">
        <v>5</v>
      </c>
      <c r="B8" s="13" t="s">
        <v>17</v>
      </c>
      <c r="C8" s="13" t="s">
        <v>17</v>
      </c>
      <c r="D8" s="14">
        <v>93.543142616722363</v>
      </c>
      <c r="E8" s="14">
        <v>110.58126951510997</v>
      </c>
      <c r="F8" s="14">
        <v>149.46527329074041</v>
      </c>
      <c r="G8" s="14">
        <v>163.18324864402086</v>
      </c>
      <c r="H8" s="14">
        <v>158.86310868250743</v>
      </c>
      <c r="I8" s="14">
        <v>126.42111808990691</v>
      </c>
      <c r="J8" s="14">
        <v>118.23503301789817</v>
      </c>
      <c r="K8" s="14">
        <v>110.411380835363</v>
      </c>
      <c r="L8" s="14">
        <v>111.35171192326352</v>
      </c>
      <c r="M8" s="14">
        <v>112.51756688509464</v>
      </c>
      <c r="N8" s="14">
        <v>92.685659613734046</v>
      </c>
      <c r="O8" s="14">
        <v>85.094209409042591</v>
      </c>
      <c r="P8" s="14">
        <f t="shared" si="0"/>
        <v>1142.0552866155329</v>
      </c>
      <c r="Q8" s="287"/>
      <c r="R8" s="287"/>
      <c r="S8" s="287"/>
      <c r="T8" s="287"/>
      <c r="U8" s="287"/>
      <c r="V8" s="287"/>
      <c r="W8" s="287"/>
      <c r="X8" s="287"/>
      <c r="Y8" s="287"/>
      <c r="Z8" s="287"/>
      <c r="AA8" s="287"/>
      <c r="AB8" s="287"/>
      <c r="AC8" s="287"/>
      <c r="AD8" s="5">
        <v>108.1</v>
      </c>
      <c r="AE8" s="5">
        <v>128.69999999999999</v>
      </c>
      <c r="AF8" s="5">
        <v>171.7</v>
      </c>
      <c r="AG8" s="5">
        <v>189.4</v>
      </c>
      <c r="AH8" s="5">
        <v>178.6</v>
      </c>
      <c r="AI8" s="5">
        <v>143.69999999999999</v>
      </c>
      <c r="AJ8" s="5">
        <v>129.6</v>
      </c>
      <c r="AK8" s="5">
        <v>126.3</v>
      </c>
      <c r="AL8" s="5">
        <v>128.80000000000001</v>
      </c>
      <c r="AM8" s="5">
        <v>129</v>
      </c>
      <c r="AN8" s="5">
        <v>106.8</v>
      </c>
      <c r="AO8" s="5">
        <v>98.3</v>
      </c>
      <c r="AP8" s="5">
        <f t="shared" si="1"/>
        <v>1638.9999999999998</v>
      </c>
    </row>
    <row r="9" spans="1:42" x14ac:dyDescent="0.15">
      <c r="A9" s="12">
        <v>6</v>
      </c>
      <c r="B9" s="13" t="s">
        <v>18</v>
      </c>
      <c r="C9" s="13" t="s">
        <v>18</v>
      </c>
      <c r="D9" s="14">
        <v>90.63084273197488</v>
      </c>
      <c r="E9" s="14">
        <v>101.45306513272384</v>
      </c>
      <c r="F9" s="14">
        <v>141.86865389264975</v>
      </c>
      <c r="G9" s="14">
        <v>158.02532870368935</v>
      </c>
      <c r="H9" s="14">
        <v>152.13950496346158</v>
      </c>
      <c r="I9" s="14">
        <v>130.61228795799943</v>
      </c>
      <c r="J9" s="14">
        <v>126.15477858788314</v>
      </c>
      <c r="K9" s="14">
        <v>119.76740736372865</v>
      </c>
      <c r="L9" s="14">
        <v>117.28754907421593</v>
      </c>
      <c r="M9" s="14">
        <v>115.3046679204424</v>
      </c>
      <c r="N9" s="14">
        <v>94.878691578442499</v>
      </c>
      <c r="O9" s="14">
        <v>84.696882337225034</v>
      </c>
      <c r="P9" s="14">
        <f t="shared" si="0"/>
        <v>1137.9394184083267</v>
      </c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5">
        <v>89.8</v>
      </c>
      <c r="AE9" s="5">
        <v>112.1</v>
      </c>
      <c r="AF9" s="5">
        <v>159.30000000000001</v>
      </c>
      <c r="AG9" s="5">
        <v>179.2</v>
      </c>
      <c r="AH9" s="5">
        <v>164.2</v>
      </c>
      <c r="AI9" s="5">
        <v>136.69999999999999</v>
      </c>
      <c r="AJ9" s="5">
        <v>127.2</v>
      </c>
      <c r="AK9" s="5">
        <v>117.5</v>
      </c>
      <c r="AL9" s="5">
        <v>107.7</v>
      </c>
      <c r="AM9" s="5">
        <v>100.1</v>
      </c>
      <c r="AN9" s="5">
        <v>87</v>
      </c>
      <c r="AO9" s="5">
        <v>81.3</v>
      </c>
      <c r="AP9" s="5">
        <f t="shared" si="1"/>
        <v>1462.1</v>
      </c>
    </row>
    <row r="10" spans="1:42" x14ac:dyDescent="0.15">
      <c r="A10" s="12">
        <v>7</v>
      </c>
      <c r="B10" s="13" t="s">
        <v>19</v>
      </c>
      <c r="C10" s="13" t="s">
        <v>19</v>
      </c>
      <c r="D10" s="14">
        <v>88.838503931918709</v>
      </c>
      <c r="E10" s="14">
        <v>101.96956159013949</v>
      </c>
      <c r="F10" s="14">
        <v>146.68112768468797</v>
      </c>
      <c r="G10" s="14">
        <v>163.64886100438284</v>
      </c>
      <c r="H10" s="14">
        <v>152.58109972052895</v>
      </c>
      <c r="I10" s="14">
        <v>131.0504447485024</v>
      </c>
      <c r="J10" s="14">
        <v>126.98800329186058</v>
      </c>
      <c r="K10" s="14">
        <v>118.39657247069496</v>
      </c>
      <c r="L10" s="14">
        <v>114.61509265918509</v>
      </c>
      <c r="M10" s="14">
        <v>113.23294512958294</v>
      </c>
      <c r="N10" s="14">
        <v>93.019774447216463</v>
      </c>
      <c r="O10" s="14">
        <v>82.174577617840328</v>
      </c>
      <c r="P10" s="14">
        <f t="shared" si="0"/>
        <v>1144.7692671019011</v>
      </c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5">
        <v>109.5</v>
      </c>
      <c r="AE10" s="5">
        <v>142.19999999999999</v>
      </c>
      <c r="AF10" s="5">
        <v>205</v>
      </c>
      <c r="AG10" s="5">
        <v>216.8</v>
      </c>
      <c r="AH10" s="5">
        <v>197</v>
      </c>
      <c r="AI10" s="5">
        <v>162.1</v>
      </c>
      <c r="AJ10" s="5">
        <v>149.30000000000001</v>
      </c>
      <c r="AK10" s="5">
        <v>136.69999999999999</v>
      </c>
      <c r="AL10" s="5">
        <v>118.1</v>
      </c>
      <c r="AM10" s="5">
        <v>107.5</v>
      </c>
      <c r="AN10" s="5">
        <v>94.4</v>
      </c>
      <c r="AO10" s="5">
        <v>95.8</v>
      </c>
      <c r="AP10" s="5">
        <f t="shared" si="1"/>
        <v>1734.3999999999999</v>
      </c>
    </row>
    <row r="11" spans="1:42" x14ac:dyDescent="0.15">
      <c r="A11" s="12">
        <v>8</v>
      </c>
      <c r="B11" s="13" t="s">
        <v>20</v>
      </c>
      <c r="C11" s="13" t="s">
        <v>20</v>
      </c>
      <c r="D11" s="14">
        <v>92.526804559758276</v>
      </c>
      <c r="E11" s="14">
        <v>103.6707089834933</v>
      </c>
      <c r="F11" s="14">
        <v>147.57585974292326</v>
      </c>
      <c r="G11" s="14">
        <v>164.57027012253997</v>
      </c>
      <c r="H11" s="14">
        <v>153.48363899527641</v>
      </c>
      <c r="I11" s="14">
        <v>133.09217441005865</v>
      </c>
      <c r="J11" s="14">
        <v>126.58476507381083</v>
      </c>
      <c r="K11" s="14">
        <v>119.62856197603904</v>
      </c>
      <c r="L11" s="14">
        <v>117.9467359505538</v>
      </c>
      <c r="M11" s="14">
        <v>118.96503028491927</v>
      </c>
      <c r="N11" s="14">
        <v>97.87272127794364</v>
      </c>
      <c r="O11" s="14">
        <v>87.081876284505512</v>
      </c>
      <c r="P11" s="14">
        <f t="shared" si="0"/>
        <v>1159.0795198144535</v>
      </c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5">
        <v>106.7</v>
      </c>
      <c r="AE11" s="5">
        <v>123.5</v>
      </c>
      <c r="AF11" s="5">
        <v>182.1</v>
      </c>
      <c r="AG11" s="5">
        <v>200.8</v>
      </c>
      <c r="AH11" s="5">
        <v>186.3</v>
      </c>
      <c r="AI11" s="5">
        <v>153.1</v>
      </c>
      <c r="AJ11" s="5">
        <v>144.4</v>
      </c>
      <c r="AK11" s="5">
        <v>133.19999999999999</v>
      </c>
      <c r="AL11" s="5">
        <v>126.1</v>
      </c>
      <c r="AM11" s="5">
        <v>120.9</v>
      </c>
      <c r="AN11" s="5">
        <v>105</v>
      </c>
      <c r="AO11" s="5">
        <v>100.2</v>
      </c>
      <c r="AP11" s="5">
        <f t="shared" si="1"/>
        <v>1682.3</v>
      </c>
    </row>
    <row r="12" spans="1:42" x14ac:dyDescent="0.15">
      <c r="A12" s="12">
        <v>9</v>
      </c>
      <c r="B12" s="13" t="s">
        <v>21</v>
      </c>
      <c r="C12" s="13" t="s">
        <v>21</v>
      </c>
      <c r="D12" s="14">
        <v>88.872244169938142</v>
      </c>
      <c r="E12" s="14">
        <v>98.617064967942966</v>
      </c>
      <c r="F12" s="14">
        <v>136.57362785565039</v>
      </c>
      <c r="G12" s="14">
        <v>152.13702432073353</v>
      </c>
      <c r="H12" s="14">
        <v>148.78374371854107</v>
      </c>
      <c r="I12" s="14">
        <v>130.14206634248498</v>
      </c>
      <c r="J12" s="14">
        <v>123.95831395624924</v>
      </c>
      <c r="K12" s="14">
        <v>117.52079899822547</v>
      </c>
      <c r="L12" s="14">
        <v>120.89119853933441</v>
      </c>
      <c r="M12" s="14">
        <v>117.80223348490854</v>
      </c>
      <c r="N12" s="14">
        <v>94.061553768147405</v>
      </c>
      <c r="O12" s="14">
        <v>82.940547157705026</v>
      </c>
      <c r="P12" s="14">
        <f t="shared" si="0"/>
        <v>1117.4960828691003</v>
      </c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5">
        <v>81.3</v>
      </c>
      <c r="AE12" s="5">
        <v>90.8</v>
      </c>
      <c r="AF12" s="5">
        <v>120.6</v>
      </c>
      <c r="AG12" s="5">
        <v>142.19999999999999</v>
      </c>
      <c r="AH12" s="5">
        <v>137.19999999999999</v>
      </c>
      <c r="AI12" s="5">
        <v>111.7</v>
      </c>
      <c r="AJ12" s="5">
        <v>101.1</v>
      </c>
      <c r="AK12" s="5">
        <v>96</v>
      </c>
      <c r="AL12" s="5">
        <v>99.4</v>
      </c>
      <c r="AM12" s="5">
        <v>99.9</v>
      </c>
      <c r="AN12" s="5">
        <v>85.2</v>
      </c>
      <c r="AO12" s="5">
        <v>79.099999999999994</v>
      </c>
      <c r="AP12" s="5">
        <f t="shared" si="1"/>
        <v>1244.5</v>
      </c>
    </row>
    <row r="13" spans="1:42" x14ac:dyDescent="0.15">
      <c r="A13" s="12">
        <v>10</v>
      </c>
      <c r="B13" s="18" t="s">
        <v>141</v>
      </c>
      <c r="C13" s="13" t="s">
        <v>25</v>
      </c>
      <c r="D13" s="14">
        <v>86.315275583769733</v>
      </c>
      <c r="E13" s="14">
        <v>96.372508858461458</v>
      </c>
      <c r="F13" s="14">
        <v>136.08226579186555</v>
      </c>
      <c r="G13" s="14">
        <v>149.924999866722</v>
      </c>
      <c r="H13" s="14">
        <v>144.5219363993792</v>
      </c>
      <c r="I13" s="14">
        <v>121.47197015414152</v>
      </c>
      <c r="J13" s="14">
        <v>115.4595723240221</v>
      </c>
      <c r="K13" s="14">
        <v>110.33452760934414</v>
      </c>
      <c r="L13" s="14">
        <v>114.48194996102585</v>
      </c>
      <c r="M13" s="14">
        <v>114.46573279800552</v>
      </c>
      <c r="N13" s="14">
        <v>91.618347749581446</v>
      </c>
      <c r="O13" s="14">
        <v>79.825774802973555</v>
      </c>
      <c r="P13" s="14">
        <f t="shared" si="0"/>
        <v>1074.9650065487317</v>
      </c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5">
        <v>92.9</v>
      </c>
      <c r="AE13" s="5">
        <v>110.4</v>
      </c>
      <c r="AF13" s="5">
        <v>148.80000000000001</v>
      </c>
      <c r="AG13" s="5">
        <v>167.2</v>
      </c>
      <c r="AH13" s="5">
        <v>162.30000000000001</v>
      </c>
      <c r="AI13" s="5">
        <v>132.6</v>
      </c>
      <c r="AJ13" s="5">
        <v>118.5</v>
      </c>
      <c r="AK13" s="5">
        <v>116.7</v>
      </c>
      <c r="AL13" s="5">
        <v>121.9</v>
      </c>
      <c r="AM13" s="5">
        <v>114.2</v>
      </c>
      <c r="AN13" s="5">
        <v>93.9</v>
      </c>
      <c r="AO13" s="5">
        <v>85.1</v>
      </c>
      <c r="AP13" s="5">
        <f t="shared" si="1"/>
        <v>1464.5</v>
      </c>
    </row>
    <row r="14" spans="1:42" x14ac:dyDescent="0.15">
      <c r="A14" s="12">
        <v>11</v>
      </c>
      <c r="B14" s="13" t="s">
        <v>22</v>
      </c>
      <c r="C14" s="13" t="s">
        <v>21</v>
      </c>
      <c r="D14" s="14">
        <v>91.093586565723456</v>
      </c>
      <c r="E14" s="14">
        <v>99.195116548470949</v>
      </c>
      <c r="F14" s="14">
        <v>136.32496228125495</v>
      </c>
      <c r="G14" s="14">
        <v>150.57245270663486</v>
      </c>
      <c r="H14" s="14">
        <v>140.47249647048181</v>
      </c>
      <c r="I14" s="14">
        <v>123.23852489728385</v>
      </c>
      <c r="J14" s="14">
        <v>126.2223472935222</v>
      </c>
      <c r="K14" s="14">
        <v>114.81748721999875</v>
      </c>
      <c r="L14" s="14">
        <v>121.92781473877196</v>
      </c>
      <c r="M14" s="14">
        <v>118.490627799801</v>
      </c>
      <c r="N14" s="14">
        <v>95.491208457930085</v>
      </c>
      <c r="O14" s="14">
        <v>85.417967098813179</v>
      </c>
      <c r="P14" s="14">
        <f t="shared" si="0"/>
        <v>1103.8647887221425</v>
      </c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7"/>
      <c r="AB14" s="287"/>
      <c r="AC14" s="287"/>
      <c r="AD14" s="5">
        <v>119.7</v>
      </c>
      <c r="AE14" s="5">
        <v>102.3</v>
      </c>
      <c r="AF14" s="5">
        <v>115.1</v>
      </c>
      <c r="AG14" s="5">
        <v>127.2</v>
      </c>
      <c r="AH14" s="5">
        <v>115.3</v>
      </c>
      <c r="AI14" s="5">
        <v>87.4</v>
      </c>
      <c r="AJ14" s="5">
        <v>98.9</v>
      </c>
      <c r="AK14" s="5">
        <v>99.1</v>
      </c>
      <c r="AL14" s="5">
        <v>92</v>
      </c>
      <c r="AM14" s="5">
        <v>101.5</v>
      </c>
      <c r="AN14" s="5">
        <v>101.8</v>
      </c>
      <c r="AO14" s="5">
        <v>89.6</v>
      </c>
      <c r="AP14" s="5">
        <f t="shared" si="1"/>
        <v>1249.8999999999999</v>
      </c>
    </row>
    <row r="15" spans="1:42" x14ac:dyDescent="0.15">
      <c r="A15" s="12">
        <v>12</v>
      </c>
      <c r="B15" s="13" t="s">
        <v>23</v>
      </c>
      <c r="C15" s="13" t="s">
        <v>23</v>
      </c>
      <c r="D15" s="14">
        <v>95.882412045201974</v>
      </c>
      <c r="E15" s="14">
        <v>104.83685659885725</v>
      </c>
      <c r="F15" s="14">
        <v>142.6961896702843</v>
      </c>
      <c r="G15" s="14">
        <v>156.31176819847721</v>
      </c>
      <c r="H15" s="14">
        <v>150.96909776731067</v>
      </c>
      <c r="I15" s="14">
        <v>126.76795374639414</v>
      </c>
      <c r="J15" s="14">
        <v>123.89623974291354</v>
      </c>
      <c r="K15" s="14">
        <v>117.39509858705452</v>
      </c>
      <c r="L15" s="14">
        <v>120.08521378159932</v>
      </c>
      <c r="M15" s="14">
        <v>122.21796857113796</v>
      </c>
      <c r="N15" s="14">
        <v>101.8907116649104</v>
      </c>
      <c r="O15" s="14">
        <v>92.211296101642233</v>
      </c>
      <c r="P15" s="14">
        <f t="shared" si="0"/>
        <v>1138.840830138093</v>
      </c>
      <c r="Q15" s="287"/>
      <c r="R15" s="287"/>
      <c r="S15" s="287"/>
      <c r="T15" s="287"/>
      <c r="U15" s="287"/>
      <c r="V15" s="287"/>
      <c r="W15" s="287"/>
      <c r="X15" s="287"/>
      <c r="Y15" s="287"/>
      <c r="Z15" s="287"/>
      <c r="AA15" s="287"/>
      <c r="AB15" s="287"/>
      <c r="AC15" s="287"/>
      <c r="AD15" s="5">
        <v>111.7</v>
      </c>
      <c r="AE15" s="5">
        <v>120.9</v>
      </c>
      <c r="AF15" s="5">
        <v>163.1</v>
      </c>
      <c r="AG15" s="5">
        <v>182.2</v>
      </c>
      <c r="AH15" s="5">
        <v>172.6</v>
      </c>
      <c r="AI15" s="5">
        <v>137.19999999999999</v>
      </c>
      <c r="AJ15" s="5">
        <v>123.6</v>
      </c>
      <c r="AK15" s="5">
        <v>121</v>
      </c>
      <c r="AL15" s="5">
        <v>121.9</v>
      </c>
      <c r="AM15" s="5">
        <v>124.5</v>
      </c>
      <c r="AN15" s="5">
        <v>114.9</v>
      </c>
      <c r="AO15" s="5">
        <v>113.4</v>
      </c>
      <c r="AP15" s="5">
        <f t="shared" si="1"/>
        <v>1607.0000000000005</v>
      </c>
    </row>
    <row r="16" spans="1:42" x14ac:dyDescent="0.15">
      <c r="A16" s="12">
        <v>13</v>
      </c>
      <c r="B16" s="13" t="s">
        <v>24</v>
      </c>
      <c r="C16" s="13" t="s">
        <v>24</v>
      </c>
      <c r="D16" s="14">
        <v>99.850238189968394</v>
      </c>
      <c r="E16" s="14">
        <v>105.63647408108001</v>
      </c>
      <c r="F16" s="14">
        <v>143.41137119332279</v>
      </c>
      <c r="G16" s="14">
        <v>147.0437061585437</v>
      </c>
      <c r="H16" s="14">
        <v>141.80212247027552</v>
      </c>
      <c r="I16" s="14">
        <v>127.49309133908513</v>
      </c>
      <c r="J16" s="14">
        <v>138.44364982667406</v>
      </c>
      <c r="K16" s="14">
        <v>127.82931742173349</v>
      </c>
      <c r="L16" s="14">
        <v>116.08912839194866</v>
      </c>
      <c r="M16" s="14">
        <v>116.38886020412555</v>
      </c>
      <c r="N16" s="14">
        <v>105.83681820208686</v>
      </c>
      <c r="O16" s="14">
        <v>99.294901086893304</v>
      </c>
      <c r="P16" s="14">
        <f t="shared" si="0"/>
        <v>1147.5990990726318</v>
      </c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5">
        <v>108.6</v>
      </c>
      <c r="AE16" s="5">
        <v>104.3</v>
      </c>
      <c r="AF16" s="5">
        <v>167.1</v>
      </c>
      <c r="AG16" s="5">
        <v>168.3</v>
      </c>
      <c r="AH16" s="5">
        <v>161.1</v>
      </c>
      <c r="AI16" s="5">
        <v>149.1</v>
      </c>
      <c r="AJ16" s="5">
        <v>170.6</v>
      </c>
      <c r="AK16" s="5">
        <v>148.1</v>
      </c>
      <c r="AL16" s="5">
        <v>110.6</v>
      </c>
      <c r="AM16" s="5">
        <v>118.3</v>
      </c>
      <c r="AN16" s="5">
        <v>119.5</v>
      </c>
      <c r="AO16" s="5">
        <v>113.3</v>
      </c>
      <c r="AP16" s="5">
        <f t="shared" si="1"/>
        <v>1638.8999999999996</v>
      </c>
    </row>
    <row r="17" spans="1:42" x14ac:dyDescent="0.15">
      <c r="A17" s="12">
        <v>14</v>
      </c>
      <c r="B17" s="13" t="s">
        <v>25</v>
      </c>
      <c r="C17" s="13" t="s">
        <v>25</v>
      </c>
      <c r="D17" s="14">
        <v>97.976520350412102</v>
      </c>
      <c r="E17" s="14">
        <v>115.10499337444438</v>
      </c>
      <c r="F17" s="14">
        <v>163.37332622621915</v>
      </c>
      <c r="G17" s="14">
        <v>180.35641437471784</v>
      </c>
      <c r="H17" s="14">
        <v>154.82171709786928</v>
      </c>
      <c r="I17" s="14">
        <v>125.86810288417837</v>
      </c>
      <c r="J17" s="14">
        <v>128.67092406448353</v>
      </c>
      <c r="K17" s="14">
        <v>120.48626953426877</v>
      </c>
      <c r="L17" s="14">
        <v>111.4467860408472</v>
      </c>
      <c r="M17" s="14">
        <v>110.74202237652962</v>
      </c>
      <c r="N17" s="14">
        <v>97.004200059841537</v>
      </c>
      <c r="O17" s="14">
        <v>90.344592445631861</v>
      </c>
      <c r="P17" s="14">
        <f t="shared" si="0"/>
        <v>1198.1050539474406</v>
      </c>
      <c r="Q17" s="287"/>
      <c r="R17" s="287"/>
      <c r="S17" s="287"/>
      <c r="T17" s="287"/>
      <c r="U17" s="287"/>
      <c r="V17" s="287"/>
      <c r="W17" s="287"/>
      <c r="X17" s="287"/>
      <c r="Y17" s="287"/>
      <c r="Z17" s="287"/>
      <c r="AA17" s="287"/>
      <c r="AB17" s="287"/>
      <c r="AC17" s="287"/>
      <c r="AD17" s="5">
        <v>124.4</v>
      </c>
      <c r="AE17" s="5">
        <v>168.9</v>
      </c>
      <c r="AF17" s="5">
        <v>241</v>
      </c>
      <c r="AG17" s="5">
        <v>251.9</v>
      </c>
      <c r="AH17" s="5">
        <v>204.3</v>
      </c>
      <c r="AI17" s="5">
        <v>152.80000000000001</v>
      </c>
      <c r="AJ17" s="5">
        <v>150.4</v>
      </c>
      <c r="AK17" s="5">
        <v>141.1</v>
      </c>
      <c r="AL17" s="5">
        <v>126.4</v>
      </c>
      <c r="AM17" s="5">
        <v>107.6</v>
      </c>
      <c r="AN17" s="5">
        <v>99.6</v>
      </c>
      <c r="AO17" s="5">
        <v>102.8</v>
      </c>
      <c r="AP17" s="5">
        <f t="shared" si="1"/>
        <v>1871.1999999999998</v>
      </c>
    </row>
    <row r="18" spans="1:42" x14ac:dyDescent="0.15">
      <c r="A18" s="12">
        <v>15</v>
      </c>
      <c r="B18" s="13" t="s">
        <v>26</v>
      </c>
      <c r="C18" s="13" t="s">
        <v>25</v>
      </c>
      <c r="D18" s="14">
        <v>98.824365236510033</v>
      </c>
      <c r="E18" s="14">
        <v>111.15758268073048</v>
      </c>
      <c r="F18" s="14">
        <v>154.57485842270859</v>
      </c>
      <c r="G18" s="14">
        <v>169.48690721890236</v>
      </c>
      <c r="H18" s="14">
        <v>147.10009378844211</v>
      </c>
      <c r="I18" s="14">
        <v>113.52951965236716</v>
      </c>
      <c r="J18" s="14">
        <v>110.1957993275703</v>
      </c>
      <c r="K18" s="14">
        <v>104.61393512243163</v>
      </c>
      <c r="L18" s="14">
        <v>110.6154297369206</v>
      </c>
      <c r="M18" s="14">
        <v>118.9088504150986</v>
      </c>
      <c r="N18" s="14">
        <v>103.89343985406573</v>
      </c>
      <c r="O18" s="14">
        <v>94.980032877532068</v>
      </c>
      <c r="P18" s="14">
        <f t="shared" si="0"/>
        <v>1120.0984911865833</v>
      </c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5">
        <v>119.8</v>
      </c>
      <c r="AE18" s="5">
        <v>144.80000000000001</v>
      </c>
      <c r="AF18" s="5">
        <v>196.9</v>
      </c>
      <c r="AG18" s="5">
        <v>212</v>
      </c>
      <c r="AH18" s="5">
        <v>164.9</v>
      </c>
      <c r="AI18" s="5">
        <v>103.6</v>
      </c>
      <c r="AJ18" s="5">
        <v>95</v>
      </c>
      <c r="AK18" s="5">
        <v>88.1</v>
      </c>
      <c r="AL18" s="5">
        <v>103.8</v>
      </c>
      <c r="AM18" s="5">
        <v>122.3</v>
      </c>
      <c r="AN18" s="5">
        <v>121.4</v>
      </c>
      <c r="AO18" s="5">
        <v>118.3</v>
      </c>
      <c r="AP18" s="5">
        <f t="shared" si="1"/>
        <v>1590.8999999999999</v>
      </c>
    </row>
    <row r="19" spans="1:42" x14ac:dyDescent="0.15">
      <c r="A19" s="12">
        <v>16</v>
      </c>
      <c r="B19" s="13" t="s">
        <v>27</v>
      </c>
      <c r="C19" s="13" t="s">
        <v>25</v>
      </c>
      <c r="D19" s="14">
        <v>102.63366676019449</v>
      </c>
      <c r="E19" s="14">
        <v>120.72771036584699</v>
      </c>
      <c r="F19" s="14">
        <v>163.91860933617704</v>
      </c>
      <c r="G19" s="14">
        <v>173.80613003156492</v>
      </c>
      <c r="H19" s="14">
        <v>152.61832262797978</v>
      </c>
      <c r="I19" s="14">
        <v>126.79866654565404</v>
      </c>
      <c r="J19" s="14">
        <v>130.56934454225058</v>
      </c>
      <c r="K19" s="14">
        <v>123.61533441500548</v>
      </c>
      <c r="L19" s="14">
        <v>116.71208285155886</v>
      </c>
      <c r="M19" s="14">
        <v>115.03681279304261</v>
      </c>
      <c r="N19" s="14">
        <v>98.534571304005397</v>
      </c>
      <c r="O19" s="14">
        <v>91.759406773120787</v>
      </c>
      <c r="P19" s="14">
        <f t="shared" si="0"/>
        <v>1211.399867476232</v>
      </c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5">
        <v>110</v>
      </c>
      <c r="AE19" s="5">
        <v>142.1</v>
      </c>
      <c r="AF19" s="5">
        <v>188.3</v>
      </c>
      <c r="AG19" s="5">
        <v>199.7</v>
      </c>
      <c r="AH19" s="5">
        <v>166.8</v>
      </c>
      <c r="AI19" s="5">
        <v>136</v>
      </c>
      <c r="AJ19" s="5">
        <v>137.9</v>
      </c>
      <c r="AK19" s="5">
        <v>129.6</v>
      </c>
      <c r="AL19" s="5">
        <v>120.9</v>
      </c>
      <c r="AM19" s="5">
        <v>107.7</v>
      </c>
      <c r="AN19" s="5">
        <v>96.7</v>
      </c>
      <c r="AO19" s="5">
        <v>97.3</v>
      </c>
      <c r="AP19" s="5">
        <f t="shared" si="1"/>
        <v>1633</v>
      </c>
    </row>
    <row r="20" spans="1:42" x14ac:dyDescent="0.15">
      <c r="A20" s="12">
        <v>17</v>
      </c>
      <c r="B20" s="13" t="s">
        <v>28</v>
      </c>
      <c r="C20" s="13" t="s">
        <v>25</v>
      </c>
      <c r="D20" s="14">
        <v>95.547159121009059</v>
      </c>
      <c r="E20" s="14">
        <v>102.95922501660172</v>
      </c>
      <c r="F20" s="14">
        <v>136.97679457661116</v>
      </c>
      <c r="G20" s="14">
        <v>145.69609611428299</v>
      </c>
      <c r="H20" s="14">
        <v>132.82755352570317</v>
      </c>
      <c r="I20" s="14">
        <v>100.84753071507595</v>
      </c>
      <c r="J20" s="14">
        <v>101.44434746498186</v>
      </c>
      <c r="K20" s="14">
        <v>95.109269231504157</v>
      </c>
      <c r="L20" s="14">
        <v>95.446056570847389</v>
      </c>
      <c r="M20" s="14">
        <v>104.90701648420847</v>
      </c>
      <c r="N20" s="14">
        <v>97.495724150716953</v>
      </c>
      <c r="O20" s="14">
        <v>88.877928031661497</v>
      </c>
      <c r="P20" s="14">
        <f t="shared" si="0"/>
        <v>1006.8540323366176</v>
      </c>
      <c r="Q20" s="287"/>
      <c r="R20" s="287"/>
      <c r="S20" s="287"/>
      <c r="T20" s="287"/>
      <c r="U20" s="287"/>
      <c r="V20" s="287"/>
      <c r="W20" s="287"/>
      <c r="X20" s="287"/>
      <c r="Y20" s="287"/>
      <c r="Z20" s="287"/>
      <c r="AA20" s="287"/>
      <c r="AB20" s="287"/>
      <c r="AC20" s="287"/>
      <c r="AD20" s="5">
        <v>107.4</v>
      </c>
      <c r="AE20" s="5">
        <v>123.1</v>
      </c>
      <c r="AF20" s="5">
        <v>157.6</v>
      </c>
      <c r="AG20" s="5">
        <v>158.30000000000001</v>
      </c>
      <c r="AH20" s="5">
        <v>127.3</v>
      </c>
      <c r="AI20" s="5">
        <v>90.9</v>
      </c>
      <c r="AJ20" s="5">
        <v>84.5</v>
      </c>
      <c r="AK20" s="5">
        <v>73.900000000000006</v>
      </c>
      <c r="AL20" s="5">
        <v>87.6</v>
      </c>
      <c r="AM20" s="5">
        <v>96.5</v>
      </c>
      <c r="AN20" s="5">
        <v>95.9</v>
      </c>
      <c r="AO20" s="5">
        <v>98.9</v>
      </c>
      <c r="AP20" s="5">
        <f t="shared" si="1"/>
        <v>1301.9000000000001</v>
      </c>
    </row>
    <row r="21" spans="1:42" x14ac:dyDescent="0.15">
      <c r="A21" s="12">
        <v>18</v>
      </c>
      <c r="B21" s="13" t="s">
        <v>29</v>
      </c>
      <c r="C21" s="13" t="s">
        <v>29</v>
      </c>
      <c r="D21" s="14">
        <v>99.697317199265697</v>
      </c>
      <c r="E21" s="14">
        <v>113.6681732238019</v>
      </c>
      <c r="F21" s="14">
        <v>150.02964142851729</v>
      </c>
      <c r="G21" s="14">
        <v>161.56325863539601</v>
      </c>
      <c r="H21" s="14">
        <v>154.05129999715479</v>
      </c>
      <c r="I21" s="14">
        <v>126.27102055012365</v>
      </c>
      <c r="J21" s="14">
        <v>122.93191337680808</v>
      </c>
      <c r="K21" s="14">
        <v>117.02502612253969</v>
      </c>
      <c r="L21" s="14">
        <v>112.77078158976229</v>
      </c>
      <c r="M21" s="14">
        <v>115.63217312082351</v>
      </c>
      <c r="N21" s="14">
        <v>100.6969410172125</v>
      </c>
      <c r="O21" s="14">
        <v>94.353908478975043</v>
      </c>
      <c r="P21" s="14">
        <f t="shared" si="0"/>
        <v>1158.0084321233694</v>
      </c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5">
        <v>109.8</v>
      </c>
      <c r="AE21" s="5">
        <v>121.2</v>
      </c>
      <c r="AF21" s="5">
        <v>162.80000000000001</v>
      </c>
      <c r="AG21" s="5">
        <v>186.8</v>
      </c>
      <c r="AH21" s="5">
        <v>179.9</v>
      </c>
      <c r="AI21" s="5">
        <v>149.4</v>
      </c>
      <c r="AJ21" s="5">
        <v>141.19999999999999</v>
      </c>
      <c r="AK21" s="5">
        <v>129.1</v>
      </c>
      <c r="AL21" s="5">
        <v>120</v>
      </c>
      <c r="AM21" s="5">
        <v>122.6</v>
      </c>
      <c r="AN21" s="5">
        <v>113.3</v>
      </c>
      <c r="AO21" s="5">
        <v>111.5</v>
      </c>
      <c r="AP21" s="5">
        <f t="shared" si="1"/>
        <v>1647.5999999999997</v>
      </c>
    </row>
    <row r="22" spans="1:42" x14ac:dyDescent="0.15">
      <c r="A22" s="12">
        <v>19</v>
      </c>
      <c r="B22" s="13" t="s">
        <v>30</v>
      </c>
      <c r="C22" s="13" t="s">
        <v>30</v>
      </c>
      <c r="D22" s="14">
        <v>99.305636283242109</v>
      </c>
      <c r="E22" s="14">
        <v>109.720486566902</v>
      </c>
      <c r="F22" s="14">
        <v>146.42562853413659</v>
      </c>
      <c r="G22" s="14">
        <v>153.50625373887823</v>
      </c>
      <c r="H22" s="14">
        <v>147.97877712264736</v>
      </c>
      <c r="I22" s="14">
        <v>115.15304583359338</v>
      </c>
      <c r="J22" s="14">
        <v>109.6008199232582</v>
      </c>
      <c r="K22" s="14">
        <v>103.00258018119881</v>
      </c>
      <c r="L22" s="14">
        <v>102.35887012365987</v>
      </c>
      <c r="M22" s="14">
        <v>110.55127494155639</v>
      </c>
      <c r="N22" s="14">
        <v>101.76039888414596</v>
      </c>
      <c r="O22" s="14">
        <v>97.012869316355435</v>
      </c>
      <c r="P22" s="14">
        <f t="shared" si="0"/>
        <v>1087.0520983075166</v>
      </c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5">
        <v>121.4</v>
      </c>
      <c r="AE22" s="5">
        <v>132.69999999999999</v>
      </c>
      <c r="AF22" s="5">
        <v>174</v>
      </c>
      <c r="AG22" s="5">
        <v>184.3</v>
      </c>
      <c r="AH22" s="5">
        <v>156.4</v>
      </c>
      <c r="AI22" s="5">
        <v>130.1</v>
      </c>
      <c r="AJ22" s="5">
        <v>117.9</v>
      </c>
      <c r="AK22" s="5">
        <v>106.1</v>
      </c>
      <c r="AL22" s="5">
        <v>105.2</v>
      </c>
      <c r="AM22" s="5">
        <v>119</v>
      </c>
      <c r="AN22" s="5">
        <v>122.7</v>
      </c>
      <c r="AO22" s="5">
        <v>126.5</v>
      </c>
      <c r="AP22" s="5">
        <f t="shared" si="1"/>
        <v>1596.3000000000002</v>
      </c>
    </row>
    <row r="23" spans="1:42" x14ac:dyDescent="0.15">
      <c r="A23" s="12">
        <v>20</v>
      </c>
      <c r="B23" s="13" t="s">
        <v>31</v>
      </c>
      <c r="C23" s="13" t="s">
        <v>30</v>
      </c>
      <c r="D23" s="14">
        <v>97.827788872206867</v>
      </c>
      <c r="E23" s="14">
        <v>108.5563981265598</v>
      </c>
      <c r="F23" s="14">
        <v>145.15119453370278</v>
      </c>
      <c r="G23" s="14">
        <v>153.18187647330979</v>
      </c>
      <c r="H23" s="14">
        <v>146.30029581315472</v>
      </c>
      <c r="I23" s="14">
        <v>124.52056916548312</v>
      </c>
      <c r="J23" s="14">
        <v>117.99589395196475</v>
      </c>
      <c r="K23" s="14">
        <v>111.58911548839129</v>
      </c>
      <c r="L23" s="14">
        <v>112.81864083405024</v>
      </c>
      <c r="M23" s="14">
        <v>118.64539016099806</v>
      </c>
      <c r="N23" s="14">
        <v>100.26737966878838</v>
      </c>
      <c r="O23" s="14">
        <v>91.147999271061465</v>
      </c>
      <c r="P23" s="14">
        <f t="shared" si="0"/>
        <v>1117.9417732588233</v>
      </c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5">
        <v>124.3</v>
      </c>
      <c r="AE23" s="5">
        <v>131.6</v>
      </c>
      <c r="AF23" s="5">
        <v>164.7</v>
      </c>
      <c r="AG23" s="5">
        <v>171.2</v>
      </c>
      <c r="AH23" s="5">
        <v>165</v>
      </c>
      <c r="AI23" s="5">
        <v>143</v>
      </c>
      <c r="AJ23" s="5">
        <v>134.30000000000001</v>
      </c>
      <c r="AK23" s="5">
        <v>126.2</v>
      </c>
      <c r="AL23" s="5">
        <v>122.7</v>
      </c>
      <c r="AM23" s="5">
        <v>128.6</v>
      </c>
      <c r="AN23" s="5">
        <v>124.2</v>
      </c>
      <c r="AO23" s="5">
        <v>124.3</v>
      </c>
      <c r="AP23" s="5">
        <f t="shared" si="1"/>
        <v>1660.1</v>
      </c>
    </row>
    <row r="24" spans="1:42" x14ac:dyDescent="0.15">
      <c r="A24" s="12">
        <v>21</v>
      </c>
      <c r="B24" s="13" t="s">
        <v>32</v>
      </c>
      <c r="C24" s="13" t="s">
        <v>30</v>
      </c>
      <c r="D24" s="14">
        <v>102.89863384887408</v>
      </c>
      <c r="E24" s="14">
        <v>114.44459346990656</v>
      </c>
      <c r="F24" s="14">
        <v>152.70136915752425</v>
      </c>
      <c r="G24" s="14">
        <v>157.73331785218332</v>
      </c>
      <c r="H24" s="14">
        <v>146.11683420286772</v>
      </c>
      <c r="I24" s="14">
        <v>124.79184448593084</v>
      </c>
      <c r="J24" s="14">
        <v>120.81615489844853</v>
      </c>
      <c r="K24" s="14">
        <v>113.57929831185051</v>
      </c>
      <c r="L24" s="14">
        <v>108.90259551751423</v>
      </c>
      <c r="M24" s="14">
        <v>119.39342555078322</v>
      </c>
      <c r="N24" s="14">
        <v>105.78441759032532</v>
      </c>
      <c r="O24" s="14">
        <v>97.825588714736867</v>
      </c>
      <c r="P24" s="14">
        <f t="shared" si="0"/>
        <v>1141.9846417451001</v>
      </c>
      <c r="Q24" s="287"/>
      <c r="R24" s="287"/>
      <c r="S24" s="287"/>
      <c r="T24" s="287"/>
      <c r="U24" s="287"/>
      <c r="V24" s="287"/>
      <c r="W24" s="287"/>
      <c r="X24" s="287"/>
      <c r="Y24" s="287"/>
      <c r="Z24" s="287"/>
      <c r="AA24" s="287"/>
      <c r="AB24" s="287"/>
      <c r="AC24" s="287"/>
      <c r="AD24" s="5">
        <v>129</v>
      </c>
      <c r="AE24" s="5">
        <v>143.30000000000001</v>
      </c>
      <c r="AF24" s="5">
        <v>187.5</v>
      </c>
      <c r="AG24" s="5">
        <v>186.7</v>
      </c>
      <c r="AH24" s="5">
        <v>166.3</v>
      </c>
      <c r="AI24" s="5">
        <v>144.69999999999999</v>
      </c>
      <c r="AJ24" s="5">
        <v>136.30000000000001</v>
      </c>
      <c r="AK24" s="5">
        <v>126.1</v>
      </c>
      <c r="AL24" s="5">
        <v>117.4</v>
      </c>
      <c r="AM24" s="5">
        <v>126.4</v>
      </c>
      <c r="AN24" s="5">
        <v>126.7</v>
      </c>
      <c r="AO24" s="5">
        <v>130.5</v>
      </c>
      <c r="AP24" s="5">
        <f t="shared" si="1"/>
        <v>1720.9</v>
      </c>
    </row>
    <row r="25" spans="1:42" x14ac:dyDescent="0.15">
      <c r="A25" s="12">
        <v>22</v>
      </c>
      <c r="B25" s="13" t="s">
        <v>33</v>
      </c>
      <c r="C25" s="13" t="s">
        <v>33</v>
      </c>
      <c r="D25" s="14">
        <v>102.95207187909278</v>
      </c>
      <c r="E25" s="14">
        <v>112.76012842669347</v>
      </c>
      <c r="F25" s="14">
        <v>149.03850107213023</v>
      </c>
      <c r="G25" s="14">
        <v>159.99874607988599</v>
      </c>
      <c r="H25" s="14">
        <v>148.3848552070931</v>
      </c>
      <c r="I25" s="14">
        <v>128.03801277488682</v>
      </c>
      <c r="J25" s="14">
        <v>127.01528265027515</v>
      </c>
      <c r="K25" s="14">
        <v>119.89268691064478</v>
      </c>
      <c r="L25" s="14">
        <v>117.20606454381688</v>
      </c>
      <c r="M25" s="14">
        <v>116.5807092778079</v>
      </c>
      <c r="N25" s="14">
        <v>102.08919590757561</v>
      </c>
      <c r="O25" s="14">
        <v>95.258766293261317</v>
      </c>
      <c r="P25" s="14">
        <f t="shared" si="0"/>
        <v>1165.2863495445192</v>
      </c>
      <c r="Q25" s="287"/>
      <c r="R25" s="287"/>
      <c r="S25" s="287"/>
      <c r="T25" s="287"/>
      <c r="U25" s="287"/>
      <c r="V25" s="287"/>
      <c r="W25" s="287"/>
      <c r="X25" s="287"/>
      <c r="Y25" s="287"/>
      <c r="Z25" s="287"/>
      <c r="AA25" s="287"/>
      <c r="AB25" s="287"/>
      <c r="AC25" s="287"/>
      <c r="AD25" s="5">
        <v>106.2</v>
      </c>
      <c r="AE25" s="5">
        <v>118.1</v>
      </c>
      <c r="AF25" s="5">
        <v>149.30000000000001</v>
      </c>
      <c r="AG25" s="5">
        <v>166.2</v>
      </c>
      <c r="AH25" s="5">
        <v>155.6</v>
      </c>
      <c r="AI25" s="5">
        <v>119.9</v>
      </c>
      <c r="AJ25" s="5">
        <v>115.2</v>
      </c>
      <c r="AK25" s="5">
        <v>106.2</v>
      </c>
      <c r="AL25" s="5">
        <v>105.3</v>
      </c>
      <c r="AM25" s="5">
        <v>98.5</v>
      </c>
      <c r="AN25" s="5">
        <v>91.7</v>
      </c>
      <c r="AO25" s="5">
        <v>97.2</v>
      </c>
      <c r="AP25" s="5">
        <f t="shared" si="1"/>
        <v>1429.4</v>
      </c>
    </row>
    <row r="26" spans="1:42" x14ac:dyDescent="0.15">
      <c r="A26" s="12">
        <v>23</v>
      </c>
      <c r="B26" s="13" t="s">
        <v>34</v>
      </c>
      <c r="C26" s="13" t="s">
        <v>34</v>
      </c>
      <c r="D26" s="14">
        <v>95.035618548899308</v>
      </c>
      <c r="E26" s="14">
        <v>105.85939654351678</v>
      </c>
      <c r="F26" s="14">
        <v>144.91091385487866</v>
      </c>
      <c r="G26" s="14">
        <v>154.30999826900597</v>
      </c>
      <c r="H26" s="14">
        <v>141.77516486804686</v>
      </c>
      <c r="I26" s="14">
        <v>120.97217825574582</v>
      </c>
      <c r="J26" s="14">
        <v>120.54207382265849</v>
      </c>
      <c r="K26" s="14">
        <v>113.98973211366791</v>
      </c>
      <c r="L26" s="14">
        <v>119.65303546798206</v>
      </c>
      <c r="M26" s="14">
        <v>119.41961524627929</v>
      </c>
      <c r="N26" s="14">
        <v>98.989323773380718</v>
      </c>
      <c r="O26" s="14">
        <v>89.322573509749787</v>
      </c>
      <c r="P26" s="14">
        <f t="shared" si="0"/>
        <v>1117.0481117444019</v>
      </c>
      <c r="Q26" s="287"/>
      <c r="R26" s="287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  <c r="AC26" s="287"/>
      <c r="AD26" s="5">
        <v>107.6</v>
      </c>
      <c r="AE26" s="5">
        <v>115.6</v>
      </c>
      <c r="AF26" s="5">
        <v>150.69999999999999</v>
      </c>
      <c r="AG26" s="5">
        <v>170.4</v>
      </c>
      <c r="AH26" s="5">
        <v>147.5</v>
      </c>
      <c r="AI26" s="5">
        <v>117.7</v>
      </c>
      <c r="AJ26" s="5">
        <v>113.5</v>
      </c>
      <c r="AK26" s="5">
        <v>102.6</v>
      </c>
      <c r="AL26" s="5">
        <v>111</v>
      </c>
      <c r="AM26" s="5">
        <v>120</v>
      </c>
      <c r="AN26" s="5">
        <v>114.4</v>
      </c>
      <c r="AO26" s="5">
        <v>107.8</v>
      </c>
      <c r="AP26" s="5">
        <f t="shared" si="1"/>
        <v>1478.8</v>
      </c>
    </row>
    <row r="27" spans="1:42" x14ac:dyDescent="0.15">
      <c r="A27" s="12">
        <v>24</v>
      </c>
      <c r="B27" s="13" t="s">
        <v>35</v>
      </c>
      <c r="C27" s="13" t="s">
        <v>35</v>
      </c>
      <c r="D27" s="14">
        <v>96.453635028274249</v>
      </c>
      <c r="E27" s="14">
        <v>108.86506530020554</v>
      </c>
      <c r="F27" s="14">
        <v>138.37930200937279</v>
      </c>
      <c r="G27" s="14">
        <v>144.91067769268795</v>
      </c>
      <c r="H27" s="14">
        <v>136.57075895737771</v>
      </c>
      <c r="I27" s="14">
        <v>122.07027716979037</v>
      </c>
      <c r="J27" s="14">
        <v>117.31951055086486</v>
      </c>
      <c r="K27" s="14">
        <v>112.40897701568203</v>
      </c>
      <c r="L27" s="14">
        <v>108.16436979150446</v>
      </c>
      <c r="M27" s="14">
        <v>106.99876197034416</v>
      </c>
      <c r="N27" s="14">
        <v>90.907815818693479</v>
      </c>
      <c r="O27" s="14">
        <v>87.369459487842548</v>
      </c>
      <c r="P27" s="14">
        <f t="shared" si="0"/>
        <v>1085.14257351576</v>
      </c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7"/>
      <c r="AC27" s="287"/>
      <c r="AD27" s="5">
        <v>113.3</v>
      </c>
      <c r="AE27" s="5">
        <v>124.9</v>
      </c>
      <c r="AF27" s="5">
        <v>159</v>
      </c>
      <c r="AG27" s="5">
        <v>168</v>
      </c>
      <c r="AH27" s="5">
        <v>149.30000000000001</v>
      </c>
      <c r="AI27" s="5">
        <v>134.69999999999999</v>
      </c>
      <c r="AJ27" s="5">
        <v>128</v>
      </c>
      <c r="AK27" s="5">
        <v>115.9</v>
      </c>
      <c r="AL27" s="5">
        <v>104.9</v>
      </c>
      <c r="AM27" s="5">
        <v>108.3</v>
      </c>
      <c r="AN27" s="5">
        <v>102.6</v>
      </c>
      <c r="AO27" s="5">
        <v>103.9</v>
      </c>
      <c r="AP27" s="5">
        <f t="shared" si="1"/>
        <v>1512.8000000000002</v>
      </c>
    </row>
    <row r="28" spans="1:42" x14ac:dyDescent="0.15">
      <c r="A28" s="12">
        <v>25</v>
      </c>
      <c r="B28" s="13" t="s">
        <v>36</v>
      </c>
      <c r="C28" s="13" t="s">
        <v>36</v>
      </c>
      <c r="D28" s="14">
        <v>96.034125930148051</v>
      </c>
      <c r="E28" s="14">
        <v>107.59702221324322</v>
      </c>
      <c r="F28" s="14">
        <v>146.21865751562305</v>
      </c>
      <c r="G28" s="14">
        <v>156.93308908373101</v>
      </c>
      <c r="H28" s="14">
        <v>147.69941441216497</v>
      </c>
      <c r="I28" s="14">
        <v>127.93049463570303</v>
      </c>
      <c r="J28" s="14">
        <v>128.11148776660892</v>
      </c>
      <c r="K28" s="14">
        <v>120.32633795634449</v>
      </c>
      <c r="L28" s="14">
        <v>122.3385690755558</v>
      </c>
      <c r="M28" s="14">
        <v>122.47033078804419</v>
      </c>
      <c r="N28" s="14">
        <v>102.40442346903146</v>
      </c>
      <c r="O28" s="14">
        <v>92.469941903122404</v>
      </c>
      <c r="P28" s="14">
        <f t="shared" si="0"/>
        <v>1153.1891985891225</v>
      </c>
      <c r="Q28" s="287"/>
      <c r="R28" s="287"/>
      <c r="S28" s="287"/>
      <c r="T28" s="287"/>
      <c r="U28" s="287"/>
      <c r="V28" s="287"/>
      <c r="W28" s="287"/>
      <c r="X28" s="287"/>
      <c r="Y28" s="287"/>
      <c r="Z28" s="287"/>
      <c r="AA28" s="287"/>
      <c r="AB28" s="287"/>
      <c r="AC28" s="287"/>
      <c r="AD28" s="5">
        <v>127.7</v>
      </c>
      <c r="AE28" s="5">
        <v>136.80000000000001</v>
      </c>
      <c r="AF28" s="5">
        <v>177.2</v>
      </c>
      <c r="AG28" s="5">
        <v>187.8</v>
      </c>
      <c r="AH28" s="5">
        <v>171.2</v>
      </c>
      <c r="AI28" s="5">
        <v>146.19999999999999</v>
      </c>
      <c r="AJ28" s="5">
        <v>137.19999999999999</v>
      </c>
      <c r="AK28" s="5">
        <v>130.5</v>
      </c>
      <c r="AL28" s="5">
        <v>122.2</v>
      </c>
      <c r="AM28" s="5">
        <v>130.1</v>
      </c>
      <c r="AN28" s="5">
        <v>125.3</v>
      </c>
      <c r="AO28" s="5">
        <v>123.2</v>
      </c>
      <c r="AP28" s="5">
        <f t="shared" si="1"/>
        <v>1715.4</v>
      </c>
    </row>
    <row r="29" spans="1:42" x14ac:dyDescent="0.15">
      <c r="A29" s="12">
        <v>26</v>
      </c>
      <c r="B29" s="13" t="s">
        <v>37</v>
      </c>
      <c r="C29" s="13" t="s">
        <v>37</v>
      </c>
      <c r="D29" s="14">
        <v>105.61754865645185</v>
      </c>
      <c r="E29" s="14">
        <v>114.64706927075645</v>
      </c>
      <c r="F29" s="14">
        <v>145.88977879227798</v>
      </c>
      <c r="G29" s="14">
        <v>148.25984607233642</v>
      </c>
      <c r="H29" s="14">
        <v>137.27932722727417</v>
      </c>
      <c r="I29" s="14">
        <v>117.6201246721874</v>
      </c>
      <c r="J29" s="14">
        <v>119.7585722808435</v>
      </c>
      <c r="K29" s="14">
        <v>112.53488624535926</v>
      </c>
      <c r="L29" s="14">
        <v>113.99969676964821</v>
      </c>
      <c r="M29" s="14">
        <v>117.33846359402268</v>
      </c>
      <c r="N29" s="14">
        <v>102.95380803313789</v>
      </c>
      <c r="O29" s="14">
        <v>96.015847044951101</v>
      </c>
      <c r="P29" s="14">
        <f t="shared" si="0"/>
        <v>1115.6068499871353</v>
      </c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5">
        <v>151.4</v>
      </c>
      <c r="AE29" s="5">
        <v>154.19999999999999</v>
      </c>
      <c r="AF29" s="5">
        <v>198.2</v>
      </c>
      <c r="AG29" s="5">
        <v>195</v>
      </c>
      <c r="AH29" s="5">
        <v>157.69999999999999</v>
      </c>
      <c r="AI29" s="5">
        <v>132.5</v>
      </c>
      <c r="AJ29" s="5">
        <v>132.1</v>
      </c>
      <c r="AK29" s="5">
        <v>122</v>
      </c>
      <c r="AL29" s="5">
        <v>120.4</v>
      </c>
      <c r="AM29" s="5">
        <v>142.19999999999999</v>
      </c>
      <c r="AN29" s="5">
        <v>142.30000000000001</v>
      </c>
      <c r="AO29" s="5">
        <v>140.30000000000001</v>
      </c>
      <c r="AP29" s="5">
        <f t="shared" si="1"/>
        <v>1788.3</v>
      </c>
    </row>
    <row r="30" spans="1:42" x14ac:dyDescent="0.15">
      <c r="A30" s="12">
        <v>27</v>
      </c>
      <c r="B30" s="13" t="s">
        <v>38</v>
      </c>
      <c r="C30" s="13" t="s">
        <v>38</v>
      </c>
      <c r="D30" s="14">
        <v>98.259661585419522</v>
      </c>
      <c r="E30" s="14">
        <v>101.69125612360247</v>
      </c>
      <c r="F30" s="14">
        <v>130.80407612524172</v>
      </c>
      <c r="G30" s="14">
        <v>134.81777934848222</v>
      </c>
      <c r="H30" s="14">
        <v>129.24172359155355</v>
      </c>
      <c r="I30" s="14">
        <v>106.33328329700507</v>
      </c>
      <c r="J30" s="14">
        <v>107.33427813355405</v>
      </c>
      <c r="K30" s="14">
        <v>102.15745016571978</v>
      </c>
      <c r="L30" s="14">
        <v>106.23243045050057</v>
      </c>
      <c r="M30" s="14">
        <v>111.78036213611099</v>
      </c>
      <c r="N30" s="14">
        <v>99.255225839592157</v>
      </c>
      <c r="O30" s="14">
        <v>93.004126248759732</v>
      </c>
      <c r="P30" s="14">
        <f t="shared" si="0"/>
        <v>1016.8719388210789</v>
      </c>
      <c r="Q30" s="287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5">
        <v>114.9</v>
      </c>
      <c r="AE30" s="5">
        <v>116.5</v>
      </c>
      <c r="AF30" s="5">
        <v>147.4</v>
      </c>
      <c r="AG30" s="5">
        <v>152.9</v>
      </c>
      <c r="AH30" s="5">
        <v>135.6</v>
      </c>
      <c r="AI30" s="5">
        <v>102.1</v>
      </c>
      <c r="AJ30" s="5">
        <v>101.2</v>
      </c>
      <c r="AK30" s="5">
        <v>96.1</v>
      </c>
      <c r="AL30" s="5">
        <v>104.4</v>
      </c>
      <c r="AM30" s="5">
        <v>116.8</v>
      </c>
      <c r="AN30" s="5">
        <v>113.8</v>
      </c>
      <c r="AO30" s="5">
        <v>109.3</v>
      </c>
      <c r="AP30" s="5">
        <f t="shared" si="1"/>
        <v>1411</v>
      </c>
    </row>
    <row r="31" spans="1:42" x14ac:dyDescent="0.15">
      <c r="A31" s="12">
        <v>28</v>
      </c>
      <c r="B31" s="13" t="s">
        <v>39</v>
      </c>
      <c r="C31" s="13" t="s">
        <v>39</v>
      </c>
      <c r="D31" s="14">
        <v>101.13376362585413</v>
      </c>
      <c r="E31" s="14">
        <v>110.62698306843642</v>
      </c>
      <c r="F31" s="14">
        <v>143.73462061116052</v>
      </c>
      <c r="G31" s="14">
        <v>150.21625546893361</v>
      </c>
      <c r="H31" s="14">
        <v>145.74391893921018</v>
      </c>
      <c r="I31" s="14">
        <v>126.61195737127584</v>
      </c>
      <c r="J31" s="14">
        <v>126.51553111472103</v>
      </c>
      <c r="K31" s="14">
        <v>118.06705365098198</v>
      </c>
      <c r="L31" s="14">
        <v>112.8798220698973</v>
      </c>
      <c r="M31" s="14">
        <v>115.22769280412905</v>
      </c>
      <c r="N31" s="14">
        <v>105.13677148974408</v>
      </c>
      <c r="O31" s="14">
        <v>95.233266207357545</v>
      </c>
      <c r="P31" s="14">
        <f t="shared" si="0"/>
        <v>1135.529905920471</v>
      </c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  <c r="AC31" s="287"/>
      <c r="AD31" s="5">
        <v>134.80000000000001</v>
      </c>
      <c r="AE31" s="5">
        <v>143.69999999999999</v>
      </c>
      <c r="AF31" s="5">
        <v>192.1</v>
      </c>
      <c r="AG31" s="5">
        <v>196.5</v>
      </c>
      <c r="AH31" s="5">
        <v>178.4</v>
      </c>
      <c r="AI31" s="5">
        <v>154.69999999999999</v>
      </c>
      <c r="AJ31" s="5">
        <v>150.6</v>
      </c>
      <c r="AK31" s="5">
        <v>131.69999999999999</v>
      </c>
      <c r="AL31" s="5">
        <v>121.8</v>
      </c>
      <c r="AM31" s="5">
        <v>131.19999999999999</v>
      </c>
      <c r="AN31" s="5">
        <v>132.69999999999999</v>
      </c>
      <c r="AO31" s="5">
        <v>133.69999999999999</v>
      </c>
      <c r="AP31" s="5">
        <f t="shared" si="1"/>
        <v>1801.9</v>
      </c>
    </row>
    <row r="32" spans="1:42" x14ac:dyDescent="0.15">
      <c r="A32" s="12">
        <v>29</v>
      </c>
      <c r="B32" s="13" t="s">
        <v>40</v>
      </c>
      <c r="C32" s="13" t="s">
        <v>40</v>
      </c>
      <c r="D32" s="14">
        <v>108.26561631765308</v>
      </c>
      <c r="E32" s="14">
        <v>117.2737940483814</v>
      </c>
      <c r="F32" s="14">
        <v>156.70194754356228</v>
      </c>
      <c r="G32" s="14">
        <v>159.45126746803231</v>
      </c>
      <c r="H32" s="14">
        <v>144.28797504739532</v>
      </c>
      <c r="I32" s="14">
        <v>125.30300535965944</v>
      </c>
      <c r="J32" s="14">
        <v>126.60466893862602</v>
      </c>
      <c r="K32" s="14">
        <v>116.75299920733357</v>
      </c>
      <c r="L32" s="14">
        <v>119.71244521322664</v>
      </c>
      <c r="M32" s="14">
        <v>124.4823736778004</v>
      </c>
      <c r="N32" s="14">
        <v>113.44485435047659</v>
      </c>
      <c r="O32" s="14">
        <v>105.40222689029817</v>
      </c>
      <c r="P32" s="14">
        <f t="shared" si="0"/>
        <v>1174.35371914387</v>
      </c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  <c r="AC32" s="287"/>
      <c r="AD32" s="5">
        <v>125</v>
      </c>
      <c r="AE32" s="5">
        <v>128.6</v>
      </c>
      <c r="AF32" s="5">
        <v>172.2</v>
      </c>
      <c r="AG32" s="5">
        <v>170</v>
      </c>
      <c r="AH32" s="5">
        <v>151</v>
      </c>
      <c r="AI32" s="5">
        <v>124.9</v>
      </c>
      <c r="AJ32" s="5">
        <v>121.3</v>
      </c>
      <c r="AK32" s="5">
        <v>110</v>
      </c>
      <c r="AL32" s="5">
        <v>113.1</v>
      </c>
      <c r="AM32" s="5">
        <v>122.1</v>
      </c>
      <c r="AN32" s="5">
        <v>122.2</v>
      </c>
      <c r="AO32" s="5">
        <v>118.6</v>
      </c>
      <c r="AP32" s="5">
        <f t="shared" si="1"/>
        <v>1578.9999999999998</v>
      </c>
    </row>
    <row r="33" spans="1:42" x14ac:dyDescent="0.15">
      <c r="A33" s="12">
        <v>30</v>
      </c>
      <c r="B33" s="13" t="s">
        <v>41</v>
      </c>
      <c r="C33" s="13" t="s">
        <v>132</v>
      </c>
      <c r="D33" s="14">
        <v>98.024344714915642</v>
      </c>
      <c r="E33" s="14">
        <v>110.36578179338599</v>
      </c>
      <c r="F33" s="14">
        <v>148.36023568600584</v>
      </c>
      <c r="G33" s="14">
        <v>157.25419994488246</v>
      </c>
      <c r="H33" s="14">
        <v>150.68508751635082</v>
      </c>
      <c r="I33" s="14">
        <v>134.24949073387396</v>
      </c>
      <c r="J33" s="14">
        <v>131.38026096120902</v>
      </c>
      <c r="K33" s="14">
        <v>125.32442520703376</v>
      </c>
      <c r="L33" s="14">
        <v>121.29696171712263</v>
      </c>
      <c r="M33" s="14">
        <v>123.12862929499553</v>
      </c>
      <c r="N33" s="14">
        <v>102.8584488205141</v>
      </c>
      <c r="O33" s="14">
        <v>95.263663902039042</v>
      </c>
      <c r="P33" s="14">
        <f t="shared" si="0"/>
        <v>1176.9407882747803</v>
      </c>
      <c r="Q33" s="287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  <c r="AC33" s="287"/>
      <c r="AD33" s="5">
        <v>129.19999999999999</v>
      </c>
      <c r="AE33" s="5">
        <v>139</v>
      </c>
      <c r="AF33" s="5">
        <v>182.3</v>
      </c>
      <c r="AG33" s="5">
        <v>189.1</v>
      </c>
      <c r="AH33" s="5">
        <v>166.8</v>
      </c>
      <c r="AI33" s="5">
        <v>147.30000000000001</v>
      </c>
      <c r="AJ33" s="5">
        <v>143</v>
      </c>
      <c r="AK33" s="5">
        <v>130.30000000000001</v>
      </c>
      <c r="AL33" s="5">
        <v>122.1</v>
      </c>
      <c r="AM33" s="5">
        <v>129.30000000000001</v>
      </c>
      <c r="AN33" s="5">
        <v>124.9</v>
      </c>
      <c r="AO33" s="5">
        <v>126.1</v>
      </c>
      <c r="AP33" s="5">
        <f t="shared" si="1"/>
        <v>1729.3999999999999</v>
      </c>
    </row>
    <row r="34" spans="1:42" x14ac:dyDescent="0.15">
      <c r="A34" s="12">
        <v>31</v>
      </c>
      <c r="B34" s="18" t="s">
        <v>142</v>
      </c>
      <c r="C34" s="13" t="s">
        <v>129</v>
      </c>
      <c r="D34" s="14">
        <v>115.1840280030728</v>
      </c>
      <c r="E34" s="14">
        <v>126.45317089618955</v>
      </c>
      <c r="F34" s="14">
        <v>164.65504645164714</v>
      </c>
      <c r="G34" s="14">
        <v>156.49515471524401</v>
      </c>
      <c r="H34" s="14">
        <v>148.13656880437227</v>
      </c>
      <c r="I34" s="14">
        <v>138.83038327575528</v>
      </c>
      <c r="J34" s="14">
        <v>139.67293727642527</v>
      </c>
      <c r="K34" s="14">
        <v>134.04673793391834</v>
      </c>
      <c r="L34" s="14">
        <v>124.51224292134944</v>
      </c>
      <c r="M34" s="14">
        <v>127.38448728340329</v>
      </c>
      <c r="N34" s="14">
        <v>112.93663917477292</v>
      </c>
      <c r="O34" s="14">
        <v>116.2555256841102</v>
      </c>
      <c r="P34" s="14">
        <f t="shared" si="0"/>
        <v>1247.9862702779742</v>
      </c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5">
        <v>126.6</v>
      </c>
      <c r="AE34" s="5">
        <v>135.1</v>
      </c>
      <c r="AF34" s="5">
        <v>172.6</v>
      </c>
      <c r="AG34" s="5">
        <v>141.9</v>
      </c>
      <c r="AH34" s="5">
        <v>128.9</v>
      </c>
      <c r="AI34" s="5">
        <v>109.2</v>
      </c>
      <c r="AJ34" s="5">
        <v>116.5</v>
      </c>
      <c r="AK34" s="5">
        <v>124.9</v>
      </c>
      <c r="AL34" s="5">
        <v>100.3</v>
      </c>
      <c r="AM34" s="5">
        <v>127.9</v>
      </c>
      <c r="AN34" s="5">
        <v>132</v>
      </c>
      <c r="AO34" s="5">
        <v>138.30000000000001</v>
      </c>
      <c r="AP34" s="5">
        <f t="shared" si="1"/>
        <v>1554.2</v>
      </c>
    </row>
    <row r="35" spans="1:42" x14ac:dyDescent="0.15">
      <c r="A35" s="12">
        <v>32</v>
      </c>
      <c r="B35" s="13" t="s">
        <v>42</v>
      </c>
      <c r="C35" s="13" t="s">
        <v>42</v>
      </c>
      <c r="D35" s="14">
        <v>108.58175457139295</v>
      </c>
      <c r="E35" s="14">
        <v>119.03732960560421</v>
      </c>
      <c r="F35" s="14">
        <v>156.54771012194328</v>
      </c>
      <c r="G35" s="14">
        <v>161.64323328791573</v>
      </c>
      <c r="H35" s="14">
        <v>152.57756818917977</v>
      </c>
      <c r="I35" s="14">
        <v>137.2317596230983</v>
      </c>
      <c r="J35" s="14">
        <v>136.46311262620483</v>
      </c>
      <c r="K35" s="14">
        <v>128.2956237552628</v>
      </c>
      <c r="L35" s="14">
        <v>122.8862383562895</v>
      </c>
      <c r="M35" s="14">
        <v>127.67234992273022</v>
      </c>
      <c r="N35" s="14">
        <v>113.44284005541878</v>
      </c>
      <c r="O35" s="14">
        <v>105.67412834316156</v>
      </c>
      <c r="P35" s="14">
        <f t="shared" si="0"/>
        <v>1223.2643301368917</v>
      </c>
      <c r="Q35" s="287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  <c r="AC35" s="287"/>
      <c r="AD35" s="5">
        <v>147</v>
      </c>
      <c r="AE35" s="5">
        <v>155.5</v>
      </c>
      <c r="AF35" s="5">
        <v>206.7</v>
      </c>
      <c r="AG35" s="5">
        <v>208.2</v>
      </c>
      <c r="AH35" s="5">
        <v>180.1</v>
      </c>
      <c r="AI35" s="5">
        <v>158.4</v>
      </c>
      <c r="AJ35" s="5">
        <v>154.5</v>
      </c>
      <c r="AK35" s="5">
        <v>138.9</v>
      </c>
      <c r="AL35" s="5">
        <v>127.8</v>
      </c>
      <c r="AM35" s="5">
        <v>142.9</v>
      </c>
      <c r="AN35" s="5">
        <v>148.5</v>
      </c>
      <c r="AO35" s="5">
        <v>149.80000000000001</v>
      </c>
      <c r="AP35" s="5">
        <f t="shared" si="1"/>
        <v>1918.3000000000002</v>
      </c>
    </row>
    <row r="36" spans="1:42" x14ac:dyDescent="0.15">
      <c r="A36" s="12">
        <v>33</v>
      </c>
      <c r="B36" s="13" t="s">
        <v>43</v>
      </c>
      <c r="C36" s="13" t="s">
        <v>43</v>
      </c>
      <c r="D36" s="14">
        <v>108.62488348777435</v>
      </c>
      <c r="E36" s="14">
        <v>116.34133713684987</v>
      </c>
      <c r="F36" s="14">
        <v>148.61416125691306</v>
      </c>
      <c r="G36" s="14">
        <v>155.88287729294197</v>
      </c>
      <c r="H36" s="14">
        <v>149.73419041686225</v>
      </c>
      <c r="I36" s="14">
        <v>130.43167094510326</v>
      </c>
      <c r="J36" s="14">
        <v>131.85756958727399</v>
      </c>
      <c r="K36" s="14">
        <v>120.83399141485215</v>
      </c>
      <c r="L36" s="14">
        <v>115.1471714034966</v>
      </c>
      <c r="M36" s="14">
        <v>118.76039246104176</v>
      </c>
      <c r="N36" s="14">
        <v>106.82153121507446</v>
      </c>
      <c r="O36" s="14">
        <v>103.26066861238601</v>
      </c>
      <c r="P36" s="14">
        <f t="shared" si="0"/>
        <v>1177.4678529420676</v>
      </c>
      <c r="Q36" s="287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287"/>
      <c r="AC36" s="287"/>
      <c r="AD36" s="5">
        <v>137.30000000000001</v>
      </c>
      <c r="AE36" s="5">
        <v>138.1</v>
      </c>
      <c r="AF36" s="5">
        <v>179.1</v>
      </c>
      <c r="AG36" s="5">
        <v>177.3</v>
      </c>
      <c r="AH36" s="5">
        <v>156.4</v>
      </c>
      <c r="AI36" s="5">
        <v>131.6</v>
      </c>
      <c r="AJ36" s="5">
        <v>130.30000000000001</v>
      </c>
      <c r="AK36" s="5">
        <v>116.4</v>
      </c>
      <c r="AL36" s="5">
        <v>104.1</v>
      </c>
      <c r="AM36" s="5">
        <v>124.3</v>
      </c>
      <c r="AN36" s="5">
        <v>129.5</v>
      </c>
      <c r="AO36" s="5">
        <v>134.9</v>
      </c>
      <c r="AP36" s="5">
        <f t="shared" si="1"/>
        <v>1659.3</v>
      </c>
    </row>
    <row r="37" spans="1:42" x14ac:dyDescent="0.15">
      <c r="A37" s="12">
        <v>34</v>
      </c>
      <c r="B37" s="13" t="s">
        <v>44</v>
      </c>
      <c r="C37" s="13" t="s">
        <v>44</v>
      </c>
      <c r="D37" s="14">
        <v>119.85234093995794</v>
      </c>
      <c r="E37" s="14">
        <v>126.16206047254322</v>
      </c>
      <c r="F37" s="14">
        <v>157.54264909905879</v>
      </c>
      <c r="G37" s="14">
        <v>156.39470184540082</v>
      </c>
      <c r="H37" s="14">
        <v>149.2367377055912</v>
      </c>
      <c r="I37" s="14">
        <v>126.12718295571648</v>
      </c>
      <c r="J37" s="14">
        <v>127.83095038841931</v>
      </c>
      <c r="K37" s="14">
        <v>119.35117485596578</v>
      </c>
      <c r="L37" s="14">
        <v>110.51167424495338</v>
      </c>
      <c r="M37" s="14">
        <v>120.07672833458683</v>
      </c>
      <c r="N37" s="14">
        <v>119.77277449020852</v>
      </c>
      <c r="O37" s="14">
        <v>117.61687831812642</v>
      </c>
      <c r="P37" s="14">
        <f t="shared" si="0"/>
        <v>1193.0094725076069</v>
      </c>
      <c r="Q37" s="287"/>
      <c r="R37" s="287"/>
      <c r="S37" s="287"/>
      <c r="T37" s="287"/>
      <c r="U37" s="287"/>
      <c r="V37" s="287"/>
      <c r="W37" s="287"/>
      <c r="X37" s="287"/>
      <c r="Y37" s="287"/>
      <c r="Z37" s="287"/>
      <c r="AA37" s="287"/>
      <c r="AB37" s="287"/>
      <c r="AC37" s="287"/>
      <c r="AD37" s="5">
        <v>154.4</v>
      </c>
      <c r="AE37" s="5">
        <v>154.69999999999999</v>
      </c>
      <c r="AF37" s="5">
        <v>194.7</v>
      </c>
      <c r="AG37" s="5">
        <v>194.2</v>
      </c>
      <c r="AH37" s="5">
        <v>176.6</v>
      </c>
      <c r="AI37" s="5">
        <v>146.4</v>
      </c>
      <c r="AJ37" s="5">
        <v>144.9</v>
      </c>
      <c r="AK37" s="5">
        <v>132.5</v>
      </c>
      <c r="AL37" s="5">
        <v>120</v>
      </c>
      <c r="AM37" s="5">
        <v>136.30000000000001</v>
      </c>
      <c r="AN37" s="5">
        <v>146.30000000000001</v>
      </c>
      <c r="AO37" s="5">
        <v>152.80000000000001</v>
      </c>
      <c r="AP37" s="5">
        <f t="shared" si="1"/>
        <v>1853.8</v>
      </c>
    </row>
    <row r="38" spans="1:42" x14ac:dyDescent="0.15">
      <c r="A38" s="12">
        <v>35</v>
      </c>
      <c r="B38" s="13" t="s">
        <v>45</v>
      </c>
      <c r="C38" s="13" t="s">
        <v>45</v>
      </c>
      <c r="D38" s="14">
        <v>104.90812934269891</v>
      </c>
      <c r="E38" s="14">
        <v>114.39381585788878</v>
      </c>
      <c r="F38" s="14">
        <v>148.60737130798424</v>
      </c>
      <c r="G38" s="14">
        <v>152.45012288868219</v>
      </c>
      <c r="H38" s="14">
        <v>145.08134903600194</v>
      </c>
      <c r="I38" s="14">
        <v>131.31452477734624</v>
      </c>
      <c r="J38" s="14">
        <v>132.52655541019163</v>
      </c>
      <c r="K38" s="14">
        <v>124.16278354543822</v>
      </c>
      <c r="L38" s="14">
        <v>114.01474567305752</v>
      </c>
      <c r="M38" s="14">
        <v>117.64698027544719</v>
      </c>
      <c r="N38" s="14">
        <v>105.33964375500231</v>
      </c>
      <c r="O38" s="14">
        <v>100.611961682778</v>
      </c>
      <c r="P38" s="14">
        <f t="shared" si="0"/>
        <v>1167.45939783929</v>
      </c>
      <c r="Q38" s="287"/>
      <c r="R38" s="287"/>
      <c r="S38" s="287"/>
      <c r="T38" s="287"/>
      <c r="U38" s="287"/>
      <c r="V38" s="287"/>
      <c r="W38" s="287"/>
      <c r="X38" s="287"/>
      <c r="Y38" s="287"/>
      <c r="Z38" s="287"/>
      <c r="AA38" s="287"/>
      <c r="AB38" s="287"/>
      <c r="AC38" s="287"/>
      <c r="AD38" s="5">
        <v>137.30000000000001</v>
      </c>
      <c r="AE38" s="5">
        <v>143.9</v>
      </c>
      <c r="AF38" s="5">
        <v>183.2</v>
      </c>
      <c r="AG38" s="5">
        <v>183.4</v>
      </c>
      <c r="AH38" s="5">
        <v>174.8</v>
      </c>
      <c r="AI38" s="5">
        <v>163.4</v>
      </c>
      <c r="AJ38" s="5">
        <v>164.3</v>
      </c>
      <c r="AK38" s="5">
        <v>151</v>
      </c>
      <c r="AL38" s="5">
        <v>125.8</v>
      </c>
      <c r="AM38" s="5">
        <v>125.6</v>
      </c>
      <c r="AN38" s="5">
        <v>128.6</v>
      </c>
      <c r="AO38" s="5">
        <v>135.9</v>
      </c>
      <c r="AP38" s="5">
        <f t="shared" si="1"/>
        <v>1817.2</v>
      </c>
    </row>
    <row r="39" spans="1:42" x14ac:dyDescent="0.15">
      <c r="A39" s="12">
        <v>36</v>
      </c>
      <c r="B39" s="13" t="s">
        <v>46</v>
      </c>
      <c r="C39" s="13" t="s">
        <v>45</v>
      </c>
      <c r="D39" s="14">
        <v>104.95279153524893</v>
      </c>
      <c r="E39" s="14">
        <v>117.52287059203333</v>
      </c>
      <c r="F39" s="14">
        <v>152.82763086165463</v>
      </c>
      <c r="G39" s="14">
        <v>157.25698037228722</v>
      </c>
      <c r="H39" s="14">
        <v>147.30829965577038</v>
      </c>
      <c r="I39" s="14">
        <v>134.55815753424909</v>
      </c>
      <c r="J39" s="14">
        <v>134.56905052159436</v>
      </c>
      <c r="K39" s="14">
        <v>127.12275573456731</v>
      </c>
      <c r="L39" s="14">
        <v>116.72781173497917</v>
      </c>
      <c r="M39" s="14">
        <v>119.64001806225831</v>
      </c>
      <c r="N39" s="14">
        <v>105.79322373538766</v>
      </c>
      <c r="O39" s="14">
        <v>99.475899801954853</v>
      </c>
      <c r="P39" s="14">
        <f t="shared" si="0"/>
        <v>1192.8463485423845</v>
      </c>
      <c r="Q39" s="287"/>
      <c r="R39" s="287"/>
      <c r="S39" s="287"/>
      <c r="T39" s="287"/>
      <c r="U39" s="287"/>
      <c r="V39" s="287"/>
      <c r="W39" s="287"/>
      <c r="X39" s="287"/>
      <c r="Y39" s="287"/>
      <c r="Z39" s="287"/>
      <c r="AA39" s="287"/>
      <c r="AB39" s="287"/>
      <c r="AC39" s="287"/>
      <c r="AD39" s="5">
        <v>128.6</v>
      </c>
      <c r="AE39" s="5">
        <v>137.9</v>
      </c>
      <c r="AF39" s="5">
        <v>180.7</v>
      </c>
      <c r="AG39" s="5">
        <v>182.1</v>
      </c>
      <c r="AH39" s="5">
        <v>175.6</v>
      </c>
      <c r="AI39" s="5">
        <v>164.1</v>
      </c>
      <c r="AJ39" s="5">
        <v>162.9</v>
      </c>
      <c r="AK39" s="5">
        <v>153.19999999999999</v>
      </c>
      <c r="AL39" s="5">
        <v>134.69999999999999</v>
      </c>
      <c r="AM39" s="5">
        <v>128.19999999999999</v>
      </c>
      <c r="AN39" s="5">
        <v>120.2</v>
      </c>
      <c r="AO39" s="5">
        <v>124.6</v>
      </c>
      <c r="AP39" s="5">
        <f t="shared" si="1"/>
        <v>1792.8000000000002</v>
      </c>
    </row>
    <row r="40" spans="1:42" x14ac:dyDescent="0.15">
      <c r="A40" s="12">
        <v>37</v>
      </c>
      <c r="B40" s="13" t="s">
        <v>47</v>
      </c>
      <c r="C40" s="13" t="s">
        <v>47</v>
      </c>
      <c r="D40" s="14">
        <v>112.81075398798299</v>
      </c>
      <c r="E40" s="14">
        <v>119.87140414569154</v>
      </c>
      <c r="F40" s="14">
        <v>151.22810941912621</v>
      </c>
      <c r="G40" s="14">
        <v>151.98289034831373</v>
      </c>
      <c r="H40" s="14">
        <v>149.20175020254393</v>
      </c>
      <c r="I40" s="14">
        <v>128.39823664566575</v>
      </c>
      <c r="J40" s="14">
        <v>129.362167118889</v>
      </c>
      <c r="K40" s="14">
        <v>124.13812629889577</v>
      </c>
      <c r="L40" s="14">
        <v>112.08726134516299</v>
      </c>
      <c r="M40" s="14">
        <v>117.48394183846759</v>
      </c>
      <c r="N40" s="14">
        <v>108.92937945356712</v>
      </c>
      <c r="O40" s="14">
        <v>106.54058788859085</v>
      </c>
      <c r="P40" s="14">
        <f t="shared" si="0"/>
        <v>1179.0806995122718</v>
      </c>
      <c r="Q40" s="287"/>
      <c r="R40" s="287"/>
      <c r="S40" s="287"/>
      <c r="T40" s="287"/>
      <c r="U40" s="287"/>
      <c r="V40" s="287"/>
      <c r="W40" s="287"/>
      <c r="X40" s="287"/>
      <c r="Y40" s="287"/>
      <c r="Z40" s="287"/>
      <c r="AA40" s="287"/>
      <c r="AB40" s="287"/>
      <c r="AC40" s="287"/>
      <c r="AD40" s="5">
        <v>161.9</v>
      </c>
      <c r="AE40" s="5">
        <v>158.4</v>
      </c>
      <c r="AF40" s="5">
        <v>196.6</v>
      </c>
      <c r="AG40" s="5">
        <v>186.3</v>
      </c>
      <c r="AH40" s="5">
        <v>172.3</v>
      </c>
      <c r="AI40" s="5">
        <v>150.69999999999999</v>
      </c>
      <c r="AJ40" s="5">
        <v>151.9</v>
      </c>
      <c r="AK40" s="5">
        <v>145.19999999999999</v>
      </c>
      <c r="AL40" s="5">
        <v>124.7</v>
      </c>
      <c r="AM40" s="5">
        <v>138.19999999999999</v>
      </c>
      <c r="AN40" s="5">
        <v>149.69999999999999</v>
      </c>
      <c r="AO40" s="5">
        <v>155.5</v>
      </c>
      <c r="AP40" s="5">
        <f t="shared" si="1"/>
        <v>1891.4000000000003</v>
      </c>
    </row>
    <row r="41" spans="1:42" x14ac:dyDescent="0.15">
      <c r="A41" s="12">
        <v>38</v>
      </c>
      <c r="B41" s="13" t="s">
        <v>48</v>
      </c>
      <c r="C41" s="13" t="s">
        <v>47</v>
      </c>
      <c r="D41" s="14">
        <v>102.08809732477783</v>
      </c>
      <c r="E41" s="14">
        <v>113.15430524762141</v>
      </c>
      <c r="F41" s="14">
        <v>147.56803025822441</v>
      </c>
      <c r="G41" s="14">
        <v>155.91546238618486</v>
      </c>
      <c r="H41" s="14">
        <v>148.94761806810712</v>
      </c>
      <c r="I41" s="14">
        <v>131.03443044736233</v>
      </c>
      <c r="J41" s="14">
        <v>130.40638764054188</v>
      </c>
      <c r="K41" s="14">
        <v>127.47187392782349</v>
      </c>
      <c r="L41" s="14">
        <v>120.0907917164965</v>
      </c>
      <c r="M41" s="14">
        <v>124.51205418579883</v>
      </c>
      <c r="N41" s="14">
        <v>107.57933560837851</v>
      </c>
      <c r="O41" s="14">
        <v>101.14553714447474</v>
      </c>
      <c r="P41" s="14">
        <f t="shared" si="0"/>
        <v>1176.6769970171399</v>
      </c>
      <c r="Q41" s="287"/>
      <c r="R41" s="287"/>
      <c r="S41" s="287"/>
      <c r="T41" s="287"/>
      <c r="U41" s="287"/>
      <c r="V41" s="287"/>
      <c r="W41" s="287"/>
      <c r="X41" s="287"/>
      <c r="Y41" s="287"/>
      <c r="Z41" s="287"/>
      <c r="AA41" s="287"/>
      <c r="AB41" s="287"/>
      <c r="AC41" s="287"/>
      <c r="AD41" s="5">
        <v>145.6</v>
      </c>
      <c r="AE41" s="5">
        <v>148.30000000000001</v>
      </c>
      <c r="AF41" s="5">
        <v>190.6</v>
      </c>
      <c r="AG41" s="5">
        <v>192</v>
      </c>
      <c r="AH41" s="5">
        <v>177.6</v>
      </c>
      <c r="AI41" s="5">
        <v>153.4</v>
      </c>
      <c r="AJ41" s="5">
        <v>150.69999999999999</v>
      </c>
      <c r="AK41" s="5">
        <v>137.5</v>
      </c>
      <c r="AL41" s="5">
        <v>121.1</v>
      </c>
      <c r="AM41" s="5">
        <v>130.80000000000001</v>
      </c>
      <c r="AN41" s="5">
        <v>138.19999999999999</v>
      </c>
      <c r="AO41" s="5">
        <v>141.69999999999999</v>
      </c>
      <c r="AP41" s="5">
        <f t="shared" si="1"/>
        <v>1827.5</v>
      </c>
    </row>
    <row r="42" spans="1:42" x14ac:dyDescent="0.15">
      <c r="A42" s="12">
        <v>39</v>
      </c>
      <c r="B42" s="13" t="s">
        <v>49</v>
      </c>
      <c r="C42" s="13" t="s">
        <v>131</v>
      </c>
      <c r="D42" s="14">
        <v>105.13608296197933</v>
      </c>
      <c r="E42" s="14">
        <v>115.08695219853605</v>
      </c>
      <c r="F42" s="14">
        <v>148.79543741344327</v>
      </c>
      <c r="G42" s="14">
        <v>155.42046981551164</v>
      </c>
      <c r="H42" s="14">
        <v>152.81267281251633</v>
      </c>
      <c r="I42" s="14">
        <v>136.84534998937707</v>
      </c>
      <c r="J42" s="14">
        <v>134.74642416577572</v>
      </c>
      <c r="K42" s="14">
        <v>129.18904668238986</v>
      </c>
      <c r="L42" s="14">
        <v>122.24268335273092</v>
      </c>
      <c r="M42" s="14">
        <v>125.57345791291996</v>
      </c>
      <c r="N42" s="14">
        <v>108.67749407117211</v>
      </c>
      <c r="O42" s="14">
        <v>102.82604293811721</v>
      </c>
      <c r="P42" s="14">
        <f t="shared" si="0"/>
        <v>1200.2751193922602</v>
      </c>
      <c r="Q42" s="287"/>
      <c r="R42" s="287"/>
      <c r="S42" s="287"/>
      <c r="T42" s="287"/>
      <c r="U42" s="287"/>
      <c r="V42" s="287"/>
      <c r="W42" s="287"/>
      <c r="X42" s="287"/>
      <c r="Y42" s="287"/>
      <c r="Z42" s="287"/>
      <c r="AA42" s="287"/>
      <c r="AB42" s="287"/>
      <c r="AC42" s="287"/>
      <c r="AD42" s="5">
        <v>125.8</v>
      </c>
      <c r="AE42" s="5">
        <v>130.5</v>
      </c>
      <c r="AF42" s="5">
        <v>163.6</v>
      </c>
      <c r="AG42" s="5">
        <v>160.69999999999999</v>
      </c>
      <c r="AH42" s="5">
        <v>150.69999999999999</v>
      </c>
      <c r="AI42" s="5">
        <v>133.5</v>
      </c>
      <c r="AJ42" s="5">
        <v>131.80000000000001</v>
      </c>
      <c r="AK42" s="5">
        <v>123.5</v>
      </c>
      <c r="AL42" s="5">
        <v>109.1</v>
      </c>
      <c r="AM42" s="5">
        <v>111.8</v>
      </c>
      <c r="AN42" s="5">
        <v>114.6</v>
      </c>
      <c r="AO42" s="5">
        <v>121.2</v>
      </c>
      <c r="AP42" s="5">
        <f t="shared" si="1"/>
        <v>1576.7999999999997</v>
      </c>
    </row>
    <row r="43" spans="1:42" x14ac:dyDescent="0.15">
      <c r="A43" s="12">
        <v>40</v>
      </c>
      <c r="B43" s="13" t="s">
        <v>50</v>
      </c>
      <c r="C43" s="13" t="s">
        <v>50</v>
      </c>
      <c r="D43" s="14">
        <v>112.92750435564115</v>
      </c>
      <c r="E43" s="14">
        <v>135.69222445968006</v>
      </c>
      <c r="F43" s="14">
        <v>179.75283205387495</v>
      </c>
      <c r="G43" s="14">
        <v>183.18109028029025</v>
      </c>
      <c r="H43" s="14">
        <v>160.96599429354214</v>
      </c>
      <c r="I43" s="14">
        <v>137.89519337661858</v>
      </c>
      <c r="J43" s="14">
        <v>134.14043260011118</v>
      </c>
      <c r="K43" s="14">
        <v>124.04164688749063</v>
      </c>
      <c r="L43" s="14">
        <v>114.85072570990773</v>
      </c>
      <c r="M43" s="14">
        <v>118.04794543338673</v>
      </c>
      <c r="N43" s="14">
        <v>106.17543649931621</v>
      </c>
      <c r="O43" s="14">
        <v>102.00373743033094</v>
      </c>
      <c r="P43" s="14">
        <f t="shared" si="0"/>
        <v>1283.4476440171566</v>
      </c>
      <c r="Q43" s="287"/>
      <c r="R43" s="287"/>
      <c r="S43" s="287"/>
      <c r="T43" s="287"/>
      <c r="U43" s="287"/>
      <c r="V43" s="287"/>
      <c r="W43" s="287"/>
      <c r="X43" s="287"/>
      <c r="Y43" s="287"/>
      <c r="Z43" s="287"/>
      <c r="AA43" s="287"/>
      <c r="AB43" s="287"/>
      <c r="AC43" s="287"/>
      <c r="AD43" s="5">
        <v>144</v>
      </c>
      <c r="AE43" s="5">
        <v>174.3</v>
      </c>
      <c r="AF43" s="5">
        <v>233.2</v>
      </c>
      <c r="AG43" s="5">
        <v>243.5</v>
      </c>
      <c r="AH43" s="5">
        <v>206.8</v>
      </c>
      <c r="AI43" s="5">
        <v>179.5</v>
      </c>
      <c r="AJ43" s="5">
        <v>169.5</v>
      </c>
      <c r="AK43" s="5">
        <v>151</v>
      </c>
      <c r="AL43" s="5">
        <v>130.1</v>
      </c>
      <c r="AM43" s="5">
        <v>126.6</v>
      </c>
      <c r="AN43" s="5">
        <v>126.5</v>
      </c>
      <c r="AO43" s="5">
        <v>133</v>
      </c>
      <c r="AP43" s="5">
        <f t="shared" si="1"/>
        <v>2017.9999999999998</v>
      </c>
    </row>
    <row r="44" spans="1:42" x14ac:dyDescent="0.15">
      <c r="A44" s="12">
        <v>41</v>
      </c>
      <c r="B44" s="13" t="s">
        <v>51</v>
      </c>
      <c r="C44" s="13" t="s">
        <v>51</v>
      </c>
      <c r="D44" s="14">
        <v>113.45809902518431</v>
      </c>
      <c r="E44" s="14">
        <v>123.09762529054895</v>
      </c>
      <c r="F44" s="14">
        <v>160.12156428497849</v>
      </c>
      <c r="G44" s="14">
        <v>164.8042002763913</v>
      </c>
      <c r="H44" s="14">
        <v>153.25046163682524</v>
      </c>
      <c r="I44" s="14">
        <v>134.74737893189109</v>
      </c>
      <c r="J44" s="14">
        <v>133.9002985221916</v>
      </c>
      <c r="K44" s="14">
        <v>126.53217530261529</v>
      </c>
      <c r="L44" s="14">
        <v>116.76302081621948</v>
      </c>
      <c r="M44" s="14">
        <v>120.29036180639869</v>
      </c>
      <c r="N44" s="14">
        <v>113.59099220375631</v>
      </c>
      <c r="O44" s="14">
        <v>109.94459851119946</v>
      </c>
      <c r="P44" s="14">
        <f t="shared" si="0"/>
        <v>1226.6748240868458</v>
      </c>
      <c r="Q44" s="287"/>
      <c r="R44" s="287"/>
      <c r="S44" s="287"/>
      <c r="T44" s="287"/>
      <c r="U44" s="287"/>
      <c r="V44" s="287"/>
      <c r="W44" s="287"/>
      <c r="X44" s="287"/>
      <c r="Y44" s="287"/>
      <c r="Z44" s="287"/>
      <c r="AA44" s="287"/>
      <c r="AB44" s="287"/>
      <c r="AC44" s="287"/>
      <c r="AD44" s="5">
        <v>129.5</v>
      </c>
      <c r="AE44" s="5">
        <v>138.4</v>
      </c>
      <c r="AF44" s="5">
        <v>181.1</v>
      </c>
      <c r="AG44" s="5">
        <v>195.9</v>
      </c>
      <c r="AH44" s="5">
        <v>188.7</v>
      </c>
      <c r="AI44" s="5">
        <v>169</v>
      </c>
      <c r="AJ44" s="5">
        <v>163.6</v>
      </c>
      <c r="AK44" s="5">
        <v>155.4</v>
      </c>
      <c r="AL44" s="5">
        <v>135.5</v>
      </c>
      <c r="AM44" s="5">
        <v>133</v>
      </c>
      <c r="AN44" s="5">
        <v>130</v>
      </c>
      <c r="AO44" s="5">
        <v>133.4</v>
      </c>
      <c r="AP44" s="5">
        <f t="shared" si="1"/>
        <v>1853.5</v>
      </c>
    </row>
    <row r="45" spans="1:42" x14ac:dyDescent="0.15">
      <c r="A45" s="12">
        <v>42</v>
      </c>
      <c r="B45" s="13" t="s">
        <v>52</v>
      </c>
      <c r="C45" s="13" t="s">
        <v>52</v>
      </c>
      <c r="D45" s="14">
        <v>114.87194071467636</v>
      </c>
      <c r="E45" s="14">
        <v>123.32288198568858</v>
      </c>
      <c r="F45" s="14">
        <v>160.2905689278515</v>
      </c>
      <c r="G45" s="14">
        <v>163.29987468393932</v>
      </c>
      <c r="H45" s="14">
        <v>152.14955285425481</v>
      </c>
      <c r="I45" s="14">
        <v>131.01424965710999</v>
      </c>
      <c r="J45" s="14">
        <v>130.11940146333652</v>
      </c>
      <c r="K45" s="14">
        <v>122.09019300950256</v>
      </c>
      <c r="L45" s="14">
        <v>115.11118682982908</v>
      </c>
      <c r="M45" s="14">
        <v>123.13031251621825</v>
      </c>
      <c r="N45" s="14">
        <v>117.55443515571622</v>
      </c>
      <c r="O45" s="14">
        <v>115.22887949552985</v>
      </c>
      <c r="P45" s="14">
        <f t="shared" si="0"/>
        <v>1212.2698501261889</v>
      </c>
      <c r="Q45" s="287"/>
      <c r="R45" s="287"/>
      <c r="S45" s="287"/>
      <c r="T45" s="287"/>
      <c r="U45" s="287"/>
      <c r="V45" s="287"/>
      <c r="W45" s="287"/>
      <c r="X45" s="287"/>
      <c r="Y45" s="287"/>
      <c r="Z45" s="287"/>
      <c r="AA45" s="287"/>
      <c r="AB45" s="287"/>
      <c r="AC45" s="287"/>
      <c r="AD45" s="5">
        <v>151.4</v>
      </c>
      <c r="AE45" s="5">
        <v>151.80000000000001</v>
      </c>
      <c r="AF45" s="5">
        <v>194.9</v>
      </c>
      <c r="AG45" s="5">
        <v>194.2</v>
      </c>
      <c r="AH45" s="5">
        <v>184.3</v>
      </c>
      <c r="AI45" s="5">
        <v>163.80000000000001</v>
      </c>
      <c r="AJ45" s="5">
        <v>158</v>
      </c>
      <c r="AK45" s="5">
        <v>144.9</v>
      </c>
      <c r="AL45" s="5">
        <v>131.9</v>
      </c>
      <c r="AM45" s="5">
        <v>127.6</v>
      </c>
      <c r="AN45" s="5">
        <v>143.5</v>
      </c>
      <c r="AO45" s="5">
        <v>159.5</v>
      </c>
      <c r="AP45" s="5">
        <f t="shared" si="1"/>
        <v>1905.8</v>
      </c>
    </row>
    <row r="46" spans="1:42" x14ac:dyDescent="0.15">
      <c r="A46" s="12">
        <v>43</v>
      </c>
      <c r="B46" s="13" t="s">
        <v>53</v>
      </c>
      <c r="C46" s="13" t="s">
        <v>53</v>
      </c>
      <c r="D46" s="14">
        <v>114.9823570008768</v>
      </c>
      <c r="E46" s="14">
        <v>126.26532205728546</v>
      </c>
      <c r="F46" s="14">
        <v>162.22236362516688</v>
      </c>
      <c r="G46" s="14">
        <v>162.42068801674418</v>
      </c>
      <c r="H46" s="14">
        <v>148.18734218155996</v>
      </c>
      <c r="I46" s="14">
        <v>125.82337641355336</v>
      </c>
      <c r="J46" s="14">
        <v>124.6887119576985</v>
      </c>
      <c r="K46" s="14">
        <v>114.92848917150215</v>
      </c>
      <c r="L46" s="14">
        <v>111.67360477793919</v>
      </c>
      <c r="M46" s="14">
        <v>121.83267672785217</v>
      </c>
      <c r="N46" s="14">
        <v>111.88341526461697</v>
      </c>
      <c r="O46" s="14">
        <v>109.6880481026195</v>
      </c>
      <c r="P46" s="14">
        <f t="shared" si="0"/>
        <v>1191.1922552023264</v>
      </c>
      <c r="Q46" s="287"/>
      <c r="R46" s="287"/>
      <c r="S46" s="287"/>
      <c r="T46" s="287"/>
      <c r="U46" s="287"/>
      <c r="V46" s="287"/>
      <c r="W46" s="287"/>
      <c r="X46" s="287"/>
      <c r="Y46" s="287"/>
      <c r="Z46" s="287"/>
      <c r="AA46" s="287"/>
      <c r="AB46" s="287"/>
      <c r="AC46" s="287"/>
      <c r="AD46" s="5">
        <v>152.80000000000001</v>
      </c>
      <c r="AE46" s="5">
        <v>167.4</v>
      </c>
      <c r="AF46" s="5">
        <v>211.8</v>
      </c>
      <c r="AG46" s="5">
        <v>204.4</v>
      </c>
      <c r="AH46" s="5">
        <v>176.1</v>
      </c>
      <c r="AI46" s="5">
        <v>155.80000000000001</v>
      </c>
      <c r="AJ46" s="5">
        <v>147.80000000000001</v>
      </c>
      <c r="AK46" s="5">
        <v>133.19999999999999</v>
      </c>
      <c r="AL46" s="5">
        <v>116.8</v>
      </c>
      <c r="AM46" s="5">
        <v>124.2</v>
      </c>
      <c r="AN46" s="5">
        <v>136.6</v>
      </c>
      <c r="AO46" s="5">
        <v>148.1</v>
      </c>
      <c r="AP46" s="5">
        <f t="shared" si="1"/>
        <v>1874.9999999999998</v>
      </c>
    </row>
    <row r="47" spans="1:42" x14ac:dyDescent="0.15">
      <c r="A47" s="12">
        <v>44</v>
      </c>
      <c r="B47" s="18" t="s">
        <v>54</v>
      </c>
      <c r="C47" s="18"/>
      <c r="D47" s="14">
        <v>139.60077322362767</v>
      </c>
      <c r="E47" s="14">
        <v>123.33927011532761</v>
      </c>
      <c r="F47" s="14">
        <v>156.55704049465686</v>
      </c>
      <c r="G47" s="14">
        <v>154.7844041671207</v>
      </c>
      <c r="H47" s="14">
        <v>149.9292365750878</v>
      </c>
      <c r="I47" s="14">
        <v>145.34848646071325</v>
      </c>
      <c r="J47" s="14">
        <v>137.38466661364617</v>
      </c>
      <c r="K47" s="14">
        <v>136.29141905739678</v>
      </c>
      <c r="L47" s="14">
        <v>125.24396602202086</v>
      </c>
      <c r="M47" s="14">
        <v>127.45927641912945</v>
      </c>
      <c r="N47" s="14">
        <v>135.89997115823758</v>
      </c>
      <c r="O47" s="14">
        <v>144.37525319474111</v>
      </c>
      <c r="P47" s="14">
        <f t="shared" si="0"/>
        <v>1268.4792627295976</v>
      </c>
      <c r="Q47" s="287"/>
      <c r="R47" s="287"/>
      <c r="S47" s="287"/>
      <c r="T47" s="287"/>
      <c r="U47" s="287"/>
      <c r="V47" s="287"/>
      <c r="W47" s="287"/>
      <c r="X47" s="287"/>
      <c r="Y47" s="287"/>
      <c r="Z47" s="287"/>
      <c r="AA47" s="287"/>
      <c r="AB47" s="287"/>
      <c r="AC47" s="287"/>
      <c r="AD47" s="5" t="s">
        <v>575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f t="shared" si="1"/>
        <v>0</v>
      </c>
    </row>
    <row r="48" spans="1:42" x14ac:dyDescent="0.15">
      <c r="A48" s="12">
        <v>45</v>
      </c>
      <c r="B48" s="13" t="s">
        <v>55</v>
      </c>
      <c r="C48" s="13" t="s">
        <v>55</v>
      </c>
      <c r="D48" s="14">
        <v>111.8942703062052</v>
      </c>
      <c r="E48" s="14">
        <v>123.93343002479813</v>
      </c>
      <c r="F48" s="14">
        <v>161.88409065112856</v>
      </c>
      <c r="G48" s="14">
        <v>167.62101254357879</v>
      </c>
      <c r="H48" s="14">
        <v>153.90962567903395</v>
      </c>
      <c r="I48" s="14">
        <v>131.41383457441054</v>
      </c>
      <c r="J48" s="14">
        <v>133.46370098313596</v>
      </c>
      <c r="K48" s="14">
        <v>127.34160222059394</v>
      </c>
      <c r="L48" s="14">
        <v>118.05669522672686</v>
      </c>
      <c r="M48" s="14">
        <v>117.76119928037559</v>
      </c>
      <c r="N48" s="14">
        <v>110.43836529621498</v>
      </c>
      <c r="O48" s="14">
        <v>107.95200018264499</v>
      </c>
      <c r="P48" s="14">
        <f t="shared" si="0"/>
        <v>1229.518262209612</v>
      </c>
      <c r="Q48" s="287"/>
      <c r="R48" s="287"/>
      <c r="S48" s="287"/>
      <c r="T48" s="287"/>
      <c r="U48" s="287"/>
      <c r="V48" s="287"/>
      <c r="W48" s="287"/>
      <c r="X48" s="287"/>
      <c r="Y48" s="287"/>
      <c r="Z48" s="287"/>
      <c r="AA48" s="287"/>
      <c r="AB48" s="287"/>
      <c r="AC48" s="287"/>
      <c r="AD48" s="5">
        <v>140</v>
      </c>
      <c r="AE48" s="5">
        <v>150.4</v>
      </c>
      <c r="AF48" s="5">
        <v>205.8</v>
      </c>
      <c r="AG48" s="5">
        <v>215.7</v>
      </c>
      <c r="AH48" s="5">
        <v>190.4</v>
      </c>
      <c r="AI48" s="5">
        <v>157.5</v>
      </c>
      <c r="AJ48" s="5">
        <v>160.4</v>
      </c>
      <c r="AK48" s="5">
        <v>154</v>
      </c>
      <c r="AL48" s="5">
        <v>138.1</v>
      </c>
      <c r="AM48" s="5">
        <v>122.6</v>
      </c>
      <c r="AN48" s="5">
        <v>128</v>
      </c>
      <c r="AO48" s="5">
        <v>142.19999999999999</v>
      </c>
      <c r="AP48" s="5">
        <f t="shared" si="1"/>
        <v>1905.1</v>
      </c>
    </row>
    <row r="49" spans="1:42" x14ac:dyDescent="0.15">
      <c r="A49" s="12">
        <v>46</v>
      </c>
      <c r="B49" s="13" t="s">
        <v>56</v>
      </c>
      <c r="C49" s="13" t="s">
        <v>55</v>
      </c>
      <c r="D49" s="14">
        <v>100.25229486632594</v>
      </c>
      <c r="E49" s="14">
        <v>107.90830331890555</v>
      </c>
      <c r="F49" s="14">
        <v>145.10109804357805</v>
      </c>
      <c r="G49" s="14">
        <v>153.87019898090202</v>
      </c>
      <c r="H49" s="14">
        <v>142.87187106926001</v>
      </c>
      <c r="I49" s="14">
        <v>109.87501459850282</v>
      </c>
      <c r="J49" s="14">
        <v>106.64187069847971</v>
      </c>
      <c r="K49" s="14">
        <v>100.4223154351192</v>
      </c>
      <c r="L49" s="14">
        <v>102.38414986032006</v>
      </c>
      <c r="M49" s="14">
        <v>115.16891342429807</v>
      </c>
      <c r="N49" s="14">
        <v>104.06664874793239</v>
      </c>
      <c r="O49" s="14">
        <v>94.142616531416863</v>
      </c>
      <c r="P49" s="14">
        <f t="shared" si="0"/>
        <v>1069.3271168713934</v>
      </c>
      <c r="Q49" s="287"/>
      <c r="R49" s="287"/>
      <c r="S49" s="287"/>
      <c r="T49" s="287"/>
      <c r="U49" s="287"/>
      <c r="V49" s="287"/>
      <c r="W49" s="287"/>
      <c r="X49" s="287"/>
      <c r="Y49" s="287"/>
      <c r="Z49" s="287"/>
      <c r="AA49" s="287"/>
      <c r="AB49" s="287"/>
      <c r="AC49" s="287"/>
      <c r="AD49" s="5">
        <v>118.4</v>
      </c>
      <c r="AE49" s="5">
        <v>137.1</v>
      </c>
      <c r="AF49" s="5">
        <v>174.9</v>
      </c>
      <c r="AG49" s="5">
        <v>176.9</v>
      </c>
      <c r="AH49" s="5">
        <v>139.4</v>
      </c>
      <c r="AI49" s="5">
        <v>95.1</v>
      </c>
      <c r="AJ49" s="5">
        <v>90.1</v>
      </c>
      <c r="AK49" s="5">
        <v>84.9</v>
      </c>
      <c r="AL49" s="5">
        <v>102.2</v>
      </c>
      <c r="AM49" s="5">
        <v>109.3</v>
      </c>
      <c r="AN49" s="5">
        <v>103</v>
      </c>
      <c r="AO49" s="5">
        <v>108.8</v>
      </c>
      <c r="AP49" s="5">
        <f t="shared" si="1"/>
        <v>1440.1</v>
      </c>
    </row>
    <row r="50" spans="1:42" x14ac:dyDescent="0.15">
      <c r="A50" s="12">
        <v>47</v>
      </c>
      <c r="B50" s="18" t="s">
        <v>109</v>
      </c>
      <c r="C50" s="18" t="s">
        <v>109</v>
      </c>
      <c r="D50" s="14">
        <v>115.09059225973535</v>
      </c>
      <c r="E50" s="14">
        <v>125.17160079352651</v>
      </c>
      <c r="F50" s="14">
        <v>155.47821165265572</v>
      </c>
      <c r="G50" s="14">
        <v>154.70285122896698</v>
      </c>
      <c r="H50" s="14">
        <v>143.32977385437093</v>
      </c>
      <c r="I50" s="14">
        <v>124.55474573656831</v>
      </c>
      <c r="J50" s="14">
        <v>125.56264329265102</v>
      </c>
      <c r="K50" s="14">
        <v>121.47434133956712</v>
      </c>
      <c r="L50" s="14">
        <v>110.32510449720311</v>
      </c>
      <c r="M50" s="14">
        <v>112.93116171276995</v>
      </c>
      <c r="N50" s="14">
        <v>107.50673663421605</v>
      </c>
      <c r="O50" s="14">
        <v>107.85816052470324</v>
      </c>
      <c r="P50" s="14">
        <f t="shared" si="0"/>
        <v>1175.6898646552449</v>
      </c>
      <c r="Q50" s="287"/>
      <c r="R50" s="287"/>
      <c r="S50" s="287"/>
      <c r="T50" s="287"/>
      <c r="U50" s="287"/>
      <c r="V50" s="287"/>
      <c r="W50" s="287"/>
      <c r="X50" s="287"/>
      <c r="Y50" s="287"/>
      <c r="Z50" s="287"/>
      <c r="AA50" s="287"/>
      <c r="AB50" s="287"/>
      <c r="AC50" s="287"/>
      <c r="AD50" s="5">
        <v>135.6</v>
      </c>
      <c r="AE50" s="5">
        <v>143.6</v>
      </c>
      <c r="AF50" s="5">
        <v>183.6</v>
      </c>
      <c r="AG50" s="5">
        <v>183.3</v>
      </c>
      <c r="AH50" s="5">
        <v>173.7</v>
      </c>
      <c r="AI50" s="5">
        <v>151.4</v>
      </c>
      <c r="AJ50" s="5">
        <v>150.30000000000001</v>
      </c>
      <c r="AK50" s="5">
        <v>151.6</v>
      </c>
      <c r="AL50" s="5">
        <v>128.6</v>
      </c>
      <c r="AM50" s="5">
        <v>122.8</v>
      </c>
      <c r="AN50" s="5">
        <v>124.4</v>
      </c>
      <c r="AO50" s="5">
        <v>133.6</v>
      </c>
      <c r="AP50" s="5">
        <f t="shared" si="1"/>
        <v>1782.4999999999998</v>
      </c>
    </row>
    <row r="51" spans="1:42" x14ac:dyDescent="0.15">
      <c r="A51" s="12">
        <v>48</v>
      </c>
      <c r="B51" s="13" t="s">
        <v>57</v>
      </c>
      <c r="C51" s="18" t="s">
        <v>109</v>
      </c>
      <c r="D51" s="14">
        <v>115.35134805474227</v>
      </c>
      <c r="E51" s="14">
        <v>120.99900473104019</v>
      </c>
      <c r="F51" s="14">
        <v>151.1435185760339</v>
      </c>
      <c r="G51" s="14">
        <v>147.55179203123336</v>
      </c>
      <c r="H51" s="14">
        <v>139.84797287646194</v>
      </c>
      <c r="I51" s="14">
        <v>127.54957690876437</v>
      </c>
      <c r="J51" s="14">
        <v>127.17695838129553</v>
      </c>
      <c r="K51" s="14">
        <v>123.40949093885946</v>
      </c>
      <c r="L51" s="14">
        <v>109.57604262573764</v>
      </c>
      <c r="M51" s="14">
        <v>111.94585811069018</v>
      </c>
      <c r="N51" s="14">
        <v>110.28526069468468</v>
      </c>
      <c r="O51" s="14">
        <v>111.86701218247768</v>
      </c>
      <c r="P51" s="14">
        <f t="shared" si="0"/>
        <v>1162.6057051241689</v>
      </c>
      <c r="Q51" s="287"/>
      <c r="R51" s="287"/>
      <c r="S51" s="287"/>
      <c r="T51" s="287"/>
      <c r="U51" s="287"/>
      <c r="V51" s="287"/>
      <c r="W51" s="287"/>
      <c r="X51" s="287"/>
      <c r="Y51" s="287"/>
      <c r="Z51" s="287"/>
      <c r="AA51" s="287"/>
      <c r="AB51" s="287"/>
      <c r="AC51" s="287"/>
      <c r="AD51" s="5" t="s">
        <v>576</v>
      </c>
      <c r="AE51" s="5" t="s">
        <v>576</v>
      </c>
      <c r="AF51" s="5" t="s">
        <v>576</v>
      </c>
      <c r="AG51" s="5" t="s">
        <v>576</v>
      </c>
      <c r="AH51" s="5" t="s">
        <v>576</v>
      </c>
      <c r="AI51" s="5" t="s">
        <v>576</v>
      </c>
      <c r="AJ51" s="5" t="s">
        <v>576</v>
      </c>
      <c r="AK51" s="5" t="s">
        <v>576</v>
      </c>
      <c r="AL51" s="5" t="s">
        <v>576</v>
      </c>
      <c r="AM51" s="5" t="s">
        <v>576</v>
      </c>
      <c r="AN51" s="5" t="s">
        <v>576</v>
      </c>
      <c r="AO51" s="5" t="s">
        <v>576</v>
      </c>
      <c r="AP51" s="5">
        <f t="shared" si="1"/>
        <v>0</v>
      </c>
    </row>
    <row r="52" spans="1:42" x14ac:dyDescent="0.15">
      <c r="A52" s="12">
        <v>49</v>
      </c>
      <c r="B52" s="13" t="s">
        <v>58</v>
      </c>
      <c r="C52" s="18" t="s">
        <v>109</v>
      </c>
      <c r="D52" s="14">
        <v>130.316663731977</v>
      </c>
      <c r="E52" s="14">
        <v>136.49009232101244</v>
      </c>
      <c r="F52" s="14">
        <v>169.13546231637085</v>
      </c>
      <c r="G52" s="14">
        <v>166.1181413531225</v>
      </c>
      <c r="H52" s="14">
        <v>156.64545521000099</v>
      </c>
      <c r="I52" s="14">
        <v>145.16952632587146</v>
      </c>
      <c r="J52" s="14">
        <v>146.05227146004361</v>
      </c>
      <c r="K52" s="14">
        <v>138.80137554925577</v>
      </c>
      <c r="L52" s="14">
        <v>123.04028412579483</v>
      </c>
      <c r="M52" s="14">
        <v>125.11435369464782</v>
      </c>
      <c r="N52" s="14">
        <v>122.18496491145191</v>
      </c>
      <c r="O52" s="14">
        <v>123.99298305493306</v>
      </c>
      <c r="P52" s="14">
        <f t="shared" si="0"/>
        <v>1311.7692723934492</v>
      </c>
      <c r="Q52" s="287"/>
      <c r="R52" s="287"/>
      <c r="S52" s="287"/>
      <c r="T52" s="287"/>
      <c r="U52" s="287"/>
      <c r="V52" s="287"/>
      <c r="W52" s="287"/>
      <c r="X52" s="287"/>
      <c r="Y52" s="287"/>
      <c r="Z52" s="287"/>
      <c r="AA52" s="287"/>
      <c r="AB52" s="287"/>
      <c r="AC52" s="287"/>
      <c r="AD52" s="5" t="s">
        <v>575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f t="shared" si="1"/>
        <v>0</v>
      </c>
    </row>
    <row r="53" spans="1:42" x14ac:dyDescent="0.15">
      <c r="A53" s="12">
        <v>50</v>
      </c>
      <c r="B53" s="13" t="s">
        <v>59</v>
      </c>
      <c r="C53" s="13" t="s">
        <v>59</v>
      </c>
      <c r="D53" s="14">
        <v>115.65379358971688</v>
      </c>
      <c r="E53" s="14">
        <v>119.60598679502507</v>
      </c>
      <c r="F53" s="14">
        <v>150.75104198864568</v>
      </c>
      <c r="G53" s="14">
        <v>149.55048150358942</v>
      </c>
      <c r="H53" s="14">
        <v>140.64409017555329</v>
      </c>
      <c r="I53" s="14">
        <v>120.64520175433996</v>
      </c>
      <c r="J53" s="14">
        <v>122.38074790263659</v>
      </c>
      <c r="K53" s="14">
        <v>115.95306293061307</v>
      </c>
      <c r="L53" s="14">
        <v>115.06989860984693</v>
      </c>
      <c r="M53" s="14">
        <v>124.89772426267095</v>
      </c>
      <c r="N53" s="14">
        <v>118.64619765476691</v>
      </c>
      <c r="O53" s="14">
        <v>115.8427677348416</v>
      </c>
      <c r="P53" s="14">
        <f t="shared" si="0"/>
        <v>1150.2543052499668</v>
      </c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  <c r="AC53" s="287"/>
      <c r="AD53" s="5">
        <v>137.80000000000001</v>
      </c>
      <c r="AE53" s="5">
        <v>132.4</v>
      </c>
      <c r="AF53" s="5">
        <v>169</v>
      </c>
      <c r="AG53" s="5">
        <v>157.30000000000001</v>
      </c>
      <c r="AH53" s="5">
        <v>147</v>
      </c>
      <c r="AI53" s="5">
        <v>126.7</v>
      </c>
      <c r="AJ53" s="5">
        <v>133</v>
      </c>
      <c r="AK53" s="5">
        <v>126</v>
      </c>
      <c r="AL53" s="5">
        <v>122.8</v>
      </c>
      <c r="AM53" s="5">
        <v>125.1</v>
      </c>
      <c r="AN53" s="5">
        <v>136.19999999999999</v>
      </c>
      <c r="AO53" s="5">
        <v>140.4</v>
      </c>
      <c r="AP53" s="5">
        <f t="shared" si="1"/>
        <v>1653.7</v>
      </c>
    </row>
    <row r="54" spans="1:42" x14ac:dyDescent="0.15">
      <c r="A54" s="12">
        <v>51</v>
      </c>
      <c r="B54" s="13" t="s">
        <v>60</v>
      </c>
      <c r="C54" s="13" t="s">
        <v>59</v>
      </c>
      <c r="D54" s="14">
        <v>112.70677380412984</v>
      </c>
      <c r="E54" s="14">
        <v>121.86992295812939</v>
      </c>
      <c r="F54" s="14">
        <v>151.75357631844625</v>
      </c>
      <c r="G54" s="14">
        <v>152.31959772784094</v>
      </c>
      <c r="H54" s="14">
        <v>138.05731768607507</v>
      </c>
      <c r="I54" s="14">
        <v>116.14230959989227</v>
      </c>
      <c r="J54" s="14">
        <v>115.73734655299003</v>
      </c>
      <c r="K54" s="14">
        <v>109.16774892541666</v>
      </c>
      <c r="L54" s="14">
        <v>106.08176850693977</v>
      </c>
      <c r="M54" s="14">
        <v>118.91653189968147</v>
      </c>
      <c r="N54" s="14">
        <v>117.48647225069347</v>
      </c>
      <c r="O54" s="14">
        <v>116.36993285454547</v>
      </c>
      <c r="P54" s="14">
        <f t="shared" si="0"/>
        <v>1123.8363620798602</v>
      </c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  <c r="AC54" s="287"/>
      <c r="AD54" s="5">
        <v>146.5</v>
      </c>
      <c r="AE54" s="5">
        <v>147.80000000000001</v>
      </c>
      <c r="AF54" s="5">
        <v>185.5</v>
      </c>
      <c r="AG54" s="5">
        <v>178.4</v>
      </c>
      <c r="AH54" s="5">
        <v>154.4</v>
      </c>
      <c r="AI54" s="5">
        <v>129.69999999999999</v>
      </c>
      <c r="AJ54" s="5">
        <v>130.19999999999999</v>
      </c>
      <c r="AK54" s="5">
        <v>127.3</v>
      </c>
      <c r="AL54" s="5">
        <v>122.5</v>
      </c>
      <c r="AM54" s="5">
        <v>126.8</v>
      </c>
      <c r="AN54" s="5">
        <v>135.4</v>
      </c>
      <c r="AO54" s="5">
        <v>151.9</v>
      </c>
      <c r="AP54" s="5">
        <f t="shared" si="1"/>
        <v>1736.4</v>
      </c>
    </row>
    <row r="55" spans="1:42" x14ac:dyDescent="0.15">
      <c r="A55" s="12">
        <v>52</v>
      </c>
      <c r="B55" s="13" t="s">
        <v>61</v>
      </c>
      <c r="C55" s="13" t="s">
        <v>62</v>
      </c>
      <c r="D55" s="14">
        <v>116.88422026563934</v>
      </c>
      <c r="E55" s="14">
        <v>125.16653536464214</v>
      </c>
      <c r="F55" s="14">
        <v>159.76369460255438</v>
      </c>
      <c r="G55" s="14">
        <v>157.5438526743819</v>
      </c>
      <c r="H55" s="14">
        <v>146.53819957577639</v>
      </c>
      <c r="I55" s="14">
        <v>126.4835448929571</v>
      </c>
      <c r="J55" s="14">
        <v>128.72652164942264</v>
      </c>
      <c r="K55" s="14">
        <v>121.28451205774859</v>
      </c>
      <c r="L55" s="14">
        <v>116.40884233435142</v>
      </c>
      <c r="M55" s="14">
        <v>121.03680129127454</v>
      </c>
      <c r="N55" s="14">
        <v>113.41329290375253</v>
      </c>
      <c r="O55" s="14">
        <v>111.96733468997982</v>
      </c>
      <c r="P55" s="14">
        <f t="shared" si="0"/>
        <v>1198.7999234174738</v>
      </c>
      <c r="Q55" s="287"/>
      <c r="R55" s="287"/>
      <c r="S55" s="287"/>
      <c r="T55" s="287"/>
      <c r="U55" s="287"/>
      <c r="V55" s="287"/>
      <c r="W55" s="287"/>
      <c r="X55" s="287"/>
      <c r="Y55" s="287"/>
      <c r="Z55" s="287"/>
      <c r="AA55" s="287"/>
      <c r="AB55" s="287"/>
      <c r="AC55" s="287"/>
      <c r="AD55" s="5">
        <v>141.69999999999999</v>
      </c>
      <c r="AE55" s="5">
        <v>144.80000000000001</v>
      </c>
      <c r="AF55" s="5">
        <v>187.9</v>
      </c>
      <c r="AG55" s="5">
        <v>181</v>
      </c>
      <c r="AH55" s="5">
        <v>163.1</v>
      </c>
      <c r="AI55" s="5">
        <v>144.4</v>
      </c>
      <c r="AJ55" s="5">
        <v>141.9</v>
      </c>
      <c r="AK55" s="5">
        <v>140</v>
      </c>
      <c r="AL55" s="5">
        <v>124.2</v>
      </c>
      <c r="AM55" s="5">
        <v>123.6</v>
      </c>
      <c r="AN55" s="5">
        <v>124.8</v>
      </c>
      <c r="AO55" s="5">
        <v>131.9</v>
      </c>
      <c r="AP55" s="5">
        <f t="shared" si="1"/>
        <v>1749.3</v>
      </c>
    </row>
    <row r="56" spans="1:42" x14ac:dyDescent="0.15">
      <c r="A56" s="12">
        <v>53</v>
      </c>
      <c r="B56" s="13" t="s">
        <v>62</v>
      </c>
      <c r="C56" s="13" t="s">
        <v>62</v>
      </c>
      <c r="D56" s="14">
        <v>116.11840106003015</v>
      </c>
      <c r="E56" s="14">
        <v>121.16777086320661</v>
      </c>
      <c r="F56" s="14">
        <v>151.19668943751788</v>
      </c>
      <c r="G56" s="14">
        <v>135.15641071244801</v>
      </c>
      <c r="H56" s="14">
        <v>132.37647517515842</v>
      </c>
      <c r="I56" s="14">
        <v>114.84978740618124</v>
      </c>
      <c r="J56" s="14">
        <v>115.80791827135658</v>
      </c>
      <c r="K56" s="14">
        <v>121.30257530598084</v>
      </c>
      <c r="L56" s="14">
        <v>113.78601050221526</v>
      </c>
      <c r="M56" s="14">
        <v>119.96916945679372</v>
      </c>
      <c r="N56" s="14">
        <v>108.83996585078853</v>
      </c>
      <c r="O56" s="14">
        <v>108.3430977730801</v>
      </c>
      <c r="P56" s="14">
        <f t="shared" si="0"/>
        <v>1121.7620387340951</v>
      </c>
      <c r="Q56" s="287"/>
      <c r="R56" s="287"/>
      <c r="S56" s="287"/>
      <c r="T56" s="287"/>
      <c r="U56" s="287"/>
      <c r="V56" s="287"/>
      <c r="W56" s="287"/>
      <c r="X56" s="287"/>
      <c r="Y56" s="287"/>
      <c r="Z56" s="287"/>
      <c r="AA56" s="287"/>
      <c r="AB56" s="287"/>
      <c r="AC56" s="287"/>
      <c r="AD56" s="5">
        <v>140.19999999999999</v>
      </c>
      <c r="AE56" s="5">
        <v>140.9</v>
      </c>
      <c r="AF56" s="5">
        <v>168.8</v>
      </c>
      <c r="AG56" s="5">
        <v>136.19999999999999</v>
      </c>
      <c r="AH56" s="5">
        <v>135.69999999999999</v>
      </c>
      <c r="AI56" s="5">
        <v>107.5</v>
      </c>
      <c r="AJ56" s="5">
        <v>102.1</v>
      </c>
      <c r="AK56" s="5">
        <v>122.6</v>
      </c>
      <c r="AL56" s="5">
        <v>108.1</v>
      </c>
      <c r="AM56" s="5">
        <v>120.4</v>
      </c>
      <c r="AN56" s="5">
        <v>134.19999999999999</v>
      </c>
      <c r="AO56" s="5">
        <v>146.9</v>
      </c>
      <c r="AP56" s="5">
        <f t="shared" si="1"/>
        <v>1563.6000000000001</v>
      </c>
    </row>
    <row r="57" spans="1:42" x14ac:dyDescent="0.15">
      <c r="A57" s="12">
        <v>54</v>
      </c>
      <c r="B57" s="13" t="s">
        <v>63</v>
      </c>
      <c r="C57" s="13" t="s">
        <v>63</v>
      </c>
      <c r="D57" s="14">
        <v>124.18763762878626</v>
      </c>
      <c r="E57" s="14">
        <v>127.24996413308895</v>
      </c>
      <c r="F57" s="14">
        <v>160.26717150784918</v>
      </c>
      <c r="G57" s="14">
        <v>160.20636045619452</v>
      </c>
      <c r="H57" s="14">
        <v>149.69358392990972</v>
      </c>
      <c r="I57" s="14">
        <v>134.11463808950626</v>
      </c>
      <c r="J57" s="14">
        <v>135.34560061588911</v>
      </c>
      <c r="K57" s="14">
        <v>129.18819095358765</v>
      </c>
      <c r="L57" s="14">
        <v>118.42727284697114</v>
      </c>
      <c r="M57" s="14">
        <v>123.8273556719536</v>
      </c>
      <c r="N57" s="14">
        <v>122.69778005024051</v>
      </c>
      <c r="O57" s="14">
        <v>124.19389574502749</v>
      </c>
      <c r="P57" s="14">
        <f t="shared" si="0"/>
        <v>1238.6804201617826</v>
      </c>
      <c r="Q57" s="287"/>
      <c r="R57" s="287"/>
      <c r="S57" s="287"/>
      <c r="T57" s="287"/>
      <c r="U57" s="287"/>
      <c r="V57" s="287"/>
      <c r="W57" s="287"/>
      <c r="X57" s="287"/>
      <c r="Y57" s="287"/>
      <c r="Z57" s="287"/>
      <c r="AA57" s="287"/>
      <c r="AB57" s="287"/>
      <c r="AC57" s="287"/>
      <c r="AD57" s="5">
        <v>143.19999999999999</v>
      </c>
      <c r="AE57" s="5">
        <v>142.1</v>
      </c>
      <c r="AF57" s="5">
        <v>178.8</v>
      </c>
      <c r="AG57" s="5">
        <v>175.2</v>
      </c>
      <c r="AH57" s="5">
        <v>162.30000000000001</v>
      </c>
      <c r="AI57" s="5">
        <v>153.1</v>
      </c>
      <c r="AJ57" s="5">
        <v>153.4</v>
      </c>
      <c r="AK57" s="5">
        <v>152.9</v>
      </c>
      <c r="AL57" s="5">
        <v>133.1</v>
      </c>
      <c r="AM57" s="5">
        <v>127.6</v>
      </c>
      <c r="AN57" s="5">
        <v>135.80000000000001</v>
      </c>
      <c r="AO57" s="5">
        <v>150.5</v>
      </c>
      <c r="AP57" s="5">
        <f t="shared" si="1"/>
        <v>1807.9999999999998</v>
      </c>
    </row>
    <row r="58" spans="1:42" x14ac:dyDescent="0.15">
      <c r="A58" s="12">
        <v>55</v>
      </c>
      <c r="B58" s="13" t="s">
        <v>64</v>
      </c>
      <c r="C58" s="13" t="s">
        <v>63</v>
      </c>
      <c r="D58" s="14">
        <v>122.49272465595776</v>
      </c>
      <c r="E58" s="14">
        <v>123.73690943310909</v>
      </c>
      <c r="F58" s="14">
        <v>154.70702520350883</v>
      </c>
      <c r="G58" s="14">
        <v>155.62448073798879</v>
      </c>
      <c r="H58" s="14">
        <v>149.23763403888256</v>
      </c>
      <c r="I58" s="14">
        <v>137.20251104491774</v>
      </c>
      <c r="J58" s="14">
        <v>137.36663331657292</v>
      </c>
      <c r="K58" s="14">
        <v>133.89311144207548</v>
      </c>
      <c r="L58" s="14">
        <v>117.23499949593537</v>
      </c>
      <c r="M58" s="14">
        <v>120.66637108196328</v>
      </c>
      <c r="N58" s="14">
        <v>127.8486978266104</v>
      </c>
      <c r="O58" s="14">
        <v>132.94091653569268</v>
      </c>
      <c r="P58" s="14">
        <f t="shared" si="0"/>
        <v>1231.4960293689487</v>
      </c>
      <c r="Q58" s="287"/>
      <c r="R58" s="287"/>
      <c r="S58" s="287"/>
      <c r="T58" s="287"/>
      <c r="U58" s="287"/>
      <c r="V58" s="287"/>
      <c r="W58" s="287"/>
      <c r="X58" s="287"/>
      <c r="Y58" s="287"/>
      <c r="Z58" s="287"/>
      <c r="AA58" s="287"/>
      <c r="AB58" s="287"/>
      <c r="AC58" s="287"/>
      <c r="AD58" s="5" t="s">
        <v>575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f t="shared" si="1"/>
        <v>0</v>
      </c>
    </row>
    <row r="59" spans="1:42" x14ac:dyDescent="0.15">
      <c r="A59" s="12">
        <v>56</v>
      </c>
      <c r="B59" s="13" t="s">
        <v>65</v>
      </c>
      <c r="C59" s="13" t="s">
        <v>63</v>
      </c>
      <c r="D59" s="14">
        <v>121.97645013595755</v>
      </c>
      <c r="E59" s="14">
        <v>122.13768004864588</v>
      </c>
      <c r="F59" s="14">
        <v>149.1275980718911</v>
      </c>
      <c r="G59" s="14">
        <v>147.21783844031194</v>
      </c>
      <c r="H59" s="14">
        <v>135.83311685325882</v>
      </c>
      <c r="I59" s="14">
        <v>126.53328804582563</v>
      </c>
      <c r="J59" s="14">
        <v>128.37065231143015</v>
      </c>
      <c r="K59" s="14">
        <v>127.46297432856981</v>
      </c>
      <c r="L59" s="14">
        <v>109.39881521975511</v>
      </c>
      <c r="M59" s="14">
        <v>107.53781907748758</v>
      </c>
      <c r="N59" s="14">
        <v>113.671409073394</v>
      </c>
      <c r="O59" s="14">
        <v>127.15435175379505</v>
      </c>
      <c r="P59" s="14">
        <f t="shared" si="0"/>
        <v>1168.0584134556459</v>
      </c>
      <c r="Q59" s="287"/>
      <c r="R59" s="287"/>
      <c r="S59" s="287"/>
      <c r="T59" s="287"/>
      <c r="U59" s="287"/>
      <c r="V59" s="287"/>
      <c r="W59" s="287"/>
      <c r="X59" s="287"/>
      <c r="Y59" s="287"/>
      <c r="Z59" s="287"/>
      <c r="AA59" s="287"/>
      <c r="AB59" s="287"/>
      <c r="AC59" s="287"/>
      <c r="AD59" s="5">
        <v>137.9</v>
      </c>
      <c r="AE59" s="5">
        <v>143.69999999999999</v>
      </c>
      <c r="AF59" s="5">
        <v>178.8</v>
      </c>
      <c r="AG59" s="5">
        <v>174.1</v>
      </c>
      <c r="AH59" s="5">
        <v>164.7</v>
      </c>
      <c r="AI59" s="5">
        <v>161.80000000000001</v>
      </c>
      <c r="AJ59" s="5">
        <v>159.9</v>
      </c>
      <c r="AK59" s="5">
        <v>160.4</v>
      </c>
      <c r="AL59" s="5">
        <v>131.1</v>
      </c>
      <c r="AM59" s="5">
        <v>114.9</v>
      </c>
      <c r="AN59" s="5">
        <v>129.1</v>
      </c>
      <c r="AO59" s="5">
        <v>144.30000000000001</v>
      </c>
      <c r="AP59" s="5">
        <f t="shared" si="1"/>
        <v>1800.7</v>
      </c>
    </row>
    <row r="60" spans="1:42" x14ac:dyDescent="0.15">
      <c r="A60" s="12">
        <v>57</v>
      </c>
      <c r="B60" s="13" t="s">
        <v>66</v>
      </c>
      <c r="C60" s="13" t="s">
        <v>63</v>
      </c>
      <c r="D60" s="14">
        <v>123.24181125668738</v>
      </c>
      <c r="E60" s="14">
        <v>123.90416996243636</v>
      </c>
      <c r="F60" s="14">
        <v>154.91567140236725</v>
      </c>
      <c r="G60" s="14">
        <v>154.32394101183081</v>
      </c>
      <c r="H60" s="14">
        <v>140.1617374704756</v>
      </c>
      <c r="I60" s="14">
        <v>129.30570981331888</v>
      </c>
      <c r="J60" s="14">
        <v>132.63395040420909</v>
      </c>
      <c r="K60" s="14">
        <v>128.64280046543197</v>
      </c>
      <c r="L60" s="14">
        <v>110.32739138319093</v>
      </c>
      <c r="M60" s="14">
        <v>116.34094796441732</v>
      </c>
      <c r="N60" s="14">
        <v>119.19821173129965</v>
      </c>
      <c r="O60" s="14">
        <v>129.67158762086717</v>
      </c>
      <c r="P60" s="14">
        <f t="shared" si="0"/>
        <v>1197.4571831699482</v>
      </c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7"/>
      <c r="AC60" s="287"/>
      <c r="AD60" s="5" t="s">
        <v>575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f t="shared" si="1"/>
        <v>0</v>
      </c>
    </row>
    <row r="61" spans="1:42" x14ac:dyDescent="0.15">
      <c r="A61" s="12">
        <v>58</v>
      </c>
      <c r="B61" s="13" t="s">
        <v>67</v>
      </c>
      <c r="C61" s="13" t="s">
        <v>63</v>
      </c>
      <c r="D61" s="14">
        <v>124.94653383177902</v>
      </c>
      <c r="E61" s="14">
        <v>125.55370955172833</v>
      </c>
      <c r="F61" s="14">
        <v>155.65764789060492</v>
      </c>
      <c r="G61" s="14">
        <v>155.3686860584464</v>
      </c>
      <c r="H61" s="14">
        <v>145.68911071931689</v>
      </c>
      <c r="I61" s="14">
        <v>132.06683933310103</v>
      </c>
      <c r="J61" s="14">
        <v>133.27439709709827</v>
      </c>
      <c r="K61" s="14">
        <v>129.59377600085173</v>
      </c>
      <c r="L61" s="14">
        <v>111.13790044554742</v>
      </c>
      <c r="M61" s="14">
        <v>113.55496833612345</v>
      </c>
      <c r="N61" s="14">
        <v>118.73086857055175</v>
      </c>
      <c r="O61" s="14">
        <v>126.46299973836454</v>
      </c>
      <c r="P61" s="14">
        <f t="shared" si="0"/>
        <v>1213.2886009284739</v>
      </c>
      <c r="Q61" s="287"/>
      <c r="R61" s="287"/>
      <c r="S61" s="287"/>
      <c r="T61" s="287"/>
      <c r="U61" s="287"/>
      <c r="V61" s="287"/>
      <c r="W61" s="287"/>
      <c r="X61" s="287"/>
      <c r="Y61" s="287"/>
      <c r="Z61" s="287"/>
      <c r="AA61" s="287"/>
      <c r="AB61" s="287"/>
      <c r="AC61" s="287"/>
      <c r="AD61" s="5" t="s">
        <v>576</v>
      </c>
      <c r="AE61" s="5" t="s">
        <v>576</v>
      </c>
      <c r="AF61" s="5" t="s">
        <v>576</v>
      </c>
      <c r="AG61" s="5" t="s">
        <v>576</v>
      </c>
      <c r="AH61" s="5" t="s">
        <v>576</v>
      </c>
      <c r="AI61" s="5" t="s">
        <v>576</v>
      </c>
      <c r="AJ61" s="5" t="s">
        <v>576</v>
      </c>
      <c r="AK61" s="5" t="s">
        <v>576</v>
      </c>
      <c r="AL61" s="5" t="s">
        <v>576</v>
      </c>
      <c r="AM61" s="5" t="s">
        <v>576</v>
      </c>
      <c r="AN61" s="5" t="s">
        <v>576</v>
      </c>
      <c r="AO61" s="5" t="s">
        <v>576</v>
      </c>
      <c r="AP61" s="5">
        <f t="shared" si="1"/>
        <v>0</v>
      </c>
    </row>
    <row r="62" spans="1:42" x14ac:dyDescent="0.15">
      <c r="A62" s="12">
        <v>59</v>
      </c>
      <c r="B62" s="13" t="s">
        <v>68</v>
      </c>
      <c r="C62" s="13" t="s">
        <v>68</v>
      </c>
      <c r="D62" s="14">
        <v>116.18869976236002</v>
      </c>
      <c r="E62" s="14">
        <v>122.89290731761812</v>
      </c>
      <c r="F62" s="14">
        <v>151.55277227873933</v>
      </c>
      <c r="G62" s="14">
        <v>149.57958156424795</v>
      </c>
      <c r="H62" s="14">
        <v>137.89828660366445</v>
      </c>
      <c r="I62" s="14">
        <v>127.7204733442163</v>
      </c>
      <c r="J62" s="14">
        <v>128.71535783975477</v>
      </c>
      <c r="K62" s="14">
        <v>127.2495868740308</v>
      </c>
      <c r="L62" s="14">
        <v>109.8612488978619</v>
      </c>
      <c r="M62" s="14">
        <v>112.41469789251215</v>
      </c>
      <c r="N62" s="14">
        <v>111.86835587441404</v>
      </c>
      <c r="O62" s="14">
        <v>113.97767554830654</v>
      </c>
      <c r="P62" s="14">
        <f t="shared" si="0"/>
        <v>1171.6589144824939</v>
      </c>
      <c r="Q62" s="287"/>
      <c r="R62" s="287"/>
      <c r="S62" s="287"/>
      <c r="T62" s="287"/>
      <c r="U62" s="287"/>
      <c r="V62" s="287"/>
      <c r="W62" s="287"/>
      <c r="X62" s="287"/>
      <c r="Y62" s="287"/>
      <c r="Z62" s="287"/>
      <c r="AA62" s="287"/>
      <c r="AB62" s="287"/>
      <c r="AC62" s="287"/>
      <c r="AD62" s="5">
        <v>139.9</v>
      </c>
      <c r="AE62" s="5">
        <v>140.4</v>
      </c>
      <c r="AF62" s="5">
        <v>170.8</v>
      </c>
      <c r="AG62" s="5">
        <v>169.6</v>
      </c>
      <c r="AH62" s="5">
        <v>148.5</v>
      </c>
      <c r="AI62" s="5">
        <v>141.69999999999999</v>
      </c>
      <c r="AJ62" s="5">
        <v>147.6</v>
      </c>
      <c r="AK62" s="5">
        <v>146.30000000000001</v>
      </c>
      <c r="AL62" s="5">
        <v>115.2</v>
      </c>
      <c r="AM62" s="5">
        <v>120</v>
      </c>
      <c r="AN62" s="5">
        <v>140.69999999999999</v>
      </c>
      <c r="AO62" s="5">
        <v>151.80000000000001</v>
      </c>
      <c r="AP62" s="5">
        <f t="shared" si="1"/>
        <v>1732.5</v>
      </c>
    </row>
    <row r="63" spans="1:42" x14ac:dyDescent="0.15">
      <c r="A63" s="12">
        <v>60</v>
      </c>
      <c r="B63" s="13" t="s">
        <v>69</v>
      </c>
      <c r="C63" s="13" t="s">
        <v>69</v>
      </c>
      <c r="D63" s="14">
        <v>118.2116633098849</v>
      </c>
      <c r="E63" s="14">
        <v>115.95102886617423</v>
      </c>
      <c r="F63" s="14">
        <v>136.14996917754024</v>
      </c>
      <c r="G63" s="14">
        <v>136.43058682629265</v>
      </c>
      <c r="H63" s="14">
        <v>119.95880567346858</v>
      </c>
      <c r="I63" s="14">
        <v>100.32532148057108</v>
      </c>
      <c r="J63" s="14">
        <v>105.00971732629044</v>
      </c>
      <c r="K63" s="14">
        <v>103.82125563769065</v>
      </c>
      <c r="L63" s="14">
        <v>97.209823320113955</v>
      </c>
      <c r="M63" s="14">
        <v>108.99967619363116</v>
      </c>
      <c r="N63" s="14">
        <v>114.37751374885707</v>
      </c>
      <c r="O63" s="14">
        <v>118.91053866672527</v>
      </c>
      <c r="P63" s="14">
        <f t="shared" si="0"/>
        <v>1033.0681716180268</v>
      </c>
      <c r="Q63" s="287"/>
      <c r="R63" s="287"/>
      <c r="S63" s="287"/>
      <c r="T63" s="287"/>
      <c r="U63" s="287"/>
      <c r="V63" s="287"/>
      <c r="W63" s="287"/>
      <c r="X63" s="287"/>
      <c r="Y63" s="287"/>
      <c r="Z63" s="287"/>
      <c r="AA63" s="287"/>
      <c r="AB63" s="287"/>
      <c r="AC63" s="287"/>
      <c r="AD63" s="5">
        <v>147.4</v>
      </c>
      <c r="AE63" s="5">
        <v>131.19999999999999</v>
      </c>
      <c r="AF63" s="5">
        <v>153.19999999999999</v>
      </c>
      <c r="AG63" s="5">
        <v>141.30000000000001</v>
      </c>
      <c r="AH63" s="5">
        <v>124</v>
      </c>
      <c r="AI63" s="5">
        <v>104.1</v>
      </c>
      <c r="AJ63" s="5">
        <v>110.4</v>
      </c>
      <c r="AK63" s="5">
        <v>104.2</v>
      </c>
      <c r="AL63" s="5">
        <v>93.9</v>
      </c>
      <c r="AM63" s="5">
        <v>118.4</v>
      </c>
      <c r="AN63" s="5">
        <v>141.6</v>
      </c>
      <c r="AO63" s="5">
        <v>155.19999999999999</v>
      </c>
      <c r="AP63" s="5">
        <f t="shared" si="1"/>
        <v>1524.9</v>
      </c>
    </row>
    <row r="64" spans="1:42" x14ac:dyDescent="0.15">
      <c r="A64" s="12">
        <v>61</v>
      </c>
      <c r="B64" s="13" t="s">
        <v>70</v>
      </c>
      <c r="C64" s="13" t="s">
        <v>69</v>
      </c>
      <c r="D64" s="14">
        <v>120.96100195041245</v>
      </c>
      <c r="E64" s="14">
        <v>118.07510099983732</v>
      </c>
      <c r="F64" s="14">
        <v>142.93262793404347</v>
      </c>
      <c r="G64" s="14">
        <v>142.59799219462516</v>
      </c>
      <c r="H64" s="14">
        <v>134.02054391444196</v>
      </c>
      <c r="I64" s="14">
        <v>109.4438567456418</v>
      </c>
      <c r="J64" s="14">
        <v>112.6013896339671</v>
      </c>
      <c r="K64" s="14">
        <v>108.89417105069427</v>
      </c>
      <c r="L64" s="14">
        <v>107.26956179469089</v>
      </c>
      <c r="M64" s="14">
        <v>116.65482078356838</v>
      </c>
      <c r="N64" s="14">
        <v>118.07230526523441</v>
      </c>
      <c r="O64" s="14">
        <v>120.61389075819355</v>
      </c>
      <c r="P64" s="14">
        <f t="shared" si="0"/>
        <v>1096.7962462183543</v>
      </c>
      <c r="Q64" s="287"/>
      <c r="R64" s="287"/>
      <c r="S64" s="287"/>
      <c r="T64" s="287"/>
      <c r="U64" s="287"/>
      <c r="V64" s="287"/>
      <c r="W64" s="287"/>
      <c r="X64" s="287"/>
      <c r="Y64" s="287"/>
      <c r="Z64" s="287"/>
      <c r="AA64" s="287"/>
      <c r="AB64" s="287"/>
      <c r="AC64" s="287"/>
      <c r="AD64" s="5">
        <v>142</v>
      </c>
      <c r="AE64" s="5">
        <v>132</v>
      </c>
      <c r="AF64" s="5">
        <v>155.9</v>
      </c>
      <c r="AG64" s="5">
        <v>149.1</v>
      </c>
      <c r="AH64" s="5">
        <v>136</v>
      </c>
      <c r="AI64" s="5">
        <v>99.7</v>
      </c>
      <c r="AJ64" s="5">
        <v>103.6</v>
      </c>
      <c r="AK64" s="5">
        <v>99.5</v>
      </c>
      <c r="AL64" s="5">
        <v>101.5</v>
      </c>
      <c r="AM64" s="5">
        <v>110.6</v>
      </c>
      <c r="AN64" s="5">
        <v>129.4</v>
      </c>
      <c r="AO64" s="5">
        <v>144.30000000000001</v>
      </c>
      <c r="AP64" s="5">
        <f t="shared" si="1"/>
        <v>1503.6000000000001</v>
      </c>
    </row>
    <row r="65" spans="1:42" x14ac:dyDescent="0.15">
      <c r="A65" s="12">
        <v>62</v>
      </c>
      <c r="B65" s="13" t="s">
        <v>71</v>
      </c>
      <c r="C65" s="13" t="s">
        <v>71</v>
      </c>
      <c r="D65" s="14">
        <v>112.95351062731331</v>
      </c>
      <c r="E65" s="14">
        <v>122.1602932460404</v>
      </c>
      <c r="F65" s="14">
        <v>155.86283100567852</v>
      </c>
      <c r="G65" s="14">
        <v>158.09162847661008</v>
      </c>
      <c r="H65" s="14">
        <v>147.3772863743836</v>
      </c>
      <c r="I65" s="14">
        <v>124.43175309466363</v>
      </c>
      <c r="J65" s="14">
        <v>125.75987775445631</v>
      </c>
      <c r="K65" s="14">
        <v>119.69008662442046</v>
      </c>
      <c r="L65" s="14">
        <v>112.69193194016668</v>
      </c>
      <c r="M65" s="14">
        <v>113.01226020383112</v>
      </c>
      <c r="N65" s="14">
        <v>109.16533872130637</v>
      </c>
      <c r="O65" s="14">
        <v>105.4155834170293</v>
      </c>
      <c r="P65" s="14">
        <f t="shared" si="0"/>
        <v>1179.0191991437332</v>
      </c>
      <c r="Q65" s="287"/>
      <c r="R65" s="287"/>
      <c r="S65" s="287"/>
      <c r="T65" s="287"/>
      <c r="U65" s="287"/>
      <c r="V65" s="287"/>
      <c r="W65" s="287"/>
      <c r="X65" s="287"/>
      <c r="Y65" s="287"/>
      <c r="Z65" s="287"/>
      <c r="AA65" s="287"/>
      <c r="AB65" s="287"/>
      <c r="AC65" s="287"/>
      <c r="AD65" s="5">
        <v>118</v>
      </c>
      <c r="AE65" s="5">
        <v>128.6</v>
      </c>
      <c r="AF65" s="5">
        <v>170.3</v>
      </c>
      <c r="AG65" s="5">
        <v>166.4</v>
      </c>
      <c r="AH65" s="5">
        <v>160</v>
      </c>
      <c r="AI65" s="5">
        <v>132.80000000000001</v>
      </c>
      <c r="AJ65" s="5">
        <v>132.5</v>
      </c>
      <c r="AK65" s="5">
        <v>126.1</v>
      </c>
      <c r="AL65" s="5">
        <v>118.7</v>
      </c>
      <c r="AM65" s="5">
        <v>102.1</v>
      </c>
      <c r="AN65" s="5">
        <v>103.9</v>
      </c>
      <c r="AO65" s="5">
        <v>114</v>
      </c>
      <c r="AP65" s="5">
        <f t="shared" si="1"/>
        <v>1573.3999999999999</v>
      </c>
    </row>
    <row r="66" spans="1:42" x14ac:dyDescent="0.15">
      <c r="A66" s="12">
        <v>63</v>
      </c>
      <c r="B66" s="13" t="s">
        <v>72</v>
      </c>
      <c r="C66" s="13" t="s">
        <v>72</v>
      </c>
      <c r="D66" s="14">
        <v>116.58941493047975</v>
      </c>
      <c r="E66" s="14">
        <v>117.69100205173079</v>
      </c>
      <c r="F66" s="14">
        <v>147.30409069028809</v>
      </c>
      <c r="G66" s="14">
        <v>151.04516023615739</v>
      </c>
      <c r="H66" s="14">
        <v>144.23824971154718</v>
      </c>
      <c r="I66" s="14">
        <v>125.72244746020472</v>
      </c>
      <c r="J66" s="14">
        <v>131.38526197358652</v>
      </c>
      <c r="K66" s="14">
        <v>128.19454395828419</v>
      </c>
      <c r="L66" s="14">
        <v>122.5784448519972</v>
      </c>
      <c r="M66" s="14">
        <v>118.71912381603445</v>
      </c>
      <c r="N66" s="14">
        <v>119.50298332857254</v>
      </c>
      <c r="O66" s="14">
        <v>124.93611877225709</v>
      </c>
      <c r="P66" s="14">
        <f t="shared" si="0"/>
        <v>1184.7486158642757</v>
      </c>
      <c r="Q66" s="287"/>
      <c r="R66" s="287"/>
      <c r="S66" s="287"/>
      <c r="T66" s="287"/>
      <c r="U66" s="287"/>
      <c r="V66" s="287"/>
      <c r="W66" s="287"/>
      <c r="X66" s="287"/>
      <c r="Y66" s="287"/>
      <c r="Z66" s="287"/>
      <c r="AA66" s="287"/>
      <c r="AB66" s="287"/>
      <c r="AC66" s="287"/>
      <c r="AD66" s="5">
        <v>139</v>
      </c>
      <c r="AE66" s="5">
        <v>132.9</v>
      </c>
      <c r="AF66" s="5">
        <v>165.7</v>
      </c>
      <c r="AG66" s="5">
        <v>173.2</v>
      </c>
      <c r="AH66" s="5">
        <v>163.9</v>
      </c>
      <c r="AI66" s="5">
        <v>138.5</v>
      </c>
      <c r="AJ66" s="5">
        <v>144.4</v>
      </c>
      <c r="AK66" s="5">
        <v>134</v>
      </c>
      <c r="AL66" s="5">
        <v>130.69999999999999</v>
      </c>
      <c r="AM66" s="5">
        <v>120.9</v>
      </c>
      <c r="AN66" s="5">
        <v>137.6</v>
      </c>
      <c r="AO66" s="5">
        <v>151.9</v>
      </c>
      <c r="AP66" s="5">
        <f t="shared" si="1"/>
        <v>1732.7</v>
      </c>
    </row>
    <row r="67" spans="1:42" x14ac:dyDescent="0.15">
      <c r="A67" s="12">
        <v>64</v>
      </c>
      <c r="B67" s="13" t="s">
        <v>73</v>
      </c>
      <c r="C67" s="13" t="s">
        <v>72</v>
      </c>
      <c r="D67" s="14">
        <v>117.31929662452302</v>
      </c>
      <c r="E67" s="14">
        <v>124.47525461163616</v>
      </c>
      <c r="F67" s="14">
        <v>150.93994305840675</v>
      </c>
      <c r="G67" s="14">
        <v>149.94110216590519</v>
      </c>
      <c r="H67" s="14">
        <v>139.83360438359614</v>
      </c>
      <c r="I67" s="14">
        <v>117.51969678852005</v>
      </c>
      <c r="J67" s="14">
        <v>122.45201095480255</v>
      </c>
      <c r="K67" s="14">
        <v>120.27509630057979</v>
      </c>
      <c r="L67" s="14">
        <v>112.21663738134268</v>
      </c>
      <c r="M67" s="14">
        <v>111.93216209993624</v>
      </c>
      <c r="N67" s="14">
        <v>109.21436315143558</v>
      </c>
      <c r="O67" s="14">
        <v>114.76299304857166</v>
      </c>
      <c r="P67" s="14">
        <f t="shared" si="0"/>
        <v>1154.9726422693122</v>
      </c>
      <c r="Q67" s="287"/>
      <c r="R67" s="287"/>
      <c r="S67" s="287"/>
      <c r="T67" s="287"/>
      <c r="U67" s="287"/>
      <c r="V67" s="287"/>
      <c r="W67" s="287"/>
      <c r="X67" s="287"/>
      <c r="Y67" s="287"/>
      <c r="Z67" s="287"/>
      <c r="AA67" s="287"/>
      <c r="AB67" s="287"/>
      <c r="AC67" s="287"/>
      <c r="AD67" s="5">
        <v>132.4</v>
      </c>
      <c r="AE67" s="5">
        <v>139.9</v>
      </c>
      <c r="AF67" s="5">
        <v>172.7</v>
      </c>
      <c r="AG67" s="5">
        <v>172.7</v>
      </c>
      <c r="AH67" s="5">
        <v>165.1</v>
      </c>
      <c r="AI67" s="5">
        <v>143.4</v>
      </c>
      <c r="AJ67" s="5">
        <v>143.80000000000001</v>
      </c>
      <c r="AK67" s="5">
        <v>140.19999999999999</v>
      </c>
      <c r="AL67" s="5">
        <v>129.1</v>
      </c>
      <c r="AM67" s="5">
        <v>121.2</v>
      </c>
      <c r="AN67" s="5">
        <v>125.4</v>
      </c>
      <c r="AO67" s="5">
        <v>139.69999999999999</v>
      </c>
      <c r="AP67" s="5">
        <f t="shared" si="1"/>
        <v>1725.6000000000001</v>
      </c>
    </row>
    <row r="68" spans="1:42" x14ac:dyDescent="0.15">
      <c r="A68" s="12">
        <v>65</v>
      </c>
      <c r="B68" s="13" t="s">
        <v>74</v>
      </c>
      <c r="C68" s="13" t="s">
        <v>74</v>
      </c>
      <c r="D68" s="14">
        <v>117.29431543614409</v>
      </c>
      <c r="E68" s="14">
        <v>120.54048013104753</v>
      </c>
      <c r="F68" s="14">
        <v>149.3985245320462</v>
      </c>
      <c r="G68" s="14">
        <v>148.54475463862289</v>
      </c>
      <c r="H68" s="14">
        <v>137.07524779129437</v>
      </c>
      <c r="I68" s="14">
        <v>117.92000699798119</v>
      </c>
      <c r="J68" s="14">
        <v>122.34751144017235</v>
      </c>
      <c r="K68" s="14">
        <v>119.24289009823731</v>
      </c>
      <c r="L68" s="14">
        <v>116.18913840255638</v>
      </c>
      <c r="M68" s="14">
        <v>116.58600039155982</v>
      </c>
      <c r="N68" s="14">
        <v>106.19770735797151</v>
      </c>
      <c r="O68" s="14">
        <v>112.44912013010466</v>
      </c>
      <c r="P68" s="14">
        <f t="shared" si="0"/>
        <v>1148.5528694681022</v>
      </c>
      <c r="Q68" s="287"/>
      <c r="R68" s="287"/>
      <c r="S68" s="287"/>
      <c r="T68" s="287"/>
      <c r="U68" s="287"/>
      <c r="V68" s="287"/>
      <c r="W68" s="287"/>
      <c r="X68" s="287"/>
      <c r="Y68" s="287"/>
      <c r="Z68" s="287"/>
      <c r="AA68" s="287"/>
      <c r="AB68" s="287"/>
      <c r="AC68" s="287"/>
      <c r="AD68" s="5">
        <v>112.4</v>
      </c>
      <c r="AE68" s="5">
        <v>114.4</v>
      </c>
      <c r="AF68" s="5">
        <v>145.19999999999999</v>
      </c>
      <c r="AG68" s="5">
        <v>145.30000000000001</v>
      </c>
      <c r="AH68" s="5">
        <v>128.19999999999999</v>
      </c>
      <c r="AI68" s="5">
        <v>109.7</v>
      </c>
      <c r="AJ68" s="5">
        <v>112.6</v>
      </c>
      <c r="AK68" s="5">
        <v>108.1</v>
      </c>
      <c r="AL68" s="5">
        <v>109</v>
      </c>
      <c r="AM68" s="5">
        <v>100.4</v>
      </c>
      <c r="AN68" s="5">
        <v>92.8</v>
      </c>
      <c r="AO68" s="5">
        <v>102.5</v>
      </c>
      <c r="AP68" s="5">
        <f t="shared" si="1"/>
        <v>1380.6000000000001</v>
      </c>
    </row>
    <row r="69" spans="1:42" x14ac:dyDescent="0.15">
      <c r="A69" s="12">
        <v>66</v>
      </c>
      <c r="B69" s="18" t="s">
        <v>75</v>
      </c>
      <c r="C69" s="18" t="s">
        <v>75</v>
      </c>
      <c r="D69" s="14">
        <v>116.75239331320466</v>
      </c>
      <c r="E69" s="14">
        <v>124.62188646322323</v>
      </c>
      <c r="F69" s="14">
        <v>146.24483625925734</v>
      </c>
      <c r="G69" s="14">
        <v>139.36088288044724</v>
      </c>
      <c r="H69" s="14">
        <v>128.2358160114953</v>
      </c>
      <c r="I69" s="14">
        <v>113.72754117007767</v>
      </c>
      <c r="J69" s="14">
        <v>119.74225321853892</v>
      </c>
      <c r="K69" s="14">
        <v>120.27640083669667</v>
      </c>
      <c r="L69" s="14">
        <v>110.89657274860596</v>
      </c>
      <c r="M69" s="14">
        <v>104.85215065918877</v>
      </c>
      <c r="N69" s="14">
        <v>89.74442437041688</v>
      </c>
      <c r="O69" s="14">
        <v>96.692850536554417</v>
      </c>
      <c r="P69" s="14">
        <f t="shared" ref="P69:P88" si="2">SUM(D69:L69)</f>
        <v>1119.8585829015469</v>
      </c>
      <c r="Q69" s="287"/>
      <c r="R69" s="287"/>
      <c r="S69" s="287"/>
      <c r="T69" s="287"/>
      <c r="U69" s="287"/>
      <c r="V69" s="287"/>
      <c r="W69" s="287"/>
      <c r="X69" s="287"/>
      <c r="Y69" s="287"/>
      <c r="Z69" s="287"/>
      <c r="AA69" s="287"/>
      <c r="AB69" s="287"/>
      <c r="AC69" s="287"/>
      <c r="AD69" s="5">
        <v>125.5</v>
      </c>
      <c r="AE69" s="5">
        <v>134.80000000000001</v>
      </c>
      <c r="AF69" s="5">
        <v>171.4</v>
      </c>
      <c r="AG69" s="5">
        <v>159.9</v>
      </c>
      <c r="AH69" s="5">
        <v>143.80000000000001</v>
      </c>
      <c r="AI69" s="5">
        <v>136</v>
      </c>
      <c r="AJ69" s="5">
        <v>136.9</v>
      </c>
      <c r="AK69" s="5">
        <v>131.69999999999999</v>
      </c>
      <c r="AL69" s="5">
        <v>121.1</v>
      </c>
      <c r="AM69" s="5">
        <v>113.2</v>
      </c>
      <c r="AN69" s="5">
        <v>96.8</v>
      </c>
      <c r="AO69" s="5">
        <v>101.4</v>
      </c>
      <c r="AP69" s="5">
        <f t="shared" ref="AP69:AP88" si="3">SUM(AD69:AO69)</f>
        <v>1572.5</v>
      </c>
    </row>
    <row r="70" spans="1:42" x14ac:dyDescent="0.15">
      <c r="A70" s="12">
        <v>67</v>
      </c>
      <c r="B70" s="18" t="s">
        <v>76</v>
      </c>
      <c r="C70" s="18" t="s">
        <v>75</v>
      </c>
      <c r="D70" s="14">
        <v>121.10353666082796</v>
      </c>
      <c r="E70" s="14">
        <v>123.91069748630966</v>
      </c>
      <c r="F70" s="14">
        <v>151.45742057182173</v>
      </c>
      <c r="G70" s="14">
        <v>146.97731400368005</v>
      </c>
      <c r="H70" s="14">
        <v>132.92866454831352</v>
      </c>
      <c r="I70" s="14">
        <v>120.58357517145437</v>
      </c>
      <c r="J70" s="14">
        <v>126.31082973666184</v>
      </c>
      <c r="K70" s="14">
        <v>124.52203811287005</v>
      </c>
      <c r="L70" s="14">
        <v>118.82890190053747</v>
      </c>
      <c r="M70" s="14">
        <v>113.34305608847451</v>
      </c>
      <c r="N70" s="14">
        <v>102.5406340432904</v>
      </c>
      <c r="O70" s="14">
        <v>107.36707170986247</v>
      </c>
      <c r="P70" s="14">
        <f t="shared" si="2"/>
        <v>1166.6229781924765</v>
      </c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7"/>
      <c r="AC70" s="287"/>
      <c r="AD70" s="5">
        <v>131.80000000000001</v>
      </c>
      <c r="AE70" s="5">
        <v>143.6</v>
      </c>
      <c r="AF70" s="5">
        <v>183.4</v>
      </c>
      <c r="AG70" s="5">
        <v>163.1</v>
      </c>
      <c r="AH70" s="5">
        <v>134.9</v>
      </c>
      <c r="AI70" s="5">
        <v>124</v>
      </c>
      <c r="AJ70" s="5">
        <v>129</v>
      </c>
      <c r="AK70" s="5">
        <v>125.9</v>
      </c>
      <c r="AL70" s="5">
        <v>114.3</v>
      </c>
      <c r="AM70" s="5">
        <v>108.1</v>
      </c>
      <c r="AN70" s="5">
        <v>98.7</v>
      </c>
      <c r="AO70" s="5">
        <v>109.9</v>
      </c>
      <c r="AP70" s="5">
        <f t="shared" si="3"/>
        <v>1566.7</v>
      </c>
    </row>
    <row r="71" spans="1:42" x14ac:dyDescent="0.15">
      <c r="A71" s="12">
        <v>68</v>
      </c>
      <c r="B71" s="13" t="s">
        <v>77</v>
      </c>
      <c r="C71" s="18" t="s">
        <v>75</v>
      </c>
      <c r="D71" s="14">
        <v>121.68339683938123</v>
      </c>
      <c r="E71" s="14">
        <v>123.94107938211201</v>
      </c>
      <c r="F71" s="14">
        <v>150.0473431318857</v>
      </c>
      <c r="G71" s="14">
        <v>147.46733338710277</v>
      </c>
      <c r="H71" s="14">
        <v>142.64756069809027</v>
      </c>
      <c r="I71" s="14">
        <v>132.2567816051762</v>
      </c>
      <c r="J71" s="14">
        <v>137.98311529200492</v>
      </c>
      <c r="K71" s="14">
        <v>137.58105454732055</v>
      </c>
      <c r="L71" s="14">
        <v>127.64739862830386</v>
      </c>
      <c r="M71" s="14">
        <v>119.42127847767378</v>
      </c>
      <c r="N71" s="14">
        <v>106.98704367174194</v>
      </c>
      <c r="O71" s="14">
        <v>114.66865336708759</v>
      </c>
      <c r="P71" s="14">
        <f t="shared" si="2"/>
        <v>1221.2550635113773</v>
      </c>
      <c r="Q71" s="287"/>
      <c r="R71" s="287"/>
      <c r="S71" s="287"/>
      <c r="T71" s="287"/>
      <c r="U71" s="287"/>
      <c r="V71" s="287"/>
      <c r="W71" s="287"/>
      <c r="X71" s="287"/>
      <c r="Y71" s="287"/>
      <c r="Z71" s="287"/>
      <c r="AA71" s="287"/>
      <c r="AB71" s="287"/>
      <c r="AC71" s="287"/>
      <c r="AD71" s="5">
        <v>139.5</v>
      </c>
      <c r="AE71" s="5">
        <v>148.6</v>
      </c>
      <c r="AF71" s="5">
        <v>182.3</v>
      </c>
      <c r="AG71" s="5">
        <v>172.6</v>
      </c>
      <c r="AH71" s="5">
        <v>161</v>
      </c>
      <c r="AI71" s="5">
        <v>145.6</v>
      </c>
      <c r="AJ71" s="5">
        <v>150.69999999999999</v>
      </c>
      <c r="AK71" s="5">
        <v>149.5</v>
      </c>
      <c r="AL71" s="5">
        <v>140.30000000000001</v>
      </c>
      <c r="AM71" s="5">
        <v>122.2</v>
      </c>
      <c r="AN71" s="5">
        <v>115.4</v>
      </c>
      <c r="AO71" s="5">
        <v>127</v>
      </c>
      <c r="AP71" s="5">
        <f t="shared" si="3"/>
        <v>1754.7</v>
      </c>
    </row>
    <row r="72" spans="1:42" x14ac:dyDescent="0.15">
      <c r="A72" s="12">
        <v>69</v>
      </c>
      <c r="B72" s="13" t="s">
        <v>78</v>
      </c>
      <c r="C72" s="18" t="s">
        <v>75</v>
      </c>
      <c r="D72" s="14">
        <v>119.38741642064424</v>
      </c>
      <c r="E72" s="14">
        <v>122.29228417059664</v>
      </c>
      <c r="F72" s="14">
        <v>148.84586719049622</v>
      </c>
      <c r="G72" s="14">
        <v>141.99579227524092</v>
      </c>
      <c r="H72" s="14">
        <v>132.61405975457748</v>
      </c>
      <c r="I72" s="14">
        <v>120.41707354230729</v>
      </c>
      <c r="J72" s="14">
        <v>126.1994432606341</v>
      </c>
      <c r="K72" s="14">
        <v>127.58924539070593</v>
      </c>
      <c r="L72" s="14">
        <v>118.15051532706175</v>
      </c>
      <c r="M72" s="14">
        <v>113.75947561598238</v>
      </c>
      <c r="N72" s="14">
        <v>100.87289642694967</v>
      </c>
      <c r="O72" s="14">
        <v>103.13731410447755</v>
      </c>
      <c r="P72" s="14">
        <f t="shared" si="2"/>
        <v>1157.4916973322647</v>
      </c>
      <c r="Q72" s="287"/>
      <c r="R72" s="287"/>
      <c r="S72" s="287"/>
      <c r="T72" s="287"/>
      <c r="U72" s="287"/>
      <c r="V72" s="287"/>
      <c r="W72" s="287"/>
      <c r="X72" s="287"/>
      <c r="Y72" s="287"/>
      <c r="Z72" s="287"/>
      <c r="AA72" s="287"/>
      <c r="AB72" s="287"/>
      <c r="AC72" s="287"/>
      <c r="AD72" s="5">
        <v>102.5</v>
      </c>
      <c r="AE72" s="5">
        <v>123.2</v>
      </c>
      <c r="AF72" s="5">
        <v>130.4</v>
      </c>
      <c r="AG72" s="5">
        <v>116.4</v>
      </c>
      <c r="AH72" s="5">
        <v>104.2</v>
      </c>
      <c r="AI72" s="5">
        <v>92</v>
      </c>
      <c r="AJ72" s="5">
        <v>118.8</v>
      </c>
      <c r="AK72" s="5">
        <v>107.5</v>
      </c>
      <c r="AL72" s="5">
        <v>106.9</v>
      </c>
      <c r="AM72" s="5">
        <v>94.7</v>
      </c>
      <c r="AN72" s="5">
        <v>78.8</v>
      </c>
      <c r="AO72" s="5">
        <v>92.6</v>
      </c>
      <c r="AP72" s="5">
        <f t="shared" si="3"/>
        <v>1267.9999999999998</v>
      </c>
    </row>
    <row r="73" spans="1:42" x14ac:dyDescent="0.15">
      <c r="A73" s="12">
        <v>70</v>
      </c>
      <c r="B73" s="13" t="s">
        <v>79</v>
      </c>
      <c r="C73" s="13" t="s">
        <v>79</v>
      </c>
      <c r="D73" s="14">
        <v>114.29576232995957</v>
      </c>
      <c r="E73" s="14">
        <v>117.20029638967517</v>
      </c>
      <c r="F73" s="14">
        <v>143.94458364900603</v>
      </c>
      <c r="G73" s="14">
        <v>140.53765366327289</v>
      </c>
      <c r="H73" s="14">
        <v>133.04868606068337</v>
      </c>
      <c r="I73" s="14">
        <v>124.05447399437428</v>
      </c>
      <c r="J73" s="14">
        <v>128.51928259022961</v>
      </c>
      <c r="K73" s="14">
        <v>130.36005030078837</v>
      </c>
      <c r="L73" s="14">
        <v>119.3611254927189</v>
      </c>
      <c r="M73" s="14">
        <v>114.26702420854541</v>
      </c>
      <c r="N73" s="14">
        <v>99.240572093343786</v>
      </c>
      <c r="O73" s="14">
        <v>102.02356687675069</v>
      </c>
      <c r="P73" s="14">
        <f t="shared" si="2"/>
        <v>1151.3219144707082</v>
      </c>
      <c r="Q73" s="287"/>
      <c r="R73" s="287"/>
      <c r="S73" s="287"/>
      <c r="T73" s="287"/>
      <c r="U73" s="287"/>
      <c r="V73" s="287"/>
      <c r="W73" s="287"/>
      <c r="X73" s="287"/>
      <c r="Y73" s="287"/>
      <c r="Z73" s="287"/>
      <c r="AA73" s="287"/>
      <c r="AB73" s="287"/>
      <c r="AC73" s="287"/>
      <c r="AD73" s="5">
        <v>108.5</v>
      </c>
      <c r="AE73" s="5">
        <v>111.5</v>
      </c>
      <c r="AF73" s="5">
        <v>140.4</v>
      </c>
      <c r="AG73" s="5">
        <v>135.9</v>
      </c>
      <c r="AH73" s="5">
        <v>130.80000000000001</v>
      </c>
      <c r="AI73" s="5">
        <v>126.6</v>
      </c>
      <c r="AJ73" s="5">
        <v>132.1</v>
      </c>
      <c r="AK73" s="5">
        <v>131.69999999999999</v>
      </c>
      <c r="AL73" s="5">
        <v>116.2</v>
      </c>
      <c r="AM73" s="5">
        <v>105.4</v>
      </c>
      <c r="AN73" s="5">
        <v>84.4</v>
      </c>
      <c r="AO73" s="5">
        <v>89.3</v>
      </c>
      <c r="AP73" s="5">
        <f t="shared" si="3"/>
        <v>1412.8000000000002</v>
      </c>
    </row>
    <row r="74" spans="1:42" x14ac:dyDescent="0.15">
      <c r="A74" s="12">
        <v>71</v>
      </c>
      <c r="B74" s="13" t="s">
        <v>80</v>
      </c>
      <c r="C74" s="13" t="s">
        <v>79</v>
      </c>
      <c r="D74" s="14">
        <v>121.83177044568818</v>
      </c>
      <c r="E74" s="14">
        <v>123.62165443836585</v>
      </c>
      <c r="F74" s="14">
        <v>149.30227352569355</v>
      </c>
      <c r="G74" s="14">
        <v>142.68945595275886</v>
      </c>
      <c r="H74" s="14">
        <v>131.04515088614932</v>
      </c>
      <c r="I74" s="14">
        <v>118.69504264969213</v>
      </c>
      <c r="J74" s="14">
        <v>122.35957661023382</v>
      </c>
      <c r="K74" s="14">
        <v>122.70812431661803</v>
      </c>
      <c r="L74" s="14">
        <v>115.42270479182588</v>
      </c>
      <c r="M74" s="14">
        <v>112.47577412639288</v>
      </c>
      <c r="N74" s="14">
        <v>100.30720463364041</v>
      </c>
      <c r="O74" s="14">
        <v>107.82704620173679</v>
      </c>
      <c r="P74" s="14">
        <f t="shared" si="2"/>
        <v>1147.6757536170255</v>
      </c>
      <c r="Q74" s="287"/>
      <c r="R74" s="287"/>
      <c r="S74" s="287"/>
      <c r="T74" s="287"/>
      <c r="U74" s="287"/>
      <c r="V74" s="287"/>
      <c r="W74" s="287"/>
      <c r="X74" s="287"/>
      <c r="Y74" s="287"/>
      <c r="Z74" s="287"/>
      <c r="AA74" s="287"/>
      <c r="AB74" s="287"/>
      <c r="AC74" s="287"/>
      <c r="AD74" s="5" t="s">
        <v>576</v>
      </c>
      <c r="AE74" s="5" t="s">
        <v>576</v>
      </c>
      <c r="AF74" s="5" t="s">
        <v>576</v>
      </c>
      <c r="AG74" s="5" t="s">
        <v>576</v>
      </c>
      <c r="AH74" s="5" t="s">
        <v>576</v>
      </c>
      <c r="AI74" s="5" t="s">
        <v>576</v>
      </c>
      <c r="AJ74" s="5" t="s">
        <v>576</v>
      </c>
      <c r="AK74" s="5" t="s">
        <v>576</v>
      </c>
      <c r="AL74" s="5" t="s">
        <v>576</v>
      </c>
      <c r="AM74" s="5" t="s">
        <v>576</v>
      </c>
      <c r="AN74" s="5" t="s">
        <v>576</v>
      </c>
      <c r="AO74" s="5" t="s">
        <v>576</v>
      </c>
      <c r="AP74" s="5">
        <f t="shared" si="3"/>
        <v>0</v>
      </c>
    </row>
    <row r="75" spans="1:42" x14ac:dyDescent="0.15">
      <c r="A75" s="12">
        <v>72</v>
      </c>
      <c r="B75" s="13" t="s">
        <v>81</v>
      </c>
      <c r="C75" s="13" t="s">
        <v>79</v>
      </c>
      <c r="D75" s="14">
        <v>118.91850232594179</v>
      </c>
      <c r="E75" s="14">
        <v>121.21685806387339</v>
      </c>
      <c r="F75" s="14">
        <v>147.77731306896194</v>
      </c>
      <c r="G75" s="14">
        <v>140.15218550071648</v>
      </c>
      <c r="H75" s="14">
        <v>132.01289289676598</v>
      </c>
      <c r="I75" s="14">
        <v>120.11619600586238</v>
      </c>
      <c r="J75" s="14">
        <v>125.82133668107491</v>
      </c>
      <c r="K75" s="14">
        <v>126.93339500458764</v>
      </c>
      <c r="L75" s="14">
        <v>116.97502519743597</v>
      </c>
      <c r="M75" s="14">
        <v>112.21161830399674</v>
      </c>
      <c r="N75" s="14">
        <v>100.26921378752215</v>
      </c>
      <c r="O75" s="14">
        <v>103.17434187761779</v>
      </c>
      <c r="P75" s="14">
        <f t="shared" si="2"/>
        <v>1149.9237047452207</v>
      </c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  <c r="AC75" s="287"/>
      <c r="AD75" s="5">
        <v>102.7</v>
      </c>
      <c r="AE75" s="5">
        <v>123.6</v>
      </c>
      <c r="AF75" s="5">
        <v>126.3</v>
      </c>
      <c r="AG75" s="5">
        <v>107.5</v>
      </c>
      <c r="AH75" s="5">
        <v>111.9</v>
      </c>
      <c r="AI75" s="5">
        <v>92.6</v>
      </c>
      <c r="AJ75" s="5">
        <v>111.7</v>
      </c>
      <c r="AK75" s="5">
        <v>111.8</v>
      </c>
      <c r="AL75" s="5">
        <v>105.7</v>
      </c>
      <c r="AM75" s="5">
        <v>92.6</v>
      </c>
      <c r="AN75" s="5">
        <v>53.7</v>
      </c>
      <c r="AO75" s="5">
        <v>84.3</v>
      </c>
      <c r="AP75" s="5">
        <f t="shared" si="3"/>
        <v>1224.4000000000001</v>
      </c>
    </row>
    <row r="76" spans="1:42" x14ac:dyDescent="0.15">
      <c r="A76" s="12">
        <v>73</v>
      </c>
      <c r="B76" s="13" t="s">
        <v>82</v>
      </c>
      <c r="C76" s="13" t="s">
        <v>83</v>
      </c>
      <c r="D76" s="14">
        <v>140.28451956048971</v>
      </c>
      <c r="E76" s="14">
        <v>131.45844227207931</v>
      </c>
      <c r="F76" s="14">
        <v>148.81167398172494</v>
      </c>
      <c r="G76" s="14">
        <v>131.48855454890167</v>
      </c>
      <c r="H76" s="14">
        <v>124.86355243254862</v>
      </c>
      <c r="I76" s="14">
        <v>115.31100387911168</v>
      </c>
      <c r="J76" s="14">
        <v>119.6562237995014</v>
      </c>
      <c r="K76" s="14">
        <v>121.49537862495897</v>
      </c>
      <c r="L76" s="14">
        <v>114.03567681630095</v>
      </c>
      <c r="M76" s="14">
        <v>113.14667218249488</v>
      </c>
      <c r="N76" s="14">
        <v>106.6931577704768</v>
      </c>
      <c r="O76" s="14">
        <v>117.86174625819505</v>
      </c>
      <c r="P76" s="14">
        <f t="shared" si="2"/>
        <v>1147.4050259156174</v>
      </c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  <c r="AC76" s="287"/>
      <c r="AD76" s="5">
        <v>122.4</v>
      </c>
      <c r="AE76" s="5">
        <v>108.5</v>
      </c>
      <c r="AF76" s="5">
        <v>145.1</v>
      </c>
      <c r="AG76" s="5">
        <v>107.9</v>
      </c>
      <c r="AH76" s="5">
        <v>130.9</v>
      </c>
      <c r="AI76" s="5">
        <v>103</v>
      </c>
      <c r="AJ76" s="5">
        <v>124.2</v>
      </c>
      <c r="AK76" s="5">
        <v>126.2</v>
      </c>
      <c r="AL76" s="5">
        <v>128.9</v>
      </c>
      <c r="AM76" s="5">
        <v>98.3</v>
      </c>
      <c r="AN76" s="5">
        <v>69.7</v>
      </c>
      <c r="AO76" s="5">
        <v>81</v>
      </c>
      <c r="AP76" s="5">
        <f t="shared" si="3"/>
        <v>1346.1000000000001</v>
      </c>
    </row>
    <row r="77" spans="1:42" x14ac:dyDescent="0.15">
      <c r="A77" s="12">
        <v>74</v>
      </c>
      <c r="B77" s="13" t="s">
        <v>83</v>
      </c>
      <c r="C77" s="13" t="s">
        <v>83</v>
      </c>
      <c r="D77" s="14">
        <v>141.07027495895974</v>
      </c>
      <c r="E77" s="14">
        <v>138.86622332913637</v>
      </c>
      <c r="F77" s="14">
        <v>159.36367800206651</v>
      </c>
      <c r="G77" s="14">
        <v>152.98590787978705</v>
      </c>
      <c r="H77" s="14">
        <v>143.29759336639947</v>
      </c>
      <c r="I77" s="14">
        <v>128.88557942122313</v>
      </c>
      <c r="J77" s="14">
        <v>135.66573513041953</v>
      </c>
      <c r="K77" s="14">
        <v>141.06946448701419</v>
      </c>
      <c r="L77" s="14">
        <v>129.16527872783539</v>
      </c>
      <c r="M77" s="14">
        <v>117.93444361848577</v>
      </c>
      <c r="N77" s="14">
        <v>100.37778018518502</v>
      </c>
      <c r="O77" s="14">
        <v>112.22765115245208</v>
      </c>
      <c r="P77" s="14">
        <f t="shared" si="2"/>
        <v>1270.3697353028415</v>
      </c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  <c r="AC77" s="287"/>
      <c r="AD77" s="5">
        <v>156.69999999999999</v>
      </c>
      <c r="AE77" s="5">
        <v>162.9</v>
      </c>
      <c r="AF77" s="5">
        <v>188.7</v>
      </c>
      <c r="AG77" s="5">
        <v>177</v>
      </c>
      <c r="AH77" s="5">
        <v>158.6</v>
      </c>
      <c r="AI77" s="5">
        <v>140.69999999999999</v>
      </c>
      <c r="AJ77" s="5">
        <v>145.19999999999999</v>
      </c>
      <c r="AK77" s="5">
        <v>151.1</v>
      </c>
      <c r="AL77" s="5">
        <v>140</v>
      </c>
      <c r="AM77" s="5">
        <v>127.6</v>
      </c>
      <c r="AN77" s="5">
        <v>102.8</v>
      </c>
      <c r="AO77" s="5">
        <v>119.9</v>
      </c>
      <c r="AP77" s="5">
        <f t="shared" si="3"/>
        <v>1771.1999999999998</v>
      </c>
    </row>
    <row r="78" spans="1:42" x14ac:dyDescent="0.15">
      <c r="A78" s="12">
        <v>75</v>
      </c>
      <c r="B78" s="13" t="s">
        <v>84</v>
      </c>
      <c r="C78" s="13" t="s">
        <v>83</v>
      </c>
      <c r="D78" s="14">
        <v>123.03790380693658</v>
      </c>
      <c r="E78" s="14">
        <v>125.66977630688223</v>
      </c>
      <c r="F78" s="14">
        <v>147.90818057064919</v>
      </c>
      <c r="G78" s="14">
        <v>137.00402720025545</v>
      </c>
      <c r="H78" s="14">
        <v>126.11671755957165</v>
      </c>
      <c r="I78" s="14">
        <v>118.48781173432356</v>
      </c>
      <c r="J78" s="14">
        <v>121.80395448907161</v>
      </c>
      <c r="K78" s="14">
        <v>124.62043139076962</v>
      </c>
      <c r="L78" s="14">
        <v>114.85486716537584</v>
      </c>
      <c r="M78" s="14">
        <v>109.77757970690061</v>
      </c>
      <c r="N78" s="14">
        <v>95.631895047201937</v>
      </c>
      <c r="O78" s="14">
        <v>103.76449308532933</v>
      </c>
      <c r="P78" s="14">
        <f t="shared" si="2"/>
        <v>1139.5036702238358</v>
      </c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5" t="s">
        <v>575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f t="shared" si="3"/>
        <v>0</v>
      </c>
    </row>
    <row r="79" spans="1:42" x14ac:dyDescent="0.15">
      <c r="A79" s="12">
        <v>76</v>
      </c>
      <c r="B79" s="13" t="s">
        <v>85</v>
      </c>
      <c r="C79" s="13" t="s">
        <v>137</v>
      </c>
      <c r="D79" s="14">
        <v>119.81290452736059</v>
      </c>
      <c r="E79" s="14">
        <v>119.87697012786721</v>
      </c>
      <c r="F79" s="14">
        <v>143.69067975584889</v>
      </c>
      <c r="G79" s="14">
        <v>137.87828497024176</v>
      </c>
      <c r="H79" s="14">
        <v>126.20816862166782</v>
      </c>
      <c r="I79" s="14">
        <v>114.48278760633779</v>
      </c>
      <c r="J79" s="14">
        <v>120.05867588246889</v>
      </c>
      <c r="K79" s="14">
        <v>121.17444272343333</v>
      </c>
      <c r="L79" s="14">
        <v>116.30773456922968</v>
      </c>
      <c r="M79" s="14">
        <v>111.05071502635943</v>
      </c>
      <c r="N79" s="14">
        <v>97.283803101628578</v>
      </c>
      <c r="O79" s="14">
        <v>102.40565070622567</v>
      </c>
      <c r="P79" s="14">
        <f t="shared" si="2"/>
        <v>1119.490648784456</v>
      </c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  <c r="AC79" s="287"/>
      <c r="AD79" s="5">
        <v>129.5</v>
      </c>
      <c r="AE79" s="5">
        <v>138.6</v>
      </c>
      <c r="AF79" s="5">
        <v>167.7</v>
      </c>
      <c r="AG79" s="5">
        <v>159.80000000000001</v>
      </c>
      <c r="AH79" s="5">
        <v>148.9</v>
      </c>
      <c r="AI79" s="5">
        <v>137.1</v>
      </c>
      <c r="AJ79" s="5">
        <v>140.30000000000001</v>
      </c>
      <c r="AK79" s="5">
        <v>144.19999999999999</v>
      </c>
      <c r="AL79" s="5">
        <v>135.5</v>
      </c>
      <c r="AM79" s="5">
        <v>125</v>
      </c>
      <c r="AN79" s="5">
        <v>103.5</v>
      </c>
      <c r="AO79" s="5">
        <v>102</v>
      </c>
      <c r="AP79" s="5">
        <f t="shared" si="3"/>
        <v>1632.1000000000001</v>
      </c>
    </row>
    <row r="80" spans="1:42" x14ac:dyDescent="0.15">
      <c r="A80" s="12">
        <v>77</v>
      </c>
      <c r="B80" s="13" t="s">
        <v>86</v>
      </c>
      <c r="C80" s="13" t="s">
        <v>86</v>
      </c>
      <c r="D80" s="14">
        <v>119.03505517162456</v>
      </c>
      <c r="E80" s="14">
        <v>119.13048449563969</v>
      </c>
      <c r="F80" s="14">
        <v>143.70727505386358</v>
      </c>
      <c r="G80" s="14">
        <v>142.31235519314089</v>
      </c>
      <c r="H80" s="14">
        <v>133.88247846488954</v>
      </c>
      <c r="I80" s="14">
        <v>120.55707947287117</v>
      </c>
      <c r="J80" s="14">
        <v>124.02461743952946</v>
      </c>
      <c r="K80" s="14">
        <v>125.22658061947648</v>
      </c>
      <c r="L80" s="14">
        <v>121.1520779026324</v>
      </c>
      <c r="M80" s="14">
        <v>118.119591897739</v>
      </c>
      <c r="N80" s="14">
        <v>100.51799933262205</v>
      </c>
      <c r="O80" s="14">
        <v>103.07015472055804</v>
      </c>
      <c r="P80" s="14">
        <f t="shared" si="2"/>
        <v>1149.0280038136677</v>
      </c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  <c r="AC80" s="287"/>
      <c r="AD80" s="5">
        <v>115.7</v>
      </c>
      <c r="AE80" s="5">
        <v>117.5</v>
      </c>
      <c r="AF80" s="5">
        <v>160.19999999999999</v>
      </c>
      <c r="AG80" s="5">
        <v>155.80000000000001</v>
      </c>
      <c r="AH80" s="5">
        <v>141.5</v>
      </c>
      <c r="AI80" s="5">
        <v>124.7</v>
      </c>
      <c r="AJ80" s="5">
        <v>128.19999999999999</v>
      </c>
      <c r="AK80" s="5">
        <v>126.9</v>
      </c>
      <c r="AL80" s="5">
        <v>124.8</v>
      </c>
      <c r="AM80" s="5">
        <v>117</v>
      </c>
      <c r="AN80" s="5">
        <v>89.1</v>
      </c>
      <c r="AO80" s="5">
        <v>88.3</v>
      </c>
      <c r="AP80" s="5">
        <f t="shared" si="3"/>
        <v>1489.7</v>
      </c>
    </row>
    <row r="81" spans="1:42" x14ac:dyDescent="0.15">
      <c r="A81" s="12">
        <v>78</v>
      </c>
      <c r="B81" s="13" t="s">
        <v>87</v>
      </c>
      <c r="C81" s="13" t="s">
        <v>87</v>
      </c>
      <c r="D81" s="14">
        <v>124.13573921720551</v>
      </c>
      <c r="E81" s="14">
        <v>124.27303569384549</v>
      </c>
      <c r="F81" s="14">
        <v>151.20547596110833</v>
      </c>
      <c r="G81" s="14">
        <v>145.17197580994201</v>
      </c>
      <c r="H81" s="14">
        <v>129.35095511880553</v>
      </c>
      <c r="I81" s="14">
        <v>110.41716335008856</v>
      </c>
      <c r="J81" s="14">
        <v>113.68605752397202</v>
      </c>
      <c r="K81" s="14">
        <v>110.90691179988468</v>
      </c>
      <c r="L81" s="14">
        <v>108.52345255992228</v>
      </c>
      <c r="M81" s="14">
        <v>115.02427624246199</v>
      </c>
      <c r="N81" s="14">
        <v>110.0134002170317</v>
      </c>
      <c r="O81" s="14">
        <v>118.27128828194765</v>
      </c>
      <c r="P81" s="14">
        <f t="shared" si="2"/>
        <v>1117.6707670347746</v>
      </c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  <c r="AC81" s="287"/>
      <c r="AD81" s="5">
        <v>119.7</v>
      </c>
      <c r="AE81" s="5">
        <v>127.5</v>
      </c>
      <c r="AF81" s="5">
        <v>160.1</v>
      </c>
      <c r="AG81" s="5">
        <v>135.4</v>
      </c>
      <c r="AH81" s="5">
        <v>109</v>
      </c>
      <c r="AI81" s="5">
        <v>95.9</v>
      </c>
      <c r="AJ81" s="5">
        <v>100.8</v>
      </c>
      <c r="AK81" s="5">
        <v>91.8</v>
      </c>
      <c r="AL81" s="5">
        <v>83.6</v>
      </c>
      <c r="AM81" s="5">
        <v>85</v>
      </c>
      <c r="AN81" s="5">
        <v>83.4</v>
      </c>
      <c r="AO81" s="5">
        <v>109</v>
      </c>
      <c r="AP81" s="5">
        <f t="shared" si="3"/>
        <v>1301.1999999999998</v>
      </c>
    </row>
    <row r="82" spans="1:42" x14ac:dyDescent="0.15">
      <c r="A82" s="12">
        <v>79</v>
      </c>
      <c r="B82" s="13" t="s">
        <v>88</v>
      </c>
      <c r="C82" s="13" t="s">
        <v>89</v>
      </c>
      <c r="D82" s="14">
        <v>126.5370115243857</v>
      </c>
      <c r="E82" s="14">
        <v>125.54284661707626</v>
      </c>
      <c r="F82" s="14">
        <v>149.93974695285161</v>
      </c>
      <c r="G82" s="14">
        <v>141.81972933890722</v>
      </c>
      <c r="H82" s="14">
        <v>129.11681366579359</v>
      </c>
      <c r="I82" s="14">
        <v>118.99913212191468</v>
      </c>
      <c r="J82" s="14">
        <v>120.16490138200325</v>
      </c>
      <c r="K82" s="14">
        <v>120.48775480155803</v>
      </c>
      <c r="L82" s="14">
        <v>112.20184203296603</v>
      </c>
      <c r="M82" s="14">
        <v>115.78515951742345</v>
      </c>
      <c r="N82" s="14">
        <v>111.05492925922071</v>
      </c>
      <c r="O82" s="14">
        <v>119.54658695153555</v>
      </c>
      <c r="P82" s="14">
        <f t="shared" si="2"/>
        <v>1144.8097784374563</v>
      </c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  <c r="AC82" s="287"/>
      <c r="AD82" s="5">
        <v>137.1</v>
      </c>
      <c r="AE82" s="5">
        <v>139.5</v>
      </c>
      <c r="AF82" s="5">
        <v>155.6</v>
      </c>
      <c r="AG82" s="5">
        <v>148.1</v>
      </c>
      <c r="AH82" s="5">
        <v>124.4</v>
      </c>
      <c r="AI82" s="5">
        <v>117.1</v>
      </c>
      <c r="AJ82" s="5">
        <v>116.1</v>
      </c>
      <c r="AK82" s="5">
        <v>112.7</v>
      </c>
      <c r="AL82" s="5">
        <v>102</v>
      </c>
      <c r="AM82" s="5">
        <v>105.6</v>
      </c>
      <c r="AN82" s="5">
        <v>103.9</v>
      </c>
      <c r="AO82" s="5">
        <v>120.3</v>
      </c>
      <c r="AP82" s="5">
        <f t="shared" si="3"/>
        <v>1482.4</v>
      </c>
    </row>
    <row r="83" spans="1:42" x14ac:dyDescent="0.15">
      <c r="A83" s="12">
        <v>80</v>
      </c>
      <c r="B83" s="13" t="s">
        <v>89</v>
      </c>
      <c r="C83" s="13" t="s">
        <v>89</v>
      </c>
      <c r="D83" s="14">
        <v>137.14161071898155</v>
      </c>
      <c r="E83" s="14">
        <v>134.35519253286338</v>
      </c>
      <c r="F83" s="14">
        <v>156.97747454598812</v>
      </c>
      <c r="G83" s="14">
        <v>144.94837640229503</v>
      </c>
      <c r="H83" s="14">
        <v>132.23389622369714</v>
      </c>
      <c r="I83" s="14">
        <v>122.53846821464882</v>
      </c>
      <c r="J83" s="14">
        <v>125.35937099700466</v>
      </c>
      <c r="K83" s="14">
        <v>131.06612524458683</v>
      </c>
      <c r="L83" s="14">
        <v>119.96771394137866</v>
      </c>
      <c r="M83" s="14">
        <v>119.9037431696287</v>
      </c>
      <c r="N83" s="14">
        <v>115.68588579268287</v>
      </c>
      <c r="O83" s="14">
        <v>129.14118879157851</v>
      </c>
      <c r="P83" s="14">
        <f t="shared" si="2"/>
        <v>1204.5882288214441</v>
      </c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5">
        <v>154.4</v>
      </c>
      <c r="AE83" s="5">
        <v>151.80000000000001</v>
      </c>
      <c r="AF83" s="5">
        <v>168.6</v>
      </c>
      <c r="AG83" s="5">
        <v>146.30000000000001</v>
      </c>
      <c r="AH83" s="5">
        <v>121.7</v>
      </c>
      <c r="AI83" s="5">
        <v>111.6</v>
      </c>
      <c r="AJ83" s="5">
        <v>111.2</v>
      </c>
      <c r="AK83" s="5">
        <v>111.5</v>
      </c>
      <c r="AL83" s="5">
        <v>102.4</v>
      </c>
      <c r="AM83" s="5">
        <v>106.6</v>
      </c>
      <c r="AN83" s="5">
        <v>110</v>
      </c>
      <c r="AO83" s="5">
        <v>133.30000000000001</v>
      </c>
      <c r="AP83" s="5">
        <f t="shared" si="3"/>
        <v>1529.4000000000003</v>
      </c>
    </row>
    <row r="84" spans="1:42" x14ac:dyDescent="0.15">
      <c r="A84" s="12">
        <v>81</v>
      </c>
      <c r="B84" s="13" t="s">
        <v>90</v>
      </c>
      <c r="C84" s="13" t="s">
        <v>89</v>
      </c>
      <c r="D84" s="14">
        <v>136.47397148497421</v>
      </c>
      <c r="E84" s="14">
        <v>135.65389908065026</v>
      </c>
      <c r="F84" s="14">
        <v>155.96536392478401</v>
      </c>
      <c r="G84" s="14">
        <v>141.27587455951851</v>
      </c>
      <c r="H84" s="14">
        <v>125.00523577110704</v>
      </c>
      <c r="I84" s="14">
        <v>108.66964835859706</v>
      </c>
      <c r="J84" s="14">
        <v>117.10518545095762</v>
      </c>
      <c r="K84" s="14">
        <v>123.22528623366614</v>
      </c>
      <c r="L84" s="14">
        <v>106.75677910284539</v>
      </c>
      <c r="M84" s="14">
        <v>109.28018246865456</v>
      </c>
      <c r="N84" s="14">
        <v>104.82070554955592</v>
      </c>
      <c r="O84" s="14">
        <v>119.33660075615906</v>
      </c>
      <c r="P84" s="14">
        <f t="shared" si="2"/>
        <v>1150.1312439671003</v>
      </c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  <c r="AC84" s="287"/>
      <c r="AD84" s="5">
        <v>160.19999999999999</v>
      </c>
      <c r="AE84" s="5">
        <v>157.30000000000001</v>
      </c>
      <c r="AF84" s="5">
        <v>188.4</v>
      </c>
      <c r="AG84" s="5">
        <v>160.9</v>
      </c>
      <c r="AH84" s="5">
        <v>138.30000000000001</v>
      </c>
      <c r="AI84" s="5">
        <v>128.19999999999999</v>
      </c>
      <c r="AJ84" s="5">
        <v>133.4</v>
      </c>
      <c r="AK84" s="5">
        <v>136.9</v>
      </c>
      <c r="AL84" s="5">
        <v>118.9</v>
      </c>
      <c r="AM84" s="5">
        <v>117.6</v>
      </c>
      <c r="AN84" s="5">
        <v>118.8</v>
      </c>
      <c r="AO84" s="5">
        <v>137.9</v>
      </c>
      <c r="AP84" s="5">
        <f t="shared" si="3"/>
        <v>1696.8000000000002</v>
      </c>
    </row>
    <row r="85" spans="1:42" x14ac:dyDescent="0.15">
      <c r="A85" s="12">
        <v>82</v>
      </c>
      <c r="B85" s="13" t="s">
        <v>91</v>
      </c>
      <c r="C85" s="13" t="s">
        <v>92</v>
      </c>
      <c r="D85" s="14">
        <v>139.60891155009065</v>
      </c>
      <c r="E85" s="14">
        <v>134.98858749772964</v>
      </c>
      <c r="F85" s="14">
        <v>155.35242025159798</v>
      </c>
      <c r="G85" s="14">
        <v>141.75071793129922</v>
      </c>
      <c r="H85" s="14">
        <v>127.54775043296</v>
      </c>
      <c r="I85" s="14">
        <v>121.1109214887038</v>
      </c>
      <c r="J85" s="14">
        <v>123.46257045016237</v>
      </c>
      <c r="K85" s="14">
        <v>124.98699741416526</v>
      </c>
      <c r="L85" s="14">
        <v>113.27475841608617</v>
      </c>
      <c r="M85" s="14">
        <v>112.12209153455669</v>
      </c>
      <c r="N85" s="14">
        <v>108.29402880963423</v>
      </c>
      <c r="O85" s="14">
        <v>121.10537559614104</v>
      </c>
      <c r="P85" s="14">
        <f t="shared" si="2"/>
        <v>1182.0836354327951</v>
      </c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  <c r="AC85" s="287"/>
      <c r="AD85" s="5" t="s">
        <v>575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f t="shared" si="3"/>
        <v>0</v>
      </c>
    </row>
    <row r="86" spans="1:42" x14ac:dyDescent="0.15">
      <c r="A86" s="12">
        <v>83</v>
      </c>
      <c r="B86" s="13" t="s">
        <v>92</v>
      </c>
      <c r="C86" s="13" t="s">
        <v>92</v>
      </c>
      <c r="D86" s="14">
        <v>134.77778376039242</v>
      </c>
      <c r="E86" s="14">
        <v>133.32672940603248</v>
      </c>
      <c r="F86" s="14">
        <v>155.40576155584691</v>
      </c>
      <c r="G86" s="14">
        <v>141.75584153326074</v>
      </c>
      <c r="H86" s="14">
        <v>131.48613084984888</v>
      </c>
      <c r="I86" s="14">
        <v>123.19094152731388</v>
      </c>
      <c r="J86" s="14">
        <v>124.59779125411289</v>
      </c>
      <c r="K86" s="14">
        <v>127.23404375611</v>
      </c>
      <c r="L86" s="14">
        <v>116.27170106647756</v>
      </c>
      <c r="M86" s="14">
        <v>114.65479971254234</v>
      </c>
      <c r="N86" s="14">
        <v>109.29846897817573</v>
      </c>
      <c r="O86" s="14">
        <v>121.74695205298717</v>
      </c>
      <c r="P86" s="14">
        <f t="shared" si="2"/>
        <v>1188.0467247093957</v>
      </c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  <c r="AC86" s="287"/>
      <c r="AD86" s="5" t="s">
        <v>576</v>
      </c>
      <c r="AE86" s="5" t="s">
        <v>576</v>
      </c>
      <c r="AF86" s="5" t="s">
        <v>576</v>
      </c>
      <c r="AG86" s="5" t="s">
        <v>576</v>
      </c>
      <c r="AH86" s="5" t="s">
        <v>576</v>
      </c>
      <c r="AI86" s="5" t="s">
        <v>576</v>
      </c>
      <c r="AJ86" s="5" t="s">
        <v>576</v>
      </c>
      <c r="AK86" s="5" t="s">
        <v>576</v>
      </c>
      <c r="AL86" s="5" t="s">
        <v>576</v>
      </c>
      <c r="AM86" s="5" t="s">
        <v>576</v>
      </c>
      <c r="AN86" s="5" t="s">
        <v>576</v>
      </c>
      <c r="AO86" s="5" t="s">
        <v>576</v>
      </c>
      <c r="AP86" s="5">
        <f t="shared" si="3"/>
        <v>0</v>
      </c>
    </row>
    <row r="87" spans="1:42" x14ac:dyDescent="0.15">
      <c r="A87" s="12">
        <v>84</v>
      </c>
      <c r="B87" s="13" t="s">
        <v>93</v>
      </c>
      <c r="C87" s="18" t="s">
        <v>136</v>
      </c>
      <c r="D87" s="14">
        <v>137.08132044132927</v>
      </c>
      <c r="E87" s="14">
        <v>136.51821011798839</v>
      </c>
      <c r="F87" s="14">
        <v>156.27165983292977</v>
      </c>
      <c r="G87" s="14">
        <v>139.58065555099657</v>
      </c>
      <c r="H87" s="14">
        <v>125.77389089943821</v>
      </c>
      <c r="I87" s="14">
        <v>114.6971446301154</v>
      </c>
      <c r="J87" s="14">
        <v>118.25428716635659</v>
      </c>
      <c r="K87" s="14">
        <v>120.28964020849037</v>
      </c>
      <c r="L87" s="14">
        <v>111.65831389204895</v>
      </c>
      <c r="M87" s="14">
        <v>110.82861994322782</v>
      </c>
      <c r="N87" s="14">
        <v>103.6149689822537</v>
      </c>
      <c r="O87" s="14">
        <v>118.42612300905033</v>
      </c>
      <c r="P87" s="14">
        <f t="shared" si="2"/>
        <v>1160.1251227396936</v>
      </c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  <c r="AC87" s="287"/>
      <c r="AD87" s="5">
        <v>159.30000000000001</v>
      </c>
      <c r="AE87" s="5">
        <v>161.30000000000001</v>
      </c>
      <c r="AF87" s="5">
        <v>176.3</v>
      </c>
      <c r="AG87" s="5">
        <v>146.9</v>
      </c>
      <c r="AH87" s="5">
        <v>120.8</v>
      </c>
      <c r="AI87" s="5">
        <v>109</v>
      </c>
      <c r="AJ87" s="5">
        <v>111</v>
      </c>
      <c r="AK87" s="5">
        <v>111.7</v>
      </c>
      <c r="AL87" s="5">
        <v>100.9</v>
      </c>
      <c r="AM87" s="5">
        <v>100.6</v>
      </c>
      <c r="AN87" s="5">
        <v>94.4</v>
      </c>
      <c r="AO87" s="5">
        <v>118.8</v>
      </c>
      <c r="AP87" s="5">
        <f t="shared" si="3"/>
        <v>1511</v>
      </c>
    </row>
    <row r="88" spans="1:42" x14ac:dyDescent="0.15">
      <c r="A88" s="15">
        <v>85</v>
      </c>
      <c r="B88" s="16" t="s">
        <v>94</v>
      </c>
      <c r="C88" s="16" t="s">
        <v>94</v>
      </c>
      <c r="D88" s="17">
        <v>146.02003891508664</v>
      </c>
      <c r="E88" s="17">
        <v>138.25645778462803</v>
      </c>
      <c r="F88" s="17">
        <v>152.9204685079479</v>
      </c>
      <c r="G88" s="17">
        <v>135.00970892602197</v>
      </c>
      <c r="H88" s="17">
        <v>127.02642299221114</v>
      </c>
      <c r="I88" s="17">
        <v>118.36674615728033</v>
      </c>
      <c r="J88" s="17">
        <v>120.12253500294368</v>
      </c>
      <c r="K88" s="17">
        <v>122.77624392660442</v>
      </c>
      <c r="L88" s="17">
        <v>113.68056422865507</v>
      </c>
      <c r="M88" s="17">
        <v>114.38483805563962</v>
      </c>
      <c r="N88" s="17">
        <v>110.1215282750745</v>
      </c>
      <c r="O88" s="17">
        <v>124.38014624027868</v>
      </c>
      <c r="P88" s="17">
        <f t="shared" si="2"/>
        <v>1174.1791864413792</v>
      </c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  <c r="AC88" s="287"/>
      <c r="AD88" s="5">
        <v>178.3</v>
      </c>
      <c r="AE88" s="5">
        <v>167.3</v>
      </c>
      <c r="AF88" s="5">
        <v>182.6</v>
      </c>
      <c r="AG88" s="5">
        <v>150.80000000000001</v>
      </c>
      <c r="AH88" s="5">
        <v>135.30000000000001</v>
      </c>
      <c r="AI88" s="5">
        <v>123.8</v>
      </c>
      <c r="AJ88" s="5">
        <v>128.1</v>
      </c>
      <c r="AK88" s="5">
        <v>128.9</v>
      </c>
      <c r="AL88" s="5">
        <v>115.7</v>
      </c>
      <c r="AM88" s="5">
        <v>114.8</v>
      </c>
      <c r="AN88" s="5">
        <v>108.3</v>
      </c>
      <c r="AO88" s="5">
        <v>133.9</v>
      </c>
      <c r="AP88" s="5">
        <f t="shared" si="3"/>
        <v>1667.8</v>
      </c>
    </row>
  </sheetData>
  <sheetProtection password="DD72" sheet="1" objects="1" scenarios="1"/>
  <mergeCells count="1">
    <mergeCell ref="AD1:AP1"/>
  </mergeCells>
  <phoneticPr fontId="7" type="noConversion"/>
  <printOptions horizontalCentered="1"/>
  <pageMargins left="0.17" right="0.75" top="0.75" bottom="0.75" header="0.5" footer="0.5"/>
  <pageSetup paperSize="9" scale="65" fitToHeight="3" orientation="portrait"/>
  <headerFooter alignWithMargins="0">
    <oddFooter>&amp;L&amp;Z&amp;F&amp;A&amp;C&amp;P/&amp;N&amp;R&amp;D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1106B-FA0F-5E47-AD85-7C0A22DC09A8}">
  <sheetPr codeName="Sheet8"/>
  <dimension ref="A2:F149"/>
  <sheetViews>
    <sheetView showGridLines="0" workbookViewId="0">
      <pane xSplit="2" ySplit="4" topLeftCell="C105" activePane="bottomRight" state="frozen"/>
      <selection pane="topRight" activeCell="C1" sqref="C1"/>
      <selection pane="bottomLeft" activeCell="A5" sqref="A5"/>
      <selection pane="bottomRight" activeCell="D147" sqref="D147"/>
    </sheetView>
  </sheetViews>
  <sheetFormatPr baseColWidth="10" defaultRowHeight="13" x14ac:dyDescent="0.15"/>
  <cols>
    <col min="1" max="1" width="2.6640625" customWidth="1"/>
    <col min="2" max="2" width="77.1640625" bestFit="1" customWidth="1"/>
    <col min="3" max="3" width="8.6640625" bestFit="1" customWidth="1"/>
    <col min="4" max="4" width="9.33203125" bestFit="1" customWidth="1"/>
    <col min="5" max="5" width="10.6640625" bestFit="1" customWidth="1"/>
    <col min="6" max="6" width="21.6640625" bestFit="1" customWidth="1"/>
    <col min="7" max="256" width="8.83203125" customWidth="1"/>
  </cols>
  <sheetData>
    <row r="2" spans="2:6" x14ac:dyDescent="0.15">
      <c r="B2" s="60"/>
      <c r="C2" s="60"/>
      <c r="D2" s="60"/>
      <c r="E2" s="60"/>
      <c r="F2" s="60" t="s">
        <v>189</v>
      </c>
    </row>
    <row r="3" spans="2:6" x14ac:dyDescent="0.15">
      <c r="B3" s="61" t="s">
        <v>190</v>
      </c>
      <c r="C3" s="61" t="s">
        <v>191</v>
      </c>
      <c r="D3" s="61" t="s">
        <v>192</v>
      </c>
      <c r="E3" s="61" t="s">
        <v>193</v>
      </c>
      <c r="F3" s="61" t="s">
        <v>194</v>
      </c>
    </row>
    <row r="4" spans="2:6" x14ac:dyDescent="0.15">
      <c r="B4" s="62"/>
      <c r="C4" s="62"/>
      <c r="D4" s="62"/>
      <c r="E4" s="62"/>
      <c r="F4" s="62" t="s">
        <v>195</v>
      </c>
    </row>
    <row r="5" spans="2:6" x14ac:dyDescent="0.15">
      <c r="B5" s="63" t="s">
        <v>196</v>
      </c>
      <c r="C5" s="64">
        <v>0.7</v>
      </c>
      <c r="D5" s="64">
        <v>1.05</v>
      </c>
      <c r="E5" s="64">
        <v>0.95</v>
      </c>
      <c r="F5" s="65"/>
    </row>
    <row r="6" spans="2:6" x14ac:dyDescent="0.15">
      <c r="B6" s="65" t="s">
        <v>197</v>
      </c>
      <c r="C6" s="65"/>
      <c r="D6" s="66">
        <v>1.05</v>
      </c>
      <c r="E6" s="66">
        <v>0.95</v>
      </c>
      <c r="F6" s="66">
        <v>0.3</v>
      </c>
    </row>
    <row r="7" spans="2:6" x14ac:dyDescent="0.15">
      <c r="B7" s="65" t="s">
        <v>198</v>
      </c>
      <c r="C7" s="65"/>
      <c r="D7" s="66">
        <v>1.05</v>
      </c>
      <c r="E7" s="66">
        <v>0.95</v>
      </c>
      <c r="F7" s="66">
        <v>0.4</v>
      </c>
    </row>
    <row r="8" spans="2:6" x14ac:dyDescent="0.15">
      <c r="B8" s="65" t="s">
        <v>199</v>
      </c>
      <c r="C8" s="65"/>
      <c r="D8" s="66">
        <v>1.05</v>
      </c>
      <c r="E8" s="66">
        <v>0.95</v>
      </c>
      <c r="F8" s="66">
        <v>0.4</v>
      </c>
    </row>
    <row r="9" spans="2:6" x14ac:dyDescent="0.15">
      <c r="B9" s="65" t="s">
        <v>200</v>
      </c>
      <c r="C9" s="65"/>
      <c r="D9" s="66">
        <v>1.05</v>
      </c>
      <c r="E9" s="66">
        <v>0.95</v>
      </c>
      <c r="F9" s="66">
        <v>0.3</v>
      </c>
    </row>
    <row r="10" spans="2:6" x14ac:dyDescent="0.15">
      <c r="B10" s="65" t="s">
        <v>201</v>
      </c>
      <c r="C10" s="65"/>
      <c r="D10" s="66">
        <v>1.05</v>
      </c>
      <c r="E10" s="66">
        <v>0.95</v>
      </c>
      <c r="F10" s="66">
        <v>0.4</v>
      </c>
    </row>
    <row r="11" spans="2:6" x14ac:dyDescent="0.15">
      <c r="B11" s="65" t="s">
        <v>202</v>
      </c>
      <c r="C11" s="65"/>
      <c r="D11" s="66">
        <v>1.05</v>
      </c>
      <c r="E11" s="66">
        <v>1</v>
      </c>
      <c r="F11" s="66">
        <v>0.6</v>
      </c>
    </row>
    <row r="12" spans="2:6" x14ac:dyDescent="0.15">
      <c r="B12" s="65" t="s">
        <v>203</v>
      </c>
      <c r="C12" s="65"/>
      <c r="D12" s="66">
        <v>1</v>
      </c>
      <c r="E12" s="66">
        <v>0.7</v>
      </c>
      <c r="F12" s="66">
        <v>0.3</v>
      </c>
    </row>
    <row r="13" spans="2:6" x14ac:dyDescent="0.15">
      <c r="B13" s="65" t="s">
        <v>204</v>
      </c>
      <c r="C13" s="65"/>
      <c r="D13" s="66">
        <v>1</v>
      </c>
      <c r="E13" s="66">
        <v>0.95</v>
      </c>
      <c r="F13" s="66">
        <v>0.3</v>
      </c>
    </row>
    <row r="14" spans="2:6" x14ac:dyDescent="0.15">
      <c r="B14" s="65" t="s">
        <v>205</v>
      </c>
      <c r="C14" s="65"/>
      <c r="D14" s="66">
        <v>1.05</v>
      </c>
      <c r="E14" s="66">
        <v>0.75</v>
      </c>
      <c r="F14" s="66">
        <v>0.4</v>
      </c>
    </row>
    <row r="15" spans="2:6" x14ac:dyDescent="0.15">
      <c r="B15" s="65" t="s">
        <v>206</v>
      </c>
      <c r="C15" s="65"/>
      <c r="D15" s="66">
        <v>1</v>
      </c>
      <c r="E15" s="66">
        <v>1</v>
      </c>
      <c r="F15" s="66">
        <v>0.3</v>
      </c>
    </row>
    <row r="16" spans="2:6" x14ac:dyDescent="0.15">
      <c r="B16" s="65" t="s">
        <v>207</v>
      </c>
      <c r="C16" s="65"/>
      <c r="D16" s="66">
        <v>1.05</v>
      </c>
      <c r="E16" s="66">
        <v>0.8</v>
      </c>
      <c r="F16" s="66">
        <v>0.5</v>
      </c>
    </row>
    <row r="17" spans="2:6" x14ac:dyDescent="0.15">
      <c r="B17" s="65" t="s">
        <v>208</v>
      </c>
      <c r="C17" s="65"/>
      <c r="D17" s="66">
        <v>1</v>
      </c>
      <c r="E17" s="66">
        <v>0.95</v>
      </c>
      <c r="F17" s="66">
        <v>0.3</v>
      </c>
    </row>
    <row r="18" spans="2:6" x14ac:dyDescent="0.15">
      <c r="B18" s="65" t="s">
        <v>209</v>
      </c>
      <c r="C18" s="65"/>
      <c r="D18" s="66">
        <v>0.9</v>
      </c>
      <c r="E18" s="66">
        <v>0.85</v>
      </c>
      <c r="F18" s="66">
        <v>0.3</v>
      </c>
    </row>
    <row r="19" spans="2:6" x14ac:dyDescent="0.15">
      <c r="B19" s="63" t="s">
        <v>344</v>
      </c>
      <c r="C19" s="64">
        <v>0.6</v>
      </c>
      <c r="D19" s="64">
        <v>1.1499999999999999</v>
      </c>
      <c r="E19" s="64">
        <v>0.8</v>
      </c>
      <c r="F19" s="65"/>
    </row>
    <row r="20" spans="2:6" x14ac:dyDescent="0.15">
      <c r="B20" s="65" t="s">
        <v>210</v>
      </c>
      <c r="C20" s="65"/>
      <c r="D20" s="66">
        <v>1.05</v>
      </c>
      <c r="E20" s="66">
        <v>0.9</v>
      </c>
      <c r="F20" s="66">
        <v>0.8</v>
      </c>
    </row>
    <row r="21" spans="2:6" x14ac:dyDescent="0.15">
      <c r="B21" s="65" t="s">
        <v>211</v>
      </c>
      <c r="C21" s="65"/>
      <c r="D21" s="66">
        <v>1.052</v>
      </c>
      <c r="E21" s="66">
        <v>0.9</v>
      </c>
      <c r="F21" s="66">
        <v>0.7</v>
      </c>
    </row>
    <row r="22" spans="2:6" x14ac:dyDescent="0.15">
      <c r="B22" s="65" t="s">
        <v>212</v>
      </c>
      <c r="C22" s="65"/>
      <c r="D22" s="66">
        <v>1.1519999999999999</v>
      </c>
      <c r="E22" s="66" t="s">
        <v>213</v>
      </c>
      <c r="F22" s="66">
        <v>0.6</v>
      </c>
    </row>
    <row r="23" spans="2:6" x14ac:dyDescent="0.15">
      <c r="B23" s="63" t="s">
        <v>345</v>
      </c>
      <c r="C23" s="64">
        <v>0.5</v>
      </c>
      <c r="D23" s="64">
        <v>1</v>
      </c>
      <c r="E23" s="64">
        <v>0.8</v>
      </c>
      <c r="F23" s="65"/>
    </row>
    <row r="24" spans="2:6" x14ac:dyDescent="0.15">
      <c r="B24" s="65" t="s">
        <v>214</v>
      </c>
      <c r="C24" s="66">
        <v>0.5</v>
      </c>
      <c r="D24" s="66">
        <v>0.85</v>
      </c>
      <c r="E24" s="66">
        <v>0.6</v>
      </c>
      <c r="F24" s="66">
        <v>0.3</v>
      </c>
    </row>
    <row r="25" spans="2:6" x14ac:dyDescent="0.15">
      <c r="B25" s="65" t="s">
        <v>215</v>
      </c>
      <c r="C25" s="66">
        <v>0.6</v>
      </c>
      <c r="D25" s="66">
        <v>1.002</v>
      </c>
      <c r="E25" s="66">
        <v>0.75</v>
      </c>
      <c r="F25" s="66">
        <v>0.3</v>
      </c>
    </row>
    <row r="26" spans="2:6" x14ac:dyDescent="0.15">
      <c r="B26" s="65" t="s">
        <v>216</v>
      </c>
      <c r="C26" s="66">
        <v>0.5</v>
      </c>
      <c r="D26" s="66">
        <v>1</v>
      </c>
      <c r="E26" s="66">
        <v>0.9</v>
      </c>
      <c r="F26" s="66">
        <v>0.3</v>
      </c>
    </row>
    <row r="27" spans="2:6" x14ac:dyDescent="0.15">
      <c r="B27" s="65" t="s">
        <v>217</v>
      </c>
      <c r="C27" s="65"/>
      <c r="D27" s="66">
        <v>1</v>
      </c>
      <c r="E27" s="66">
        <v>0.8</v>
      </c>
      <c r="F27" s="66">
        <v>0.4</v>
      </c>
    </row>
    <row r="28" spans="2:6" x14ac:dyDescent="0.15">
      <c r="B28" s="65" t="s">
        <v>346</v>
      </c>
      <c r="C28" s="65"/>
      <c r="D28" s="66">
        <v>0.95</v>
      </c>
      <c r="E28" s="66">
        <v>0.75</v>
      </c>
      <c r="F28" s="66">
        <v>0.3</v>
      </c>
    </row>
    <row r="29" spans="2:6" x14ac:dyDescent="0.15">
      <c r="B29" s="65" t="s">
        <v>218</v>
      </c>
      <c r="C29" s="65"/>
      <c r="D29" s="66">
        <v>1.05</v>
      </c>
      <c r="E29" s="66">
        <v>0.75</v>
      </c>
      <c r="F29" s="66">
        <v>0.4</v>
      </c>
    </row>
    <row r="30" spans="2:6" x14ac:dyDescent="0.15">
      <c r="B30" s="65" t="s">
        <v>219</v>
      </c>
      <c r="C30" s="66">
        <v>0.4</v>
      </c>
      <c r="D30" s="66">
        <v>1</v>
      </c>
      <c r="E30" s="66">
        <v>0.75</v>
      </c>
      <c r="F30" s="66">
        <v>0.4</v>
      </c>
    </row>
    <row r="31" spans="2:6" x14ac:dyDescent="0.15">
      <c r="B31" s="63" t="s">
        <v>220</v>
      </c>
      <c r="C31" s="64">
        <v>0.5</v>
      </c>
      <c r="D31" s="64">
        <v>1.1000000000000001</v>
      </c>
      <c r="E31" s="64">
        <v>0.95</v>
      </c>
      <c r="F31" s="65"/>
    </row>
    <row r="32" spans="2:6" x14ac:dyDescent="0.15">
      <c r="B32" s="65" t="s">
        <v>221</v>
      </c>
      <c r="C32" s="65"/>
      <c r="D32" s="66">
        <v>1.05</v>
      </c>
      <c r="E32" s="66">
        <v>0.95</v>
      </c>
      <c r="F32" s="66">
        <v>0.4</v>
      </c>
    </row>
    <row r="33" spans="2:6" x14ac:dyDescent="0.15">
      <c r="B33" s="65" t="s">
        <v>222</v>
      </c>
      <c r="C33" s="66">
        <v>0.3</v>
      </c>
      <c r="D33" s="66">
        <v>0.80300000000000005</v>
      </c>
      <c r="E33" s="66">
        <v>0.3</v>
      </c>
      <c r="F33" s="66">
        <v>1</v>
      </c>
    </row>
    <row r="34" spans="2:6" x14ac:dyDescent="0.15">
      <c r="B34" s="65" t="s">
        <v>223</v>
      </c>
      <c r="C34" s="66">
        <v>0.3</v>
      </c>
      <c r="D34" s="66">
        <v>1.1000000000000001</v>
      </c>
      <c r="E34" s="66">
        <v>0.5</v>
      </c>
      <c r="F34" s="66">
        <v>1.5</v>
      </c>
    </row>
    <row r="35" spans="2:6" x14ac:dyDescent="0.15">
      <c r="B35" s="65" t="s">
        <v>224</v>
      </c>
      <c r="C35" s="66">
        <v>0.5</v>
      </c>
      <c r="D35" s="66">
        <v>1.05</v>
      </c>
      <c r="E35" s="66">
        <v>0.95</v>
      </c>
      <c r="F35" s="66">
        <v>0.4</v>
      </c>
    </row>
    <row r="36" spans="2:6" x14ac:dyDescent="0.15">
      <c r="B36" s="65" t="s">
        <v>225</v>
      </c>
      <c r="C36" s="65"/>
      <c r="D36" s="66">
        <v>1.1499999999999999</v>
      </c>
      <c r="E36" s="66">
        <v>0.754</v>
      </c>
      <c r="F36" s="66">
        <v>0.6</v>
      </c>
    </row>
    <row r="37" spans="2:6" x14ac:dyDescent="0.15">
      <c r="B37" s="65" t="s">
        <v>226</v>
      </c>
      <c r="C37" s="65"/>
      <c r="D37" s="66">
        <v>1.1499999999999999</v>
      </c>
      <c r="E37" s="66">
        <v>0.65</v>
      </c>
      <c r="F37" s="66">
        <v>0.4</v>
      </c>
    </row>
    <row r="38" spans="2:6" x14ac:dyDescent="0.15">
      <c r="B38" s="65" t="s">
        <v>227</v>
      </c>
      <c r="C38" s="65"/>
      <c r="D38" s="66">
        <v>1.1000000000000001</v>
      </c>
      <c r="E38" s="66">
        <v>0.95</v>
      </c>
      <c r="F38" s="66">
        <v>0.6</v>
      </c>
    </row>
    <row r="39" spans="2:6" x14ac:dyDescent="0.15">
      <c r="B39" s="65" t="s">
        <v>228</v>
      </c>
      <c r="C39" s="66">
        <v>0.35</v>
      </c>
      <c r="D39" s="66">
        <v>1.2</v>
      </c>
      <c r="E39" s="66">
        <v>0.70499999999999996</v>
      </c>
      <c r="F39" s="66">
        <v>0.5</v>
      </c>
    </row>
    <row r="40" spans="2:6" x14ac:dyDescent="0.15">
      <c r="B40" s="67" t="s">
        <v>347</v>
      </c>
      <c r="C40" s="68">
        <v>0.4</v>
      </c>
      <c r="D40" s="68">
        <v>1.1499999999999999</v>
      </c>
      <c r="E40" s="68">
        <v>0.55000000000000004</v>
      </c>
      <c r="F40" s="65"/>
    </row>
    <row r="41" spans="2:6" x14ac:dyDescent="0.15">
      <c r="B41" s="69" t="s">
        <v>229</v>
      </c>
      <c r="C41" s="70">
        <v>0.5</v>
      </c>
      <c r="D41" s="70">
        <v>1.052</v>
      </c>
      <c r="E41" s="70">
        <v>0.9</v>
      </c>
      <c r="F41" s="70">
        <v>0.4</v>
      </c>
    </row>
    <row r="42" spans="2:6" x14ac:dyDescent="0.15">
      <c r="B42" s="69" t="s">
        <v>230</v>
      </c>
      <c r="C42" s="70">
        <v>0.4</v>
      </c>
      <c r="D42" s="70">
        <v>1.1519999999999999</v>
      </c>
      <c r="E42" s="70">
        <v>0.35</v>
      </c>
      <c r="F42" s="70">
        <v>0.4</v>
      </c>
    </row>
    <row r="43" spans="2:6" x14ac:dyDescent="0.15">
      <c r="B43" s="69" t="s">
        <v>231</v>
      </c>
      <c r="C43" s="65"/>
      <c r="D43" s="70">
        <v>1</v>
      </c>
      <c r="E43" s="70">
        <v>0.35</v>
      </c>
      <c r="F43" s="70">
        <v>0.4</v>
      </c>
    </row>
    <row r="44" spans="2:6" x14ac:dyDescent="0.15">
      <c r="B44" s="69" t="s">
        <v>232</v>
      </c>
      <c r="C44" s="70">
        <v>0.5</v>
      </c>
      <c r="D44" s="70">
        <v>1.1519999999999999</v>
      </c>
      <c r="E44" s="70">
        <v>1.1000000000000001</v>
      </c>
      <c r="F44" s="70">
        <v>0.8</v>
      </c>
    </row>
    <row r="45" spans="2:6" x14ac:dyDescent="0.15">
      <c r="B45" s="69" t="s">
        <v>233</v>
      </c>
      <c r="C45" s="70">
        <v>0.5</v>
      </c>
      <c r="D45" s="70">
        <v>1.1519999999999999</v>
      </c>
      <c r="E45" s="70">
        <v>0.3</v>
      </c>
      <c r="F45" s="70">
        <v>0.8</v>
      </c>
    </row>
    <row r="46" spans="2:6" x14ac:dyDescent="0.15">
      <c r="B46" s="69" t="s">
        <v>234</v>
      </c>
      <c r="C46" s="70">
        <v>0.4</v>
      </c>
      <c r="D46" s="70">
        <v>1.1499999999999999</v>
      </c>
      <c r="E46" s="70">
        <v>0.35</v>
      </c>
      <c r="F46" s="70">
        <v>0.8</v>
      </c>
    </row>
    <row r="47" spans="2:6" x14ac:dyDescent="0.15">
      <c r="B47" s="69" t="s">
        <v>235</v>
      </c>
      <c r="C47" s="65"/>
      <c r="D47" s="70">
        <v>1.05</v>
      </c>
      <c r="E47" s="70" t="s">
        <v>236</v>
      </c>
      <c r="F47" s="70">
        <v>0.4</v>
      </c>
    </row>
    <row r="48" spans="2:6" x14ac:dyDescent="0.15">
      <c r="B48" s="69" t="s">
        <v>237</v>
      </c>
      <c r="C48" s="65"/>
      <c r="D48" s="70">
        <v>1.1499999999999999</v>
      </c>
      <c r="E48" s="70">
        <v>0.6</v>
      </c>
      <c r="F48" s="70">
        <v>0.4</v>
      </c>
    </row>
    <row r="49" spans="2:6" x14ac:dyDescent="0.15">
      <c r="B49" s="69" t="s">
        <v>238</v>
      </c>
      <c r="C49" s="65"/>
      <c r="D49" s="70">
        <v>1.1000000000000001</v>
      </c>
      <c r="E49" s="70">
        <v>0.3</v>
      </c>
      <c r="F49" s="70">
        <v>0.5</v>
      </c>
    </row>
    <row r="50" spans="2:6" x14ac:dyDescent="0.15">
      <c r="B50" s="69" t="s">
        <v>239</v>
      </c>
      <c r="C50" s="70">
        <v>0.5</v>
      </c>
      <c r="D50" s="70">
        <v>1.1519999999999999</v>
      </c>
      <c r="E50" s="70">
        <v>1.1000000000000001</v>
      </c>
      <c r="F50" s="70">
        <v>0.5</v>
      </c>
    </row>
    <row r="51" spans="2:6" x14ac:dyDescent="0.15">
      <c r="B51" s="69" t="s">
        <v>233</v>
      </c>
      <c r="C51" s="65"/>
      <c r="D51" s="70">
        <v>1.1499999999999999</v>
      </c>
      <c r="E51" s="70">
        <v>0.3</v>
      </c>
      <c r="F51" s="70">
        <v>0.5</v>
      </c>
    </row>
    <row r="52" spans="2:6" x14ac:dyDescent="0.15">
      <c r="B52" s="69" t="s">
        <v>240</v>
      </c>
      <c r="C52" s="65"/>
      <c r="D52" s="70">
        <v>1.1499999999999999</v>
      </c>
      <c r="E52" s="70">
        <v>0.5</v>
      </c>
      <c r="F52" s="70" t="s">
        <v>241</v>
      </c>
    </row>
    <row r="53" spans="2:6" x14ac:dyDescent="0.15">
      <c r="B53" s="67" t="s">
        <v>242</v>
      </c>
      <c r="C53" s="68">
        <v>0.5</v>
      </c>
      <c r="D53" s="70">
        <v>1</v>
      </c>
      <c r="E53" s="70">
        <v>0.8</v>
      </c>
      <c r="F53" s="65"/>
    </row>
    <row r="54" spans="2:6" x14ac:dyDescent="0.15">
      <c r="B54" s="69" t="s">
        <v>243</v>
      </c>
      <c r="C54" s="70">
        <v>0.5</v>
      </c>
      <c r="D54" s="70">
        <v>1</v>
      </c>
      <c r="E54" s="70">
        <v>0.95</v>
      </c>
      <c r="F54" s="70">
        <v>0.7</v>
      </c>
    </row>
    <row r="55" spans="2:6" x14ac:dyDescent="0.15">
      <c r="B55" s="69" t="s">
        <v>244</v>
      </c>
      <c r="C55" s="70">
        <v>0.5</v>
      </c>
      <c r="D55" s="70">
        <v>0.95699999999999996</v>
      </c>
      <c r="E55" s="70">
        <v>0.3</v>
      </c>
      <c r="F55" s="70" t="s">
        <v>245</v>
      </c>
    </row>
    <row r="56" spans="2:6" x14ac:dyDescent="0.15">
      <c r="B56" s="69" t="s">
        <v>246</v>
      </c>
      <c r="C56" s="70">
        <v>0.6</v>
      </c>
      <c r="D56" s="70">
        <v>1.1499999999999999</v>
      </c>
      <c r="E56" s="70">
        <v>1.1000000000000001</v>
      </c>
      <c r="F56" s="70" t="s">
        <v>247</v>
      </c>
    </row>
    <row r="57" spans="2:6" x14ac:dyDescent="0.15">
      <c r="B57" s="69" t="s">
        <v>248</v>
      </c>
      <c r="C57" s="70">
        <v>0.4</v>
      </c>
      <c r="D57" s="70">
        <v>0.85</v>
      </c>
      <c r="E57" s="70">
        <v>0.75</v>
      </c>
      <c r="F57" s="70">
        <v>0.2</v>
      </c>
    </row>
    <row r="58" spans="2:6" x14ac:dyDescent="0.15">
      <c r="B58" s="67" t="s">
        <v>249</v>
      </c>
      <c r="C58" s="68">
        <v>0.35</v>
      </c>
      <c r="D58" s="65"/>
      <c r="E58" s="65"/>
      <c r="F58" s="65"/>
    </row>
    <row r="59" spans="2:6" x14ac:dyDescent="0.15">
      <c r="B59" s="69" t="s">
        <v>250</v>
      </c>
      <c r="C59" s="65"/>
      <c r="D59" s="70" t="s">
        <v>251</v>
      </c>
      <c r="E59" s="70" t="s">
        <v>252</v>
      </c>
      <c r="F59" s="70" t="s">
        <v>253</v>
      </c>
    </row>
    <row r="60" spans="2:6" x14ac:dyDescent="0.15">
      <c r="B60" s="69" t="s">
        <v>254</v>
      </c>
      <c r="C60" s="65"/>
      <c r="D60" s="70">
        <v>1.1000000000000001</v>
      </c>
      <c r="E60" s="70">
        <v>0.25</v>
      </c>
      <c r="F60" s="70">
        <v>1.2</v>
      </c>
    </row>
    <row r="61" spans="2:6" x14ac:dyDescent="0.15">
      <c r="B61" s="69" t="s">
        <v>255</v>
      </c>
      <c r="C61" s="65"/>
      <c r="D61" s="70" t="s">
        <v>256</v>
      </c>
      <c r="E61" s="70" t="s">
        <v>256</v>
      </c>
      <c r="F61" s="70">
        <v>1.5</v>
      </c>
    </row>
    <row r="62" spans="2:6" x14ac:dyDescent="0.15">
      <c r="B62" s="67" t="s">
        <v>257</v>
      </c>
      <c r="C62" s="68">
        <v>0.35</v>
      </c>
      <c r="D62" s="68">
        <v>1.1499999999999999</v>
      </c>
      <c r="E62" s="68">
        <v>0.35</v>
      </c>
      <c r="F62" s="65"/>
    </row>
    <row r="63" spans="2:6" x14ac:dyDescent="0.15">
      <c r="B63" s="69" t="s">
        <v>348</v>
      </c>
      <c r="C63" s="65"/>
      <c r="D63" s="70">
        <v>1.1499999999999999</v>
      </c>
      <c r="E63" s="70">
        <v>0.55000000000000004</v>
      </c>
      <c r="F63" s="70">
        <v>0.3</v>
      </c>
    </row>
    <row r="64" spans="2:6" x14ac:dyDescent="0.15">
      <c r="B64" s="69" t="s">
        <v>258</v>
      </c>
      <c r="C64" s="65"/>
      <c r="D64" s="70" t="s">
        <v>259</v>
      </c>
      <c r="E64" s="70">
        <v>0.35</v>
      </c>
      <c r="F64" s="70">
        <v>0.6</v>
      </c>
    </row>
    <row r="65" spans="2:6" x14ac:dyDescent="0.15">
      <c r="B65" s="69" t="s">
        <v>260</v>
      </c>
      <c r="C65" s="65"/>
      <c r="D65" s="70" t="s">
        <v>259</v>
      </c>
      <c r="E65" s="70">
        <v>0.25</v>
      </c>
      <c r="F65" s="70">
        <v>0.8</v>
      </c>
    </row>
    <row r="66" spans="2:6" x14ac:dyDescent="0.15">
      <c r="B66" s="69" t="s">
        <v>261</v>
      </c>
      <c r="C66" s="65"/>
      <c r="D66" s="70">
        <v>1.1000000000000001</v>
      </c>
      <c r="E66" s="70">
        <v>0.25</v>
      </c>
      <c r="F66" s="70">
        <v>1</v>
      </c>
    </row>
    <row r="67" spans="2:6" x14ac:dyDescent="0.15">
      <c r="B67" s="69" t="s">
        <v>262</v>
      </c>
      <c r="C67" s="65"/>
      <c r="D67" s="70" t="s">
        <v>259</v>
      </c>
      <c r="E67" s="70">
        <v>0.35</v>
      </c>
      <c r="F67" s="70">
        <v>2</v>
      </c>
    </row>
    <row r="68" spans="2:6" x14ac:dyDescent="0.15">
      <c r="B68" s="67" t="s">
        <v>263</v>
      </c>
      <c r="C68" s="68">
        <v>0.3</v>
      </c>
      <c r="D68" s="68">
        <v>1.1499999999999999</v>
      </c>
      <c r="E68" s="68">
        <v>0.4</v>
      </c>
      <c r="F68" s="65"/>
    </row>
    <row r="69" spans="2:6" x14ac:dyDescent="0.15">
      <c r="B69" s="69" t="s">
        <v>264</v>
      </c>
      <c r="C69" s="65"/>
      <c r="D69" s="70">
        <v>1.1499999999999999</v>
      </c>
      <c r="E69" s="70">
        <v>0.25</v>
      </c>
      <c r="F69" s="70">
        <v>1</v>
      </c>
    </row>
    <row r="70" spans="2:6" x14ac:dyDescent="0.15">
      <c r="B70" s="69" t="s">
        <v>265</v>
      </c>
      <c r="C70" s="65"/>
      <c r="D70" s="70">
        <v>1.1499999999999999</v>
      </c>
      <c r="E70" s="70">
        <v>0.25</v>
      </c>
      <c r="F70" s="70">
        <v>1</v>
      </c>
    </row>
    <row r="71" spans="2:6" x14ac:dyDescent="0.15">
      <c r="B71" s="69" t="s">
        <v>266</v>
      </c>
      <c r="C71" s="65"/>
      <c r="D71" s="70">
        <v>1.1499999999999999</v>
      </c>
      <c r="E71" s="70" t="s">
        <v>267</v>
      </c>
      <c r="F71" s="70">
        <v>1</v>
      </c>
    </row>
    <row r="72" spans="2:6" x14ac:dyDescent="0.15">
      <c r="B72" s="69" t="s">
        <v>268</v>
      </c>
      <c r="C72" s="70" t="s">
        <v>269</v>
      </c>
      <c r="D72" s="70">
        <v>1.1499999999999999</v>
      </c>
      <c r="E72" s="70" t="s">
        <v>267</v>
      </c>
      <c r="F72" s="70">
        <v>1</v>
      </c>
    </row>
    <row r="73" spans="2:6" x14ac:dyDescent="0.15">
      <c r="B73" s="69" t="s">
        <v>349</v>
      </c>
      <c r="C73" s="65"/>
      <c r="D73" s="70">
        <v>1.2</v>
      </c>
      <c r="E73" s="70" t="s">
        <v>270</v>
      </c>
      <c r="F73" s="70">
        <v>2</v>
      </c>
    </row>
    <row r="74" spans="2:6" x14ac:dyDescent="0.15">
      <c r="B74" s="69" t="s">
        <v>350</v>
      </c>
      <c r="C74" s="65"/>
      <c r="D74" s="70">
        <v>1.1499999999999999</v>
      </c>
      <c r="E74" s="70">
        <v>1.0512999999999999</v>
      </c>
      <c r="F74" s="70">
        <v>1.5</v>
      </c>
    </row>
    <row r="75" spans="2:6" x14ac:dyDescent="0.15">
      <c r="B75" s="69" t="s">
        <v>271</v>
      </c>
      <c r="C75" s="65"/>
      <c r="D75" s="70">
        <v>1</v>
      </c>
      <c r="E75" s="70">
        <v>0.3</v>
      </c>
      <c r="F75" s="70">
        <v>1.5</v>
      </c>
    </row>
    <row r="76" spans="2:6" x14ac:dyDescent="0.15">
      <c r="B76" s="69" t="s">
        <v>272</v>
      </c>
      <c r="C76" s="65"/>
      <c r="D76" s="70" t="s">
        <v>273</v>
      </c>
      <c r="E76" s="70">
        <v>0.55000000000000004</v>
      </c>
      <c r="F76" s="71">
        <v>39479</v>
      </c>
    </row>
    <row r="77" spans="2:6" x14ac:dyDescent="0.15">
      <c r="B77" s="69" t="s">
        <v>274</v>
      </c>
      <c r="C77" s="65"/>
      <c r="D77" s="70">
        <v>1.2</v>
      </c>
      <c r="E77" s="70">
        <v>1.05</v>
      </c>
      <c r="F77" s="71">
        <v>39540</v>
      </c>
    </row>
    <row r="78" spans="2:6" x14ac:dyDescent="0.15">
      <c r="B78" s="69" t="s">
        <v>275</v>
      </c>
      <c r="C78" s="70">
        <v>1.05</v>
      </c>
      <c r="D78" s="70">
        <v>1.2</v>
      </c>
      <c r="E78" s="70" t="s">
        <v>276</v>
      </c>
      <c r="F78" s="70">
        <v>1</v>
      </c>
    </row>
    <row r="79" spans="2:6" x14ac:dyDescent="0.15">
      <c r="B79" s="67" t="s">
        <v>277</v>
      </c>
      <c r="C79" s="65"/>
      <c r="D79" s="65"/>
      <c r="E79" s="65"/>
      <c r="F79" s="65"/>
    </row>
    <row r="80" spans="2:6" x14ac:dyDescent="0.15">
      <c r="B80" s="69" t="s">
        <v>278</v>
      </c>
      <c r="C80" s="70">
        <v>0.4</v>
      </c>
      <c r="D80" s="70">
        <v>0.95140000000000002</v>
      </c>
      <c r="E80" s="70">
        <v>0.9</v>
      </c>
      <c r="F80" s="70">
        <v>0.7</v>
      </c>
    </row>
    <row r="81" spans="2:6" x14ac:dyDescent="0.15">
      <c r="B81" s="69" t="s">
        <v>279</v>
      </c>
      <c r="C81" s="70">
        <v>0.40150000000000002</v>
      </c>
      <c r="D81" s="70">
        <v>1.2015</v>
      </c>
      <c r="E81" s="70">
        <v>1.1515</v>
      </c>
      <c r="F81" s="70">
        <v>0.7</v>
      </c>
    </row>
    <row r="82" spans="2:6" x14ac:dyDescent="0.15">
      <c r="B82" s="69" t="s">
        <v>280</v>
      </c>
      <c r="C82" s="70">
        <v>0.4</v>
      </c>
      <c r="D82" s="70">
        <v>0.5</v>
      </c>
      <c r="E82" s="70">
        <v>0.5</v>
      </c>
      <c r="F82" s="70">
        <v>0.7</v>
      </c>
    </row>
    <row r="83" spans="2:6" x14ac:dyDescent="0.15">
      <c r="B83" s="69" t="s">
        <v>281</v>
      </c>
      <c r="C83" s="70">
        <v>0.55000000000000004</v>
      </c>
      <c r="D83" s="70">
        <v>1.0014000000000001</v>
      </c>
      <c r="E83" s="70">
        <v>0.85</v>
      </c>
      <c r="F83" s="70">
        <v>0.35</v>
      </c>
    </row>
    <row r="84" spans="2:6" x14ac:dyDescent="0.15">
      <c r="B84" s="69" t="s">
        <v>282</v>
      </c>
      <c r="C84" s="70">
        <v>0.35</v>
      </c>
      <c r="D84" s="70">
        <v>0.9</v>
      </c>
      <c r="E84" s="70">
        <v>0.65</v>
      </c>
      <c r="F84" s="70">
        <v>0.4</v>
      </c>
    </row>
    <row r="85" spans="2:6" x14ac:dyDescent="0.15">
      <c r="B85" s="69" t="s">
        <v>283</v>
      </c>
      <c r="C85" s="70">
        <v>0.4</v>
      </c>
      <c r="D85" s="70">
        <v>0.90139999999999998</v>
      </c>
      <c r="E85" s="70">
        <v>0.85</v>
      </c>
      <c r="F85" s="70">
        <v>0.6</v>
      </c>
    </row>
    <row r="86" spans="2:6" x14ac:dyDescent="0.15">
      <c r="B86" s="69" t="s">
        <v>279</v>
      </c>
      <c r="C86" s="70">
        <v>0.40150000000000002</v>
      </c>
      <c r="D86" s="70">
        <v>1.1515</v>
      </c>
      <c r="E86" s="70">
        <v>1.1014999999999999</v>
      </c>
      <c r="F86" s="70">
        <v>0.6</v>
      </c>
    </row>
    <row r="87" spans="2:6" x14ac:dyDescent="0.15">
      <c r="B87" s="69" t="s">
        <v>284</v>
      </c>
      <c r="C87" s="70">
        <v>0.95</v>
      </c>
      <c r="D87" s="70">
        <v>1.05</v>
      </c>
      <c r="E87" s="70">
        <v>1</v>
      </c>
      <c r="F87" s="70">
        <v>0.3</v>
      </c>
    </row>
    <row r="88" spans="2:6" x14ac:dyDescent="0.15">
      <c r="B88" s="69" t="s">
        <v>285</v>
      </c>
      <c r="C88" s="70">
        <v>0.5</v>
      </c>
      <c r="D88" s="70">
        <v>0.90139999999999998</v>
      </c>
      <c r="E88" s="70">
        <v>0.85</v>
      </c>
      <c r="F88" s="70">
        <v>1.2</v>
      </c>
    </row>
    <row r="89" spans="2:6" x14ac:dyDescent="0.15">
      <c r="B89" s="69" t="s">
        <v>279</v>
      </c>
      <c r="C89" s="70">
        <v>0.50149999999999995</v>
      </c>
      <c r="D89" s="70">
        <v>1.1515</v>
      </c>
      <c r="E89" s="70">
        <v>1.1014999999999999</v>
      </c>
      <c r="F89" s="70">
        <v>1.2</v>
      </c>
    </row>
    <row r="90" spans="2:6" x14ac:dyDescent="0.15">
      <c r="B90" s="69" t="s">
        <v>286</v>
      </c>
      <c r="C90" s="70">
        <v>0.4</v>
      </c>
      <c r="D90" s="70" t="s">
        <v>287</v>
      </c>
      <c r="E90" s="70">
        <v>0.85</v>
      </c>
      <c r="F90" s="70" t="s">
        <v>288</v>
      </c>
    </row>
    <row r="91" spans="2:6" x14ac:dyDescent="0.15">
      <c r="B91" s="69" t="s">
        <v>289</v>
      </c>
      <c r="C91" s="70">
        <v>0.3</v>
      </c>
      <c r="D91" s="70">
        <v>0.75</v>
      </c>
      <c r="E91" s="70">
        <v>0.75</v>
      </c>
      <c r="F91" s="70">
        <v>0.1</v>
      </c>
    </row>
    <row r="92" spans="2:6" x14ac:dyDescent="0.15">
      <c r="B92" s="69" t="s">
        <v>290</v>
      </c>
      <c r="C92" s="70">
        <v>0.9</v>
      </c>
      <c r="D92" s="70">
        <v>0.95</v>
      </c>
      <c r="E92" s="70">
        <v>0.95</v>
      </c>
      <c r="F92" s="70">
        <v>0.1</v>
      </c>
    </row>
    <row r="93" spans="2:6" x14ac:dyDescent="0.15">
      <c r="B93" s="69" t="s">
        <v>291</v>
      </c>
      <c r="C93" s="70">
        <v>0.8</v>
      </c>
      <c r="D93" s="70">
        <v>0.85</v>
      </c>
      <c r="E93" s="70">
        <v>0.85</v>
      </c>
      <c r="F93" s="70">
        <v>0.1</v>
      </c>
    </row>
    <row r="94" spans="2:6" x14ac:dyDescent="0.15">
      <c r="B94" s="67" t="s">
        <v>292</v>
      </c>
      <c r="C94" s="70">
        <v>0.4</v>
      </c>
      <c r="D94" s="70">
        <v>1.25</v>
      </c>
      <c r="E94" s="70">
        <v>0.75</v>
      </c>
      <c r="F94" s="70">
        <v>3</v>
      </c>
    </row>
    <row r="95" spans="2:6" x14ac:dyDescent="0.15">
      <c r="B95" s="67" t="s">
        <v>293</v>
      </c>
      <c r="C95" s="65"/>
      <c r="D95" s="65"/>
      <c r="E95" s="65"/>
      <c r="F95" s="65"/>
    </row>
    <row r="96" spans="2:6" x14ac:dyDescent="0.15">
      <c r="B96" s="69" t="s">
        <v>294</v>
      </c>
      <c r="C96" s="70">
        <v>0.5</v>
      </c>
      <c r="D96" s="70">
        <v>1.1000000000000001</v>
      </c>
      <c r="E96" s="70">
        <v>1</v>
      </c>
      <c r="F96" s="70">
        <v>3</v>
      </c>
    </row>
    <row r="97" spans="1:6" x14ac:dyDescent="0.15">
      <c r="B97" s="69" t="s">
        <v>295</v>
      </c>
      <c r="C97" s="70">
        <v>1</v>
      </c>
      <c r="D97" s="70">
        <v>1.2</v>
      </c>
      <c r="E97" s="70">
        <v>1.1000000000000001</v>
      </c>
      <c r="F97" s="70">
        <v>4</v>
      </c>
    </row>
    <row r="98" spans="1:6" x14ac:dyDescent="0.15">
      <c r="B98" s="69" t="s">
        <v>296</v>
      </c>
      <c r="C98" s="70">
        <v>1</v>
      </c>
      <c r="D98" s="70">
        <v>1.05</v>
      </c>
      <c r="E98" s="70">
        <v>1.05</v>
      </c>
      <c r="F98" s="70">
        <v>3</v>
      </c>
    </row>
    <row r="99" spans="1:6" x14ac:dyDescent="0.15">
      <c r="B99" s="69" t="s">
        <v>297</v>
      </c>
      <c r="C99" s="70">
        <v>0.9</v>
      </c>
      <c r="D99" s="70">
        <v>0.95</v>
      </c>
      <c r="E99" s="70">
        <v>0.95</v>
      </c>
      <c r="F99" s="71">
        <v>39509</v>
      </c>
    </row>
    <row r="100" spans="1:6" x14ac:dyDescent="0.15">
      <c r="B100" s="69" t="s">
        <v>298</v>
      </c>
      <c r="C100" s="70">
        <v>1.05</v>
      </c>
      <c r="D100" s="70">
        <v>1.1000000000000001</v>
      </c>
      <c r="E100" s="70">
        <v>1.1000000000000001</v>
      </c>
      <c r="F100" s="71">
        <v>39509</v>
      </c>
    </row>
    <row r="101" spans="1:6" x14ac:dyDescent="0.15">
      <c r="B101" s="69" t="s">
        <v>299</v>
      </c>
      <c r="C101" s="70">
        <v>0.9</v>
      </c>
      <c r="D101" s="70">
        <v>0.95</v>
      </c>
      <c r="E101" s="70">
        <v>0.95</v>
      </c>
      <c r="F101" s="70">
        <v>8</v>
      </c>
    </row>
    <row r="102" spans="1:6" ht="14" thickBot="1" x14ac:dyDescent="0.2">
      <c r="B102" s="78" t="s">
        <v>300</v>
      </c>
      <c r="C102" s="74">
        <v>0.95</v>
      </c>
      <c r="D102" s="74">
        <v>1</v>
      </c>
      <c r="E102" s="74">
        <v>1</v>
      </c>
      <c r="F102" s="74">
        <v>8</v>
      </c>
    </row>
    <row r="103" spans="1:6" ht="14" thickBot="1" x14ac:dyDescent="0.2">
      <c r="A103" t="s">
        <v>301</v>
      </c>
      <c r="B103" s="82" t="s">
        <v>302</v>
      </c>
      <c r="C103" s="83">
        <v>0.5</v>
      </c>
      <c r="D103" s="83">
        <v>0.3</v>
      </c>
      <c r="E103" s="83">
        <v>0.3</v>
      </c>
      <c r="F103" s="84" t="s">
        <v>303</v>
      </c>
    </row>
    <row r="104" spans="1:6" x14ac:dyDescent="0.15">
      <c r="B104" s="79" t="s">
        <v>304</v>
      </c>
      <c r="C104" s="81">
        <v>0.5</v>
      </c>
      <c r="D104" s="81">
        <v>0.5</v>
      </c>
      <c r="E104" s="81">
        <v>0.5</v>
      </c>
      <c r="F104" s="81" t="s">
        <v>303</v>
      </c>
    </row>
    <row r="105" spans="1:6" x14ac:dyDescent="0.15">
      <c r="B105" s="69" t="s">
        <v>305</v>
      </c>
      <c r="C105" s="70">
        <v>0.95</v>
      </c>
      <c r="D105" s="70">
        <v>1</v>
      </c>
      <c r="E105" s="70">
        <v>1</v>
      </c>
      <c r="F105" s="70">
        <v>10</v>
      </c>
    </row>
    <row r="106" spans="1:6" x14ac:dyDescent="0.15">
      <c r="B106" s="69" t="s">
        <v>306</v>
      </c>
      <c r="C106" s="70">
        <v>0.95</v>
      </c>
      <c r="D106" s="70">
        <v>1</v>
      </c>
      <c r="E106" s="70">
        <v>1</v>
      </c>
      <c r="F106" s="70">
        <v>1.5</v>
      </c>
    </row>
    <row r="107" spans="1:6" x14ac:dyDescent="0.15">
      <c r="B107" s="69" t="s">
        <v>307</v>
      </c>
      <c r="C107" s="70">
        <v>1.1000000000000001</v>
      </c>
      <c r="D107" s="70">
        <v>1.1499999999999999</v>
      </c>
      <c r="E107" s="70">
        <v>1.1499999999999999</v>
      </c>
      <c r="F107" s="70">
        <v>2</v>
      </c>
    </row>
    <row r="108" spans="1:6" x14ac:dyDescent="0.15">
      <c r="B108" s="67" t="s">
        <v>308</v>
      </c>
      <c r="C108" s="65"/>
      <c r="D108" s="65"/>
      <c r="E108" s="65"/>
      <c r="F108" s="65"/>
    </row>
    <row r="109" spans="1:6" x14ac:dyDescent="0.15">
      <c r="B109" s="69" t="s">
        <v>309</v>
      </c>
      <c r="C109" s="70">
        <v>0.3</v>
      </c>
      <c r="D109" s="70">
        <v>1.05</v>
      </c>
      <c r="E109" s="70">
        <v>0.5</v>
      </c>
      <c r="F109" s="70">
        <v>1.5</v>
      </c>
    </row>
    <row r="110" spans="1:6" x14ac:dyDescent="0.15">
      <c r="B110" s="69" t="s">
        <v>310</v>
      </c>
      <c r="C110" s="70">
        <v>0.3</v>
      </c>
      <c r="D110" s="70">
        <v>0.85</v>
      </c>
      <c r="E110" s="70">
        <v>0.45</v>
      </c>
      <c r="F110" s="70">
        <v>2</v>
      </c>
    </row>
    <row r="111" spans="1:6" x14ac:dyDescent="0.15">
      <c r="B111" s="69" t="s">
        <v>311</v>
      </c>
      <c r="C111" s="70">
        <v>0.3</v>
      </c>
      <c r="D111" s="70">
        <v>0.7</v>
      </c>
      <c r="E111" s="70">
        <v>0.45</v>
      </c>
      <c r="F111" s="70" t="s">
        <v>312</v>
      </c>
    </row>
    <row r="112" spans="1:6" x14ac:dyDescent="0.15">
      <c r="B112" s="69" t="s">
        <v>313</v>
      </c>
      <c r="C112" s="70">
        <v>0.3</v>
      </c>
      <c r="D112" s="70">
        <v>1.05</v>
      </c>
      <c r="E112" s="70">
        <v>0.85</v>
      </c>
      <c r="F112" s="70">
        <v>5</v>
      </c>
    </row>
    <row r="113" spans="2:6" x14ac:dyDescent="0.15">
      <c r="B113" s="67" t="s">
        <v>314</v>
      </c>
      <c r="C113" s="65"/>
      <c r="D113" s="65"/>
      <c r="E113" s="65"/>
      <c r="F113" s="65"/>
    </row>
    <row r="114" spans="2:6" x14ac:dyDescent="0.15">
      <c r="B114" s="69" t="s">
        <v>315</v>
      </c>
      <c r="C114" s="70">
        <v>0.4</v>
      </c>
      <c r="D114" s="70">
        <v>0.9</v>
      </c>
      <c r="E114" s="70">
        <v>0.65190000000000003</v>
      </c>
      <c r="F114" s="70">
        <v>5</v>
      </c>
    </row>
    <row r="115" spans="2:6" x14ac:dyDescent="0.15">
      <c r="B115" s="69" t="s">
        <v>316</v>
      </c>
      <c r="C115" s="65"/>
      <c r="D115" s="65"/>
      <c r="E115" s="65"/>
      <c r="F115" s="65"/>
    </row>
    <row r="116" spans="2:6" x14ac:dyDescent="0.15">
      <c r="B116" s="69" t="s">
        <v>317</v>
      </c>
      <c r="C116" s="70">
        <v>0.45</v>
      </c>
      <c r="D116" s="70">
        <v>0.95</v>
      </c>
      <c r="E116" s="70">
        <v>0.70189999999999997</v>
      </c>
      <c r="F116" s="70">
        <v>4</v>
      </c>
    </row>
    <row r="117" spans="2:6" x14ac:dyDescent="0.15">
      <c r="B117" s="69" t="s">
        <v>318</v>
      </c>
      <c r="C117" s="70">
        <v>0.6</v>
      </c>
      <c r="D117" s="70">
        <v>0.95</v>
      </c>
      <c r="E117" s="70">
        <v>0.75190000000000001</v>
      </c>
      <c r="F117" s="70">
        <v>4</v>
      </c>
    </row>
    <row r="118" spans="2:6" x14ac:dyDescent="0.15">
      <c r="B118" s="69" t="s">
        <v>319</v>
      </c>
      <c r="C118" s="70">
        <v>0.5</v>
      </c>
      <c r="D118" s="70">
        <v>1.2</v>
      </c>
      <c r="E118" s="70">
        <v>0.95189999999999997</v>
      </c>
      <c r="F118" s="70">
        <v>4</v>
      </c>
    </row>
    <row r="119" spans="2:6" x14ac:dyDescent="0.15">
      <c r="B119" s="69" t="s">
        <v>320</v>
      </c>
      <c r="C119" s="70">
        <v>0.8</v>
      </c>
      <c r="D119" s="70">
        <v>1.2</v>
      </c>
      <c r="E119" s="70">
        <v>0.85189999999999999</v>
      </c>
      <c r="F119" s="70">
        <v>4</v>
      </c>
    </row>
    <row r="120" spans="2:6" x14ac:dyDescent="0.15">
      <c r="B120" s="69" t="s">
        <v>321</v>
      </c>
      <c r="C120" s="65"/>
      <c r="D120" s="65"/>
      <c r="E120" s="65"/>
      <c r="F120" s="65"/>
    </row>
    <row r="121" spans="2:6" x14ac:dyDescent="0.15">
      <c r="B121" s="69" t="s">
        <v>317</v>
      </c>
      <c r="C121" s="70">
        <v>0.45</v>
      </c>
      <c r="D121" s="70">
        <v>0.9</v>
      </c>
      <c r="E121" s="70">
        <v>0.65190000000000003</v>
      </c>
      <c r="F121" s="70">
        <v>3</v>
      </c>
    </row>
    <row r="122" spans="2:6" x14ac:dyDescent="0.15">
      <c r="B122" s="69" t="s">
        <v>318</v>
      </c>
      <c r="C122" s="70">
        <v>0.55000000000000004</v>
      </c>
      <c r="D122" s="70">
        <v>0.9</v>
      </c>
      <c r="E122" s="70">
        <v>0.65190000000000003</v>
      </c>
      <c r="F122" s="70">
        <v>3</v>
      </c>
    </row>
    <row r="123" spans="2:6" x14ac:dyDescent="0.15">
      <c r="B123" s="69" t="s">
        <v>319</v>
      </c>
      <c r="C123" s="70">
        <v>0.5</v>
      </c>
      <c r="D123" s="70">
        <v>1.1499999999999999</v>
      </c>
      <c r="E123" s="70">
        <v>0.90190000000000003</v>
      </c>
      <c r="F123" s="70">
        <v>3</v>
      </c>
    </row>
    <row r="124" spans="2:6" x14ac:dyDescent="0.15">
      <c r="B124" s="69" t="s">
        <v>320</v>
      </c>
      <c r="C124" s="70">
        <v>0.8</v>
      </c>
      <c r="D124" s="70">
        <v>1.1499999999999999</v>
      </c>
      <c r="E124" s="70">
        <v>0.85189999999999999</v>
      </c>
      <c r="F124" s="70">
        <v>3</v>
      </c>
    </row>
    <row r="125" spans="2:6" x14ac:dyDescent="0.15">
      <c r="B125" s="69" t="s">
        <v>322</v>
      </c>
      <c r="C125" s="70">
        <v>0.6</v>
      </c>
      <c r="D125" s="70">
        <v>0.85</v>
      </c>
      <c r="E125" s="70">
        <v>0.75</v>
      </c>
      <c r="F125" s="70">
        <v>3</v>
      </c>
    </row>
    <row r="126" spans="2:6" x14ac:dyDescent="0.15">
      <c r="B126" s="69" t="s">
        <v>323</v>
      </c>
      <c r="C126" s="65"/>
      <c r="D126" s="65"/>
      <c r="E126" s="65"/>
      <c r="F126" s="65"/>
    </row>
    <row r="127" spans="2:6" x14ac:dyDescent="0.15">
      <c r="B127" s="69" t="s">
        <v>324</v>
      </c>
      <c r="C127" s="70">
        <v>0.7</v>
      </c>
      <c r="D127" s="70">
        <v>0.65</v>
      </c>
      <c r="E127" s="70">
        <v>0.7</v>
      </c>
      <c r="F127" s="70">
        <v>4</v>
      </c>
    </row>
    <row r="128" spans="2:6" x14ac:dyDescent="0.15">
      <c r="B128" s="69" t="s">
        <v>325</v>
      </c>
      <c r="C128" s="70">
        <v>0.65</v>
      </c>
      <c r="D128" s="70">
        <v>0.6</v>
      </c>
      <c r="E128" s="70">
        <v>0.65</v>
      </c>
      <c r="F128" s="70">
        <v>3</v>
      </c>
    </row>
    <row r="129" spans="2:6" x14ac:dyDescent="0.15">
      <c r="B129" s="69" t="s">
        <v>326</v>
      </c>
      <c r="C129" s="70">
        <v>0.5</v>
      </c>
      <c r="D129" s="70">
        <v>0.45</v>
      </c>
      <c r="E129" s="70">
        <v>0.55000000000000004</v>
      </c>
      <c r="F129" s="70">
        <v>2</v>
      </c>
    </row>
    <row r="130" spans="2:6" x14ac:dyDescent="0.15">
      <c r="B130" s="69" t="s">
        <v>327</v>
      </c>
      <c r="C130" s="65"/>
      <c r="D130" s="65"/>
      <c r="E130" s="65"/>
      <c r="F130" s="65"/>
    </row>
    <row r="131" spans="2:6" x14ac:dyDescent="0.15">
      <c r="B131" s="69" t="s">
        <v>324</v>
      </c>
      <c r="C131" s="70">
        <v>0.75</v>
      </c>
      <c r="D131" s="70">
        <v>0.7</v>
      </c>
      <c r="E131" s="70">
        <v>0.75</v>
      </c>
      <c r="F131" s="70">
        <v>4</v>
      </c>
    </row>
    <row r="132" spans="2:6" x14ac:dyDescent="0.15">
      <c r="B132" s="69" t="s">
        <v>325</v>
      </c>
      <c r="C132" s="70">
        <v>0.8</v>
      </c>
      <c r="D132" s="70">
        <v>0.8</v>
      </c>
      <c r="E132" s="70">
        <v>0.8</v>
      </c>
      <c r="F132" s="70">
        <v>3</v>
      </c>
    </row>
    <row r="133" spans="2:6" x14ac:dyDescent="0.15">
      <c r="B133" s="69" t="s">
        <v>326</v>
      </c>
      <c r="C133" s="70">
        <v>0.85</v>
      </c>
      <c r="D133" s="70">
        <v>0.85</v>
      </c>
      <c r="E133" s="70">
        <v>0.85</v>
      </c>
      <c r="F133" s="70">
        <v>2</v>
      </c>
    </row>
    <row r="134" spans="2:6" x14ac:dyDescent="0.15">
      <c r="B134" s="69" t="s">
        <v>328</v>
      </c>
      <c r="C134" s="70">
        <v>1</v>
      </c>
      <c r="D134" s="70">
        <v>1</v>
      </c>
      <c r="E134" s="70">
        <v>1</v>
      </c>
      <c r="F134" s="70">
        <v>10</v>
      </c>
    </row>
    <row r="135" spans="2:6" x14ac:dyDescent="0.15">
      <c r="B135" s="69" t="s">
        <v>329</v>
      </c>
      <c r="C135" s="70">
        <v>0.4</v>
      </c>
      <c r="D135" s="70">
        <v>1.05</v>
      </c>
      <c r="E135" s="70">
        <v>1.05</v>
      </c>
      <c r="F135" s="70">
        <v>3</v>
      </c>
    </row>
    <row r="136" spans="2:6" x14ac:dyDescent="0.15">
      <c r="B136" s="69" t="s">
        <v>330</v>
      </c>
      <c r="C136" s="70">
        <v>0.65</v>
      </c>
      <c r="D136" s="70">
        <v>0.7</v>
      </c>
      <c r="E136" s="70">
        <v>0.7</v>
      </c>
      <c r="F136" s="71">
        <v>39634</v>
      </c>
    </row>
    <row r="137" spans="2:6" x14ac:dyDescent="0.15">
      <c r="B137" s="69" t="s">
        <v>331</v>
      </c>
      <c r="C137" s="70">
        <v>0.4</v>
      </c>
      <c r="D137" s="70">
        <v>1.1000000000000001</v>
      </c>
      <c r="E137" s="70">
        <v>0.45</v>
      </c>
      <c r="F137" s="71">
        <v>39602</v>
      </c>
    </row>
    <row r="138" spans="2:6" x14ac:dyDescent="0.15">
      <c r="B138" s="69" t="s">
        <v>332</v>
      </c>
      <c r="C138" s="70">
        <v>0.5</v>
      </c>
      <c r="D138" s="70">
        <v>1.1000000000000001</v>
      </c>
      <c r="E138" s="70">
        <v>0.65190000000000003</v>
      </c>
      <c r="F138" s="71">
        <v>39572</v>
      </c>
    </row>
    <row r="139" spans="2:6" x14ac:dyDescent="0.15">
      <c r="B139" s="67" t="s">
        <v>333</v>
      </c>
      <c r="C139" s="65"/>
      <c r="D139" s="65"/>
      <c r="E139" s="65"/>
      <c r="F139" s="65"/>
    </row>
    <row r="140" spans="2:6" x14ac:dyDescent="0.15">
      <c r="B140" s="69" t="s">
        <v>334</v>
      </c>
      <c r="C140" s="70">
        <v>0.3</v>
      </c>
      <c r="D140" s="70">
        <v>1.2</v>
      </c>
      <c r="E140" s="70">
        <v>0.3</v>
      </c>
      <c r="F140" s="70">
        <v>2</v>
      </c>
    </row>
    <row r="141" spans="2:6" x14ac:dyDescent="0.15">
      <c r="B141" s="69" t="s">
        <v>335</v>
      </c>
      <c r="C141" s="70">
        <v>0.6</v>
      </c>
      <c r="D141" s="70">
        <v>1.2</v>
      </c>
      <c r="E141" s="70">
        <v>0.6</v>
      </c>
      <c r="F141" s="70">
        <v>2</v>
      </c>
    </row>
    <row r="142" spans="2:6" x14ac:dyDescent="0.15">
      <c r="B142" s="69" t="s">
        <v>336</v>
      </c>
      <c r="C142" s="70">
        <v>1.05</v>
      </c>
      <c r="D142" s="70">
        <v>1.1000000000000001</v>
      </c>
      <c r="E142" s="70">
        <v>1.1000000000000001</v>
      </c>
      <c r="F142" s="70">
        <v>0.3</v>
      </c>
    </row>
    <row r="143" spans="2:6" x14ac:dyDescent="0.15">
      <c r="B143" s="69" t="s">
        <v>337</v>
      </c>
      <c r="C143" s="70">
        <v>1</v>
      </c>
      <c r="D143" s="70">
        <v>1.2</v>
      </c>
      <c r="E143" s="70">
        <v>1</v>
      </c>
      <c r="F143" s="71">
        <v>39508</v>
      </c>
    </row>
    <row r="144" spans="2:6" x14ac:dyDescent="0.15">
      <c r="B144" s="69" t="s">
        <v>338</v>
      </c>
      <c r="C144" s="70">
        <v>0.9</v>
      </c>
      <c r="D144" s="70">
        <v>1.2</v>
      </c>
      <c r="E144" s="70">
        <v>0.7</v>
      </c>
      <c r="F144" s="71">
        <v>39508</v>
      </c>
    </row>
    <row r="145" spans="2:6" x14ac:dyDescent="0.15">
      <c r="B145" s="67" t="s">
        <v>339</v>
      </c>
      <c r="C145" s="65"/>
      <c r="D145" s="65"/>
      <c r="E145" s="65"/>
      <c r="F145" s="65"/>
    </row>
    <row r="146" spans="2:6" x14ac:dyDescent="0.15">
      <c r="B146" s="72" t="s">
        <v>340</v>
      </c>
      <c r="C146" s="73"/>
      <c r="D146" s="74">
        <v>1.05</v>
      </c>
      <c r="E146" s="74">
        <v>1.05</v>
      </c>
      <c r="F146" s="74">
        <v>5.0000000000000001E-3</v>
      </c>
    </row>
    <row r="147" spans="2:6" x14ac:dyDescent="0.15">
      <c r="B147" s="75" t="s">
        <v>341</v>
      </c>
      <c r="C147" s="76"/>
      <c r="D147" s="77"/>
      <c r="E147" s="77"/>
      <c r="F147" s="77"/>
    </row>
    <row r="148" spans="2:6" x14ac:dyDescent="0.15">
      <c r="B148" s="78" t="s">
        <v>342</v>
      </c>
      <c r="C148" s="73"/>
      <c r="D148" s="74">
        <v>0.65259999999999996</v>
      </c>
      <c r="E148" s="74">
        <v>1.2525999999999999</v>
      </c>
      <c r="F148" s="74">
        <v>5.0000000000000001E-3</v>
      </c>
    </row>
    <row r="149" spans="2:6" x14ac:dyDescent="0.15">
      <c r="B149" s="79" t="s">
        <v>343</v>
      </c>
      <c r="C149" s="80"/>
      <c r="D149" s="81"/>
      <c r="E149" s="81"/>
      <c r="F149" s="81"/>
    </row>
  </sheetData>
  <sheetProtection password="DD72" sheet="1" objects="1" scenarios="1"/>
  <phoneticPr fontId="2" type="noConversion"/>
  <pageMargins left="0.75" right="0.75" top="1" bottom="1" header="0.5" footer="0.5"/>
  <pageSetup paperSize="9" scale="65" orientation="portrait"/>
  <headerFooter alignWithMargins="0">
    <oddFooter>&amp;L&amp;Z&amp;F&amp;A&amp;C&amp;P&amp;N&amp;R&amp;D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30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91</vt:i4>
      </vt:variant>
    </vt:vector>
  </HeadingPairs>
  <TitlesOfParts>
    <vt:vector size="123" baseType="lpstr">
      <vt:lpstr>fill_data</vt:lpstr>
      <vt:lpstr>ROS</vt:lpstr>
      <vt:lpstr>การใช้ที่ดิน</vt:lpstr>
      <vt:lpstr>Conclusion</vt:lpstr>
      <vt:lpstr>Weekly</vt:lpstr>
      <vt:lpstr>Monthly</vt:lpstr>
      <vt:lpstr>Plan_Dry</vt:lpstr>
      <vt:lpstr>Plan_Wet</vt:lpstr>
      <vt:lpstr>Demand-W</vt:lpstr>
      <vt:lpstr>graph-dry_data</vt:lpstr>
      <vt:lpstr>graph-wet_data</vt:lpstr>
      <vt:lpstr>ความต้องการน้ำรายสัปดาห์</vt:lpstr>
      <vt:lpstr>paddy_Dry</vt:lpstr>
      <vt:lpstr>paddy_rain</vt:lpstr>
      <vt:lpstr>upland_dry</vt:lpstr>
      <vt:lpstr>upland_rain</vt:lpstr>
      <vt:lpstr>plant</vt:lpstr>
      <vt:lpstr>fishporn</vt:lpstr>
      <vt:lpstr> prawnporn</vt:lpstr>
      <vt:lpstr>Prv</vt:lpstr>
      <vt:lpstr>Crop</vt:lpstr>
      <vt:lpstr>Kc</vt:lpstr>
      <vt:lpstr>ฝนใช้การรายสัปดาห์</vt:lpstr>
      <vt:lpstr>ฝนใช้การรายวัน</vt:lpstr>
      <vt:lpstr>ฝนใช้การข้าว</vt:lpstr>
      <vt:lpstr>โค้งความจุ</vt:lpstr>
      <vt:lpstr>ฝนใช้พืชไร่up</vt:lpstr>
      <vt:lpstr>evap</vt:lpstr>
      <vt:lpstr>ETo</vt:lpstr>
      <vt:lpstr>FAO</vt:lpstr>
      <vt:lpstr>graph-dry</vt:lpstr>
      <vt:lpstr>graph-wet</vt:lpstr>
      <vt:lpstr>'graph-dry_data'!capacitycurveุ</vt:lpstr>
      <vt:lpstr>'graph-wet_data'!capacitycurveุ</vt:lpstr>
      <vt:lpstr>capacitycurveุ</vt:lpstr>
      <vt:lpstr>FAO!Cereals</vt:lpstr>
      <vt:lpstr>'graph-dry_data'!croptype</vt:lpstr>
      <vt:lpstr>'graph-wet_data'!croptype</vt:lpstr>
      <vt:lpstr>croptype</vt:lpstr>
      <vt:lpstr>FAO!Cucumber</vt:lpstr>
      <vt:lpstr>'graph-dry_data'!Evap</vt:lpstr>
      <vt:lpstr>'graph-wet_data'!Evap</vt:lpstr>
      <vt:lpstr>Evap</vt:lpstr>
      <vt:lpstr>FAO!FiberCrops</vt:lpstr>
      <vt:lpstr>FAO!Forages</vt:lpstr>
      <vt:lpstr>FAO!FruitTrees</vt:lpstr>
      <vt:lpstr>FAO!Grapes</vt:lpstr>
      <vt:lpstr>FAO!Legumes</vt:lpstr>
      <vt:lpstr>FAO!OilCrops</vt:lpstr>
      <vt:lpstr>FAO!Perennial</vt:lpstr>
      <vt:lpstr>' prawnporn'!Print_Area</vt:lpstr>
      <vt:lpstr>Crop!Print_Area</vt:lpstr>
      <vt:lpstr>ETo!Print_Area</vt:lpstr>
      <vt:lpstr>evap!Print_Area</vt:lpstr>
      <vt:lpstr>fill_data!Print_Area</vt:lpstr>
      <vt:lpstr>fishporn!Print_Area</vt:lpstr>
      <vt:lpstr>Kc!Print_Area</vt:lpstr>
      <vt:lpstr>paddy_Dry!Print_Area</vt:lpstr>
      <vt:lpstr>paddy_rain!Print_Area</vt:lpstr>
      <vt:lpstr>Plan_Dry!Print_Area</vt:lpstr>
      <vt:lpstr>plant!Print_Area</vt:lpstr>
      <vt:lpstr>Prv!Print_Area</vt:lpstr>
      <vt:lpstr>upland_dry!Print_Area</vt:lpstr>
      <vt:lpstr>upland_rain!Print_Area</vt:lpstr>
      <vt:lpstr>ความต้องการน้ำรายสัปดาห์!Print_Area</vt:lpstr>
      <vt:lpstr>โค้งความจุ!Print_Area</vt:lpstr>
      <vt:lpstr>ฝนใช้การรายวัน!Print_Area</vt:lpstr>
      <vt:lpstr>ฝนใช้การรายสัปดาห์!Print_Area</vt:lpstr>
      <vt:lpstr>ฝนใช้พืชไร่up!Print_Area</vt:lpstr>
      <vt:lpstr>' prawnporn'!Print_Titles</vt:lpstr>
      <vt:lpstr>'Demand-W'!Print_Titles</vt:lpstr>
      <vt:lpstr>evap!Print_Titles</vt:lpstr>
      <vt:lpstr>FAO!Print_Titles</vt:lpstr>
      <vt:lpstr>fishporn!Print_Titles</vt:lpstr>
      <vt:lpstr>'graph-dry_data'!Print_Titles</vt:lpstr>
      <vt:lpstr>Monthly!Print_Titles</vt:lpstr>
      <vt:lpstr>paddy_Dry!Print_Titles</vt:lpstr>
      <vt:lpstr>paddy_rain!Print_Titles</vt:lpstr>
      <vt:lpstr>Plan_Dry!Print_Titles</vt:lpstr>
      <vt:lpstr>Plan_Wet!Print_Titles</vt:lpstr>
      <vt:lpstr>plant!Print_Titles</vt:lpstr>
      <vt:lpstr>Prv!Print_Titles</vt:lpstr>
      <vt:lpstr>ROS!Print_Titles</vt:lpstr>
      <vt:lpstr>upland_dry!Print_Titles</vt:lpstr>
      <vt:lpstr>upland_rain!Print_Titles</vt:lpstr>
      <vt:lpstr>Weekly!Print_Titles</vt:lpstr>
      <vt:lpstr>ฝนใช้การข้าว!Print_Titles</vt:lpstr>
      <vt:lpstr>ฝนใช้พืชไร่up!Print_Titles</vt:lpstr>
      <vt:lpstr>'graph-dry_data'!province</vt:lpstr>
      <vt:lpstr>'graph-wet_data'!province</vt:lpstr>
      <vt:lpstr>province</vt:lpstr>
      <vt:lpstr>'graph-dry_data'!rainforpaddy</vt:lpstr>
      <vt:lpstr>'graph-wet_data'!rainforpaddy</vt:lpstr>
      <vt:lpstr>rainforpaddy</vt:lpstr>
      <vt:lpstr>'graph-dry_data'!rainforuplandcrop</vt:lpstr>
      <vt:lpstr>'graph-wet_data'!rainforuplandcrop</vt:lpstr>
      <vt:lpstr>rainforuplandcrop</vt:lpstr>
      <vt:lpstr>FAO!Roots</vt:lpstr>
      <vt:lpstr>FAO!Small</vt:lpstr>
      <vt:lpstr>FAO!Solanum</vt:lpstr>
      <vt:lpstr>FAO!Special</vt:lpstr>
      <vt:lpstr>FAO!SugarCane</vt:lpstr>
      <vt:lpstr>FAO!Tropical</vt:lpstr>
      <vt:lpstr>'graph-dry_data'!Week</vt:lpstr>
      <vt:lpstr>'graph-wet_data'!Week</vt:lpstr>
      <vt:lpstr>paddy_rain!Week</vt:lpstr>
      <vt:lpstr>upland_dry!Week</vt:lpstr>
      <vt:lpstr>upland_rain!Week</vt:lpstr>
      <vt:lpstr>Week</vt:lpstr>
      <vt:lpstr>FAO!Wetlands</vt:lpstr>
      <vt:lpstr>'graph-dry_data'!ความต้องการน้ำ</vt:lpstr>
      <vt:lpstr>'graph-wet_data'!ความต้องการน้ำ</vt:lpstr>
      <vt:lpstr>ความต้องการน้ำ</vt:lpstr>
      <vt:lpstr>ใช้การพืชไร่</vt:lpstr>
      <vt:lpstr>'graph-dry_data'!ฝนใช้การ</vt:lpstr>
      <vt:lpstr>'graph-wet_data'!ฝนใช้การ</vt:lpstr>
      <vt:lpstr>ฝนใช้การ</vt:lpstr>
      <vt:lpstr>'graph-dry_data'!ฝนใช้การข้าว</vt:lpstr>
      <vt:lpstr>'graph-wet_data'!ฝนใช้การข้าว</vt:lpstr>
      <vt:lpstr>ฝนใช้การข้าว</vt:lpstr>
      <vt:lpstr>'graph-dry_data'!ฝนใช้การพืชไร่</vt:lpstr>
      <vt:lpstr>'graph-wet_data'!ฝนใช้การพืชไร่</vt:lpstr>
      <vt:lpstr>ฝนใช้การพืชไร่</vt:lpstr>
    </vt:vector>
  </TitlesOfParts>
  <Company>สำนักอุทกวิทยาและบริหารน้ำ&amp;สชป.8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ROS</dc:title>
  <dc:creator>คมสันต์ ไชโย;เนรมิต เทพนอก</dc:creator>
  <dc:description>1.0</dc:description>
  <cp:lastModifiedBy>Subhaj Limanond</cp:lastModifiedBy>
  <cp:lastPrinted>2022-02-17T02:49:21Z</cp:lastPrinted>
  <dcterms:created xsi:type="dcterms:W3CDTF">2008-04-24T04:24:54Z</dcterms:created>
  <dcterms:modified xsi:type="dcterms:W3CDTF">2025-06-27T15:38:15Z</dcterms:modified>
</cp:coreProperties>
</file>